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37742788-EDCB-4207-963B-D62A461B38CD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Instructions" sheetId="1" r:id="rId1"/>
    <sheet name="Respondent Info" sheetId="2" r:id="rId2"/>
    <sheet name="Survey" sheetId="3" r:id="rId3"/>
    <sheet name="Response Mapping" sheetId="4" r:id="rId4"/>
    <sheet name="Recommendations Library" sheetId="5" state="hidden" r:id="rId5"/>
    <sheet name="Recommendations Output" sheetId="6" state="hidden" r:id="rId6"/>
    <sheet name="Dashboard" sheetId="7" r:id="rId7"/>
    <sheet name="Gap Analysis" sheetId="8" r:id="rId8"/>
    <sheet name="Test Cases" sheetId="9" state="hidden" r:id="rId9"/>
    <sheet name="Glossary" sheetId="10" r:id="rId10"/>
    <sheet name="AIA-UI-Config" sheetId="15" r:id="rId11"/>
    <sheet name="AIA-Question-Config" sheetId="12" r:id="rId12"/>
    <sheet name="AIA-Question-Response-Map" sheetId="14" r:id="rId13"/>
    <sheet name="AIA-Response-Capture" sheetId="13" r:id="rId14"/>
    <sheet name="_Dropdowns" sheetId="11" state="hidden" r:id="rId1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" l="1"/>
  <c r="D9" i="9"/>
  <c r="D8" i="9"/>
  <c r="D7" i="9"/>
  <c r="D3" i="9"/>
  <c r="B7" i="8"/>
  <c r="B6" i="8"/>
  <c r="B5" i="8"/>
  <c r="B4" i="8"/>
  <c r="B3" i="8"/>
  <c r="B2" i="8"/>
  <c r="B43" i="7"/>
  <c r="B42" i="7"/>
  <c r="B41" i="7"/>
  <c r="B40" i="7"/>
  <c r="B19" i="7"/>
  <c r="B18" i="7"/>
  <c r="B17" i="7"/>
  <c r="B16" i="7"/>
  <c r="B15" i="7"/>
  <c r="B14" i="7"/>
  <c r="B13" i="7"/>
  <c r="B12" i="7"/>
  <c r="B11" i="7"/>
  <c r="B10" i="7"/>
  <c r="B7" i="7"/>
  <c r="B6" i="7"/>
  <c r="B5" i="7"/>
  <c r="B4" i="7"/>
  <c r="D2" i="9" s="1"/>
  <c r="B3" i="7"/>
  <c r="K156" i="6"/>
  <c r="J156" i="6"/>
  <c r="I156" i="6"/>
  <c r="H156" i="6"/>
  <c r="D156" i="6"/>
  <c r="C156" i="6"/>
  <c r="B156" i="6"/>
  <c r="A156" i="6"/>
  <c r="K155" i="6"/>
  <c r="J155" i="6"/>
  <c r="I155" i="6"/>
  <c r="H155" i="6"/>
  <c r="D155" i="6"/>
  <c r="C155" i="6"/>
  <c r="B155" i="6"/>
  <c r="A155" i="6"/>
  <c r="K154" i="6"/>
  <c r="J154" i="6"/>
  <c r="I154" i="6"/>
  <c r="H154" i="6"/>
  <c r="D154" i="6"/>
  <c r="C154" i="6"/>
  <c r="B154" i="6"/>
  <c r="A154" i="6"/>
  <c r="K153" i="6"/>
  <c r="J153" i="6"/>
  <c r="I153" i="6"/>
  <c r="H153" i="6"/>
  <c r="D153" i="6"/>
  <c r="C153" i="6"/>
  <c r="B153" i="6"/>
  <c r="A153" i="6"/>
  <c r="K152" i="6"/>
  <c r="J152" i="6"/>
  <c r="I152" i="6"/>
  <c r="H152" i="6"/>
  <c r="D152" i="6"/>
  <c r="C152" i="6"/>
  <c r="B152" i="6"/>
  <c r="A152" i="6"/>
  <c r="K151" i="6"/>
  <c r="J151" i="6"/>
  <c r="I151" i="6"/>
  <c r="H151" i="6"/>
  <c r="D151" i="6"/>
  <c r="C151" i="6"/>
  <c r="B151" i="6"/>
  <c r="A151" i="6"/>
  <c r="K150" i="6"/>
  <c r="J150" i="6"/>
  <c r="I150" i="6"/>
  <c r="H150" i="6"/>
  <c r="D150" i="6"/>
  <c r="C150" i="6"/>
  <c r="B150" i="6"/>
  <c r="A150" i="6"/>
  <c r="K149" i="6"/>
  <c r="J149" i="6"/>
  <c r="I149" i="6"/>
  <c r="H149" i="6"/>
  <c r="D149" i="6"/>
  <c r="C149" i="6"/>
  <c r="B149" i="6"/>
  <c r="A149" i="6"/>
  <c r="K148" i="6"/>
  <c r="J148" i="6"/>
  <c r="I148" i="6"/>
  <c r="H148" i="6"/>
  <c r="D148" i="6"/>
  <c r="C148" i="6"/>
  <c r="B148" i="6"/>
  <c r="A148" i="6"/>
  <c r="K147" i="6"/>
  <c r="J147" i="6"/>
  <c r="I147" i="6"/>
  <c r="H147" i="6"/>
  <c r="D147" i="6"/>
  <c r="C147" i="6"/>
  <c r="B147" i="6"/>
  <c r="A147" i="6"/>
  <c r="K146" i="6"/>
  <c r="J146" i="6"/>
  <c r="I146" i="6"/>
  <c r="H146" i="6"/>
  <c r="D146" i="6"/>
  <c r="C146" i="6"/>
  <c r="B146" i="6"/>
  <c r="A146" i="6"/>
  <c r="K145" i="6"/>
  <c r="J145" i="6"/>
  <c r="I145" i="6"/>
  <c r="H145" i="6"/>
  <c r="D145" i="6"/>
  <c r="C145" i="6"/>
  <c r="B145" i="6"/>
  <c r="A145" i="6"/>
  <c r="K144" i="6"/>
  <c r="J144" i="6"/>
  <c r="I144" i="6"/>
  <c r="H144" i="6"/>
  <c r="D144" i="6"/>
  <c r="C144" i="6"/>
  <c r="B144" i="6"/>
  <c r="A144" i="6"/>
  <c r="K143" i="6"/>
  <c r="J143" i="6"/>
  <c r="I143" i="6"/>
  <c r="H143" i="6"/>
  <c r="D143" i="6"/>
  <c r="C143" i="6"/>
  <c r="B143" i="6"/>
  <c r="A143" i="6"/>
  <c r="K142" i="6"/>
  <c r="J142" i="6"/>
  <c r="I142" i="6"/>
  <c r="H142" i="6"/>
  <c r="D142" i="6"/>
  <c r="C142" i="6"/>
  <c r="B142" i="6"/>
  <c r="A142" i="6"/>
  <c r="K141" i="6"/>
  <c r="J141" i="6"/>
  <c r="I141" i="6"/>
  <c r="H141" i="6"/>
  <c r="D141" i="6"/>
  <c r="C141" i="6"/>
  <c r="B141" i="6"/>
  <c r="A141" i="6"/>
  <c r="K140" i="6"/>
  <c r="J140" i="6"/>
  <c r="I140" i="6"/>
  <c r="H140" i="6"/>
  <c r="D140" i="6"/>
  <c r="C140" i="6"/>
  <c r="B140" i="6"/>
  <c r="A140" i="6"/>
  <c r="K139" i="6"/>
  <c r="J139" i="6"/>
  <c r="I139" i="6"/>
  <c r="H139" i="6"/>
  <c r="D139" i="6"/>
  <c r="C139" i="6"/>
  <c r="B139" i="6"/>
  <c r="A139" i="6"/>
  <c r="K138" i="6"/>
  <c r="J138" i="6"/>
  <c r="I138" i="6"/>
  <c r="H138" i="6"/>
  <c r="D138" i="6"/>
  <c r="C138" i="6"/>
  <c r="B138" i="6"/>
  <c r="A138" i="6"/>
  <c r="K137" i="6"/>
  <c r="J137" i="6"/>
  <c r="I137" i="6"/>
  <c r="H137" i="6"/>
  <c r="D137" i="6"/>
  <c r="C137" i="6"/>
  <c r="B137" i="6"/>
  <c r="A137" i="6"/>
  <c r="K136" i="6"/>
  <c r="J136" i="6"/>
  <c r="I136" i="6"/>
  <c r="H136" i="6"/>
  <c r="D136" i="6"/>
  <c r="C136" i="6"/>
  <c r="B136" i="6"/>
  <c r="A136" i="6"/>
  <c r="K135" i="6"/>
  <c r="J135" i="6"/>
  <c r="I135" i="6"/>
  <c r="H135" i="6"/>
  <c r="D135" i="6"/>
  <c r="C135" i="6"/>
  <c r="B135" i="6"/>
  <c r="A135" i="6"/>
  <c r="K134" i="6"/>
  <c r="J134" i="6"/>
  <c r="I134" i="6"/>
  <c r="H134" i="6"/>
  <c r="D134" i="6"/>
  <c r="C134" i="6"/>
  <c r="B134" i="6"/>
  <c r="A134" i="6"/>
  <c r="K133" i="6"/>
  <c r="J133" i="6"/>
  <c r="I133" i="6"/>
  <c r="H133" i="6"/>
  <c r="D133" i="6"/>
  <c r="C133" i="6"/>
  <c r="B133" i="6"/>
  <c r="A133" i="6"/>
  <c r="K132" i="6"/>
  <c r="J132" i="6"/>
  <c r="I132" i="6"/>
  <c r="H132" i="6"/>
  <c r="D132" i="6"/>
  <c r="C132" i="6"/>
  <c r="B132" i="6"/>
  <c r="A132" i="6"/>
  <c r="K131" i="6"/>
  <c r="J131" i="6"/>
  <c r="I131" i="6"/>
  <c r="H131" i="6"/>
  <c r="D131" i="6"/>
  <c r="C131" i="6"/>
  <c r="B131" i="6"/>
  <c r="A131" i="6"/>
  <c r="K130" i="6"/>
  <c r="J130" i="6"/>
  <c r="I130" i="6"/>
  <c r="H130" i="6"/>
  <c r="D130" i="6"/>
  <c r="C130" i="6"/>
  <c r="B130" i="6"/>
  <c r="A130" i="6"/>
  <c r="K129" i="6"/>
  <c r="J129" i="6"/>
  <c r="I129" i="6"/>
  <c r="H129" i="6"/>
  <c r="D129" i="6"/>
  <c r="C129" i="6"/>
  <c r="B129" i="6"/>
  <c r="A129" i="6"/>
  <c r="K128" i="6"/>
  <c r="J128" i="6"/>
  <c r="I128" i="6"/>
  <c r="H128" i="6"/>
  <c r="D128" i="6"/>
  <c r="C128" i="6"/>
  <c r="B128" i="6"/>
  <c r="A128" i="6"/>
  <c r="K127" i="6"/>
  <c r="J127" i="6"/>
  <c r="I127" i="6"/>
  <c r="H127" i="6"/>
  <c r="D127" i="6"/>
  <c r="C127" i="6"/>
  <c r="B127" i="6"/>
  <c r="A127" i="6"/>
  <c r="K126" i="6"/>
  <c r="J126" i="6"/>
  <c r="I126" i="6"/>
  <c r="H126" i="6"/>
  <c r="D126" i="6"/>
  <c r="C126" i="6"/>
  <c r="B126" i="6"/>
  <c r="A126" i="6"/>
  <c r="K125" i="6"/>
  <c r="J125" i="6"/>
  <c r="I125" i="6"/>
  <c r="H125" i="6"/>
  <c r="D125" i="6"/>
  <c r="C125" i="6"/>
  <c r="B125" i="6"/>
  <c r="A125" i="6"/>
  <c r="K124" i="6"/>
  <c r="J124" i="6"/>
  <c r="I124" i="6"/>
  <c r="H124" i="6"/>
  <c r="D124" i="6"/>
  <c r="C124" i="6"/>
  <c r="B124" i="6"/>
  <c r="A124" i="6"/>
  <c r="K123" i="6"/>
  <c r="J123" i="6"/>
  <c r="I123" i="6"/>
  <c r="H123" i="6"/>
  <c r="D123" i="6"/>
  <c r="C123" i="6"/>
  <c r="B123" i="6"/>
  <c r="A123" i="6"/>
  <c r="K122" i="6"/>
  <c r="J122" i="6"/>
  <c r="I122" i="6"/>
  <c r="H122" i="6"/>
  <c r="D122" i="6"/>
  <c r="C122" i="6"/>
  <c r="B122" i="6"/>
  <c r="A122" i="6"/>
  <c r="K121" i="6"/>
  <c r="J121" i="6"/>
  <c r="I121" i="6"/>
  <c r="H121" i="6"/>
  <c r="D121" i="6"/>
  <c r="C121" i="6"/>
  <c r="B121" i="6"/>
  <c r="A121" i="6"/>
  <c r="K120" i="6"/>
  <c r="J120" i="6"/>
  <c r="I120" i="6"/>
  <c r="H120" i="6"/>
  <c r="D120" i="6"/>
  <c r="C120" i="6"/>
  <c r="B120" i="6"/>
  <c r="A120" i="6"/>
  <c r="K119" i="6"/>
  <c r="J119" i="6"/>
  <c r="I119" i="6"/>
  <c r="H119" i="6"/>
  <c r="D119" i="6"/>
  <c r="C119" i="6"/>
  <c r="B119" i="6"/>
  <c r="A119" i="6"/>
  <c r="K118" i="6"/>
  <c r="J118" i="6"/>
  <c r="I118" i="6"/>
  <c r="H118" i="6"/>
  <c r="D118" i="6"/>
  <c r="C118" i="6"/>
  <c r="B118" i="6"/>
  <c r="A118" i="6"/>
  <c r="K117" i="6"/>
  <c r="J117" i="6"/>
  <c r="I117" i="6"/>
  <c r="H117" i="6"/>
  <c r="D117" i="6"/>
  <c r="C117" i="6"/>
  <c r="B117" i="6"/>
  <c r="A117" i="6"/>
  <c r="K116" i="6"/>
  <c r="J116" i="6"/>
  <c r="I116" i="6"/>
  <c r="H116" i="6"/>
  <c r="D116" i="6"/>
  <c r="C116" i="6"/>
  <c r="B116" i="6"/>
  <c r="A116" i="6"/>
  <c r="K115" i="6"/>
  <c r="J115" i="6"/>
  <c r="I115" i="6"/>
  <c r="H115" i="6"/>
  <c r="D115" i="6"/>
  <c r="C115" i="6"/>
  <c r="B115" i="6"/>
  <c r="A115" i="6"/>
  <c r="K114" i="6"/>
  <c r="J114" i="6"/>
  <c r="I114" i="6"/>
  <c r="H114" i="6"/>
  <c r="D114" i="6"/>
  <c r="C114" i="6"/>
  <c r="B114" i="6"/>
  <c r="A114" i="6"/>
  <c r="K113" i="6"/>
  <c r="J113" i="6"/>
  <c r="I113" i="6"/>
  <c r="H113" i="6"/>
  <c r="D113" i="6"/>
  <c r="C113" i="6"/>
  <c r="B113" i="6"/>
  <c r="A113" i="6"/>
  <c r="K112" i="6"/>
  <c r="J112" i="6"/>
  <c r="I112" i="6"/>
  <c r="H112" i="6"/>
  <c r="D112" i="6"/>
  <c r="C112" i="6"/>
  <c r="B112" i="6"/>
  <c r="A112" i="6"/>
  <c r="K111" i="6"/>
  <c r="J111" i="6"/>
  <c r="I111" i="6"/>
  <c r="H111" i="6"/>
  <c r="D111" i="6"/>
  <c r="C111" i="6"/>
  <c r="B111" i="6"/>
  <c r="A111" i="6"/>
  <c r="K110" i="6"/>
  <c r="J110" i="6"/>
  <c r="I110" i="6"/>
  <c r="H110" i="6"/>
  <c r="D110" i="6"/>
  <c r="C110" i="6"/>
  <c r="B110" i="6"/>
  <c r="A110" i="6"/>
  <c r="K109" i="6"/>
  <c r="J109" i="6"/>
  <c r="I109" i="6"/>
  <c r="H109" i="6"/>
  <c r="D109" i="6"/>
  <c r="C109" i="6"/>
  <c r="B109" i="6"/>
  <c r="A109" i="6"/>
  <c r="K108" i="6"/>
  <c r="J108" i="6"/>
  <c r="I108" i="6"/>
  <c r="H108" i="6"/>
  <c r="D108" i="6"/>
  <c r="C108" i="6"/>
  <c r="B108" i="6"/>
  <c r="A108" i="6"/>
  <c r="K107" i="6"/>
  <c r="J107" i="6"/>
  <c r="I107" i="6"/>
  <c r="H107" i="6"/>
  <c r="D107" i="6"/>
  <c r="C107" i="6"/>
  <c r="B107" i="6"/>
  <c r="A107" i="6"/>
  <c r="K106" i="6"/>
  <c r="J106" i="6"/>
  <c r="I106" i="6"/>
  <c r="H106" i="6"/>
  <c r="D106" i="6"/>
  <c r="C106" i="6"/>
  <c r="B106" i="6"/>
  <c r="A106" i="6"/>
  <c r="K105" i="6"/>
  <c r="J105" i="6"/>
  <c r="I105" i="6"/>
  <c r="H105" i="6"/>
  <c r="D105" i="6"/>
  <c r="C105" i="6"/>
  <c r="B105" i="6"/>
  <c r="A105" i="6"/>
  <c r="K104" i="6"/>
  <c r="J104" i="6"/>
  <c r="I104" i="6"/>
  <c r="H104" i="6"/>
  <c r="D104" i="6"/>
  <c r="C104" i="6"/>
  <c r="B104" i="6"/>
  <c r="A104" i="6"/>
  <c r="K103" i="6"/>
  <c r="J103" i="6"/>
  <c r="I103" i="6"/>
  <c r="H103" i="6"/>
  <c r="D103" i="6"/>
  <c r="C103" i="6"/>
  <c r="B103" i="6"/>
  <c r="A103" i="6"/>
  <c r="K102" i="6"/>
  <c r="J102" i="6"/>
  <c r="I102" i="6"/>
  <c r="H102" i="6"/>
  <c r="D102" i="6"/>
  <c r="C102" i="6"/>
  <c r="B102" i="6"/>
  <c r="A102" i="6"/>
  <c r="K101" i="6"/>
  <c r="J101" i="6"/>
  <c r="I101" i="6"/>
  <c r="H101" i="6"/>
  <c r="D101" i="6"/>
  <c r="C101" i="6"/>
  <c r="B101" i="6"/>
  <c r="A101" i="6"/>
  <c r="K100" i="6"/>
  <c r="J100" i="6"/>
  <c r="I100" i="6"/>
  <c r="H100" i="6"/>
  <c r="D100" i="6"/>
  <c r="C100" i="6"/>
  <c r="B100" i="6"/>
  <c r="A100" i="6"/>
  <c r="K99" i="6"/>
  <c r="J99" i="6"/>
  <c r="I99" i="6"/>
  <c r="H99" i="6"/>
  <c r="D99" i="6"/>
  <c r="C99" i="6"/>
  <c r="B99" i="6"/>
  <c r="A99" i="6"/>
  <c r="K98" i="6"/>
  <c r="J98" i="6"/>
  <c r="I98" i="6"/>
  <c r="H98" i="6"/>
  <c r="D98" i="6"/>
  <c r="C98" i="6"/>
  <c r="B98" i="6"/>
  <c r="A98" i="6"/>
  <c r="K97" i="6"/>
  <c r="J97" i="6"/>
  <c r="I97" i="6"/>
  <c r="H97" i="6"/>
  <c r="D97" i="6"/>
  <c r="C97" i="6"/>
  <c r="B97" i="6"/>
  <c r="A97" i="6"/>
  <c r="K96" i="6"/>
  <c r="J96" i="6"/>
  <c r="I96" i="6"/>
  <c r="H96" i="6"/>
  <c r="D96" i="6"/>
  <c r="C96" i="6"/>
  <c r="B96" i="6"/>
  <c r="A96" i="6"/>
  <c r="K95" i="6"/>
  <c r="J95" i="6"/>
  <c r="I95" i="6"/>
  <c r="H95" i="6"/>
  <c r="D95" i="6"/>
  <c r="C95" i="6"/>
  <c r="B95" i="6"/>
  <c r="A95" i="6"/>
  <c r="K94" i="6"/>
  <c r="J94" i="6"/>
  <c r="I94" i="6"/>
  <c r="H94" i="6"/>
  <c r="D94" i="6"/>
  <c r="C94" i="6"/>
  <c r="B94" i="6"/>
  <c r="A94" i="6"/>
  <c r="K93" i="6"/>
  <c r="J93" i="6"/>
  <c r="I93" i="6"/>
  <c r="H93" i="6"/>
  <c r="D93" i="6"/>
  <c r="C93" i="6"/>
  <c r="B93" i="6"/>
  <c r="A93" i="6"/>
  <c r="K92" i="6"/>
  <c r="J92" i="6"/>
  <c r="I92" i="6"/>
  <c r="H92" i="6"/>
  <c r="D92" i="6"/>
  <c r="C92" i="6"/>
  <c r="B92" i="6"/>
  <c r="A92" i="6"/>
  <c r="K91" i="6"/>
  <c r="J91" i="6"/>
  <c r="I91" i="6"/>
  <c r="H91" i="6"/>
  <c r="D91" i="6"/>
  <c r="C91" i="6"/>
  <c r="B91" i="6"/>
  <c r="A91" i="6"/>
  <c r="K90" i="6"/>
  <c r="J90" i="6"/>
  <c r="I90" i="6"/>
  <c r="H90" i="6"/>
  <c r="D90" i="6"/>
  <c r="C90" i="6"/>
  <c r="B90" i="6"/>
  <c r="A90" i="6"/>
  <c r="K89" i="6"/>
  <c r="J89" i="6"/>
  <c r="I89" i="6"/>
  <c r="H89" i="6"/>
  <c r="D89" i="6"/>
  <c r="C89" i="6"/>
  <c r="B89" i="6"/>
  <c r="A89" i="6"/>
  <c r="K88" i="6"/>
  <c r="J88" i="6"/>
  <c r="I88" i="6"/>
  <c r="H88" i="6"/>
  <c r="D88" i="6"/>
  <c r="C88" i="6"/>
  <c r="B88" i="6"/>
  <c r="A88" i="6"/>
  <c r="K87" i="6"/>
  <c r="J87" i="6"/>
  <c r="I87" i="6"/>
  <c r="H87" i="6"/>
  <c r="D87" i="6"/>
  <c r="C87" i="6"/>
  <c r="B87" i="6"/>
  <c r="A87" i="6"/>
  <c r="K86" i="6"/>
  <c r="J86" i="6"/>
  <c r="I86" i="6"/>
  <c r="H86" i="6"/>
  <c r="D86" i="6"/>
  <c r="C86" i="6"/>
  <c r="B86" i="6"/>
  <c r="A86" i="6"/>
  <c r="K85" i="6"/>
  <c r="J85" i="6"/>
  <c r="I85" i="6"/>
  <c r="H85" i="6"/>
  <c r="D85" i="6"/>
  <c r="C85" i="6"/>
  <c r="B85" i="6"/>
  <c r="A85" i="6"/>
  <c r="K84" i="6"/>
  <c r="J84" i="6"/>
  <c r="I84" i="6"/>
  <c r="H84" i="6"/>
  <c r="D84" i="6"/>
  <c r="C84" i="6"/>
  <c r="B84" i="6"/>
  <c r="A84" i="6"/>
  <c r="K83" i="6"/>
  <c r="J83" i="6"/>
  <c r="I83" i="6"/>
  <c r="H83" i="6"/>
  <c r="D83" i="6"/>
  <c r="C83" i="6"/>
  <c r="B83" i="6"/>
  <c r="A83" i="6"/>
  <c r="K82" i="6"/>
  <c r="J82" i="6"/>
  <c r="I82" i="6"/>
  <c r="H82" i="6"/>
  <c r="D82" i="6"/>
  <c r="C82" i="6"/>
  <c r="B82" i="6"/>
  <c r="A82" i="6"/>
  <c r="K81" i="6"/>
  <c r="J81" i="6"/>
  <c r="I81" i="6"/>
  <c r="H81" i="6"/>
  <c r="D81" i="6"/>
  <c r="C81" i="6"/>
  <c r="B81" i="6"/>
  <c r="A81" i="6"/>
  <c r="K80" i="6"/>
  <c r="J80" i="6"/>
  <c r="I80" i="6"/>
  <c r="H80" i="6"/>
  <c r="D80" i="6"/>
  <c r="C80" i="6"/>
  <c r="B80" i="6"/>
  <c r="A80" i="6"/>
  <c r="K79" i="6"/>
  <c r="J79" i="6"/>
  <c r="I79" i="6"/>
  <c r="H79" i="6"/>
  <c r="D79" i="6"/>
  <c r="C79" i="6"/>
  <c r="B79" i="6"/>
  <c r="A79" i="6"/>
  <c r="K78" i="6"/>
  <c r="J78" i="6"/>
  <c r="I78" i="6"/>
  <c r="H78" i="6"/>
  <c r="D78" i="6"/>
  <c r="C78" i="6"/>
  <c r="B78" i="6"/>
  <c r="A78" i="6"/>
  <c r="K77" i="6"/>
  <c r="J77" i="6"/>
  <c r="I77" i="6"/>
  <c r="H77" i="6"/>
  <c r="D77" i="6"/>
  <c r="C77" i="6"/>
  <c r="B77" i="6"/>
  <c r="A77" i="6"/>
  <c r="K76" i="6"/>
  <c r="J76" i="6"/>
  <c r="I76" i="6"/>
  <c r="H76" i="6"/>
  <c r="D76" i="6"/>
  <c r="C76" i="6"/>
  <c r="B76" i="6"/>
  <c r="A76" i="6"/>
  <c r="K75" i="6"/>
  <c r="J75" i="6"/>
  <c r="I75" i="6"/>
  <c r="H75" i="6"/>
  <c r="D75" i="6"/>
  <c r="C75" i="6"/>
  <c r="B75" i="6"/>
  <c r="A75" i="6"/>
  <c r="K74" i="6"/>
  <c r="J74" i="6"/>
  <c r="I74" i="6"/>
  <c r="H74" i="6"/>
  <c r="D74" i="6"/>
  <c r="C74" i="6"/>
  <c r="B74" i="6"/>
  <c r="A74" i="6"/>
  <c r="K73" i="6"/>
  <c r="J73" i="6"/>
  <c r="I73" i="6"/>
  <c r="H73" i="6"/>
  <c r="D73" i="6"/>
  <c r="C73" i="6"/>
  <c r="B73" i="6"/>
  <c r="A73" i="6"/>
  <c r="K72" i="6"/>
  <c r="J72" i="6"/>
  <c r="I72" i="6"/>
  <c r="H72" i="6"/>
  <c r="D72" i="6"/>
  <c r="C72" i="6"/>
  <c r="B72" i="6"/>
  <c r="A72" i="6"/>
  <c r="K71" i="6"/>
  <c r="J71" i="6"/>
  <c r="I71" i="6"/>
  <c r="H71" i="6"/>
  <c r="D71" i="6"/>
  <c r="C71" i="6"/>
  <c r="B71" i="6"/>
  <c r="A71" i="6"/>
  <c r="K70" i="6"/>
  <c r="J70" i="6"/>
  <c r="I70" i="6"/>
  <c r="H70" i="6"/>
  <c r="D70" i="6"/>
  <c r="C70" i="6"/>
  <c r="B70" i="6"/>
  <c r="A70" i="6"/>
  <c r="K69" i="6"/>
  <c r="J69" i="6"/>
  <c r="I69" i="6"/>
  <c r="H69" i="6"/>
  <c r="D69" i="6"/>
  <c r="C69" i="6"/>
  <c r="B69" i="6"/>
  <c r="A69" i="6"/>
  <c r="K68" i="6"/>
  <c r="J68" i="6"/>
  <c r="I68" i="6"/>
  <c r="H68" i="6"/>
  <c r="D68" i="6"/>
  <c r="C68" i="6"/>
  <c r="B68" i="6"/>
  <c r="A68" i="6"/>
  <c r="K67" i="6"/>
  <c r="J67" i="6"/>
  <c r="I67" i="6"/>
  <c r="H67" i="6"/>
  <c r="D67" i="6"/>
  <c r="C67" i="6"/>
  <c r="B67" i="6"/>
  <c r="A67" i="6"/>
  <c r="K66" i="6"/>
  <c r="J66" i="6"/>
  <c r="I66" i="6"/>
  <c r="H66" i="6"/>
  <c r="D66" i="6"/>
  <c r="C66" i="6"/>
  <c r="B66" i="6"/>
  <c r="A66" i="6"/>
  <c r="K65" i="6"/>
  <c r="J65" i="6"/>
  <c r="I65" i="6"/>
  <c r="H65" i="6"/>
  <c r="D65" i="6"/>
  <c r="C65" i="6"/>
  <c r="B65" i="6"/>
  <c r="A65" i="6"/>
  <c r="K64" i="6"/>
  <c r="J64" i="6"/>
  <c r="I64" i="6"/>
  <c r="H64" i="6"/>
  <c r="D64" i="6"/>
  <c r="C64" i="6"/>
  <c r="B64" i="6"/>
  <c r="A64" i="6"/>
  <c r="K63" i="6"/>
  <c r="J63" i="6"/>
  <c r="I63" i="6"/>
  <c r="H63" i="6"/>
  <c r="D63" i="6"/>
  <c r="C63" i="6"/>
  <c r="B63" i="6"/>
  <c r="A63" i="6"/>
  <c r="K62" i="6"/>
  <c r="J62" i="6"/>
  <c r="I62" i="6"/>
  <c r="H62" i="6"/>
  <c r="D62" i="6"/>
  <c r="C62" i="6"/>
  <c r="B62" i="6"/>
  <c r="A62" i="6"/>
  <c r="K61" i="6"/>
  <c r="J61" i="6"/>
  <c r="I61" i="6"/>
  <c r="H61" i="6"/>
  <c r="D61" i="6"/>
  <c r="C61" i="6"/>
  <c r="B61" i="6"/>
  <c r="A61" i="6"/>
  <c r="K60" i="6"/>
  <c r="J60" i="6"/>
  <c r="I60" i="6"/>
  <c r="H60" i="6"/>
  <c r="D60" i="6"/>
  <c r="C60" i="6"/>
  <c r="B60" i="6"/>
  <c r="A60" i="6"/>
  <c r="K59" i="6"/>
  <c r="J59" i="6"/>
  <c r="I59" i="6"/>
  <c r="H59" i="6"/>
  <c r="D59" i="6"/>
  <c r="C59" i="6"/>
  <c r="B59" i="6"/>
  <c r="A59" i="6"/>
  <c r="K58" i="6"/>
  <c r="J58" i="6"/>
  <c r="I58" i="6"/>
  <c r="H58" i="6"/>
  <c r="D58" i="6"/>
  <c r="C58" i="6"/>
  <c r="B58" i="6"/>
  <c r="A58" i="6"/>
  <c r="K57" i="6"/>
  <c r="J57" i="6"/>
  <c r="I57" i="6"/>
  <c r="H57" i="6"/>
  <c r="D57" i="6"/>
  <c r="C57" i="6"/>
  <c r="B57" i="6"/>
  <c r="A57" i="6"/>
  <c r="K56" i="6"/>
  <c r="J56" i="6"/>
  <c r="I56" i="6"/>
  <c r="H56" i="6"/>
  <c r="D56" i="6"/>
  <c r="C56" i="6"/>
  <c r="B56" i="6"/>
  <c r="A56" i="6"/>
  <c r="K55" i="6"/>
  <c r="J55" i="6"/>
  <c r="I55" i="6"/>
  <c r="H55" i="6"/>
  <c r="D55" i="6"/>
  <c r="C55" i="6"/>
  <c r="B55" i="6"/>
  <c r="A55" i="6"/>
  <c r="K54" i="6"/>
  <c r="J54" i="6"/>
  <c r="I54" i="6"/>
  <c r="H54" i="6"/>
  <c r="D54" i="6"/>
  <c r="C54" i="6"/>
  <c r="B54" i="6"/>
  <c r="A54" i="6"/>
  <c r="K53" i="6"/>
  <c r="J53" i="6"/>
  <c r="I53" i="6"/>
  <c r="H53" i="6"/>
  <c r="D53" i="6"/>
  <c r="C53" i="6"/>
  <c r="B53" i="6"/>
  <c r="A53" i="6"/>
  <c r="K52" i="6"/>
  <c r="J52" i="6"/>
  <c r="I52" i="6"/>
  <c r="H52" i="6"/>
  <c r="D52" i="6"/>
  <c r="C52" i="6"/>
  <c r="B52" i="6"/>
  <c r="A52" i="6"/>
  <c r="K51" i="6"/>
  <c r="J51" i="6"/>
  <c r="I51" i="6"/>
  <c r="H51" i="6"/>
  <c r="D51" i="6"/>
  <c r="C51" i="6"/>
  <c r="B51" i="6"/>
  <c r="A51" i="6"/>
  <c r="K50" i="6"/>
  <c r="J50" i="6"/>
  <c r="I50" i="6"/>
  <c r="H50" i="6"/>
  <c r="D50" i="6"/>
  <c r="C50" i="6"/>
  <c r="B50" i="6"/>
  <c r="A50" i="6"/>
  <c r="K49" i="6"/>
  <c r="J49" i="6"/>
  <c r="I49" i="6"/>
  <c r="H49" i="6"/>
  <c r="D49" i="6"/>
  <c r="C49" i="6"/>
  <c r="B49" i="6"/>
  <c r="A49" i="6"/>
  <c r="K48" i="6"/>
  <c r="J48" i="6"/>
  <c r="I48" i="6"/>
  <c r="H48" i="6"/>
  <c r="D48" i="6"/>
  <c r="C48" i="6"/>
  <c r="B48" i="6"/>
  <c r="A48" i="6"/>
  <c r="K47" i="6"/>
  <c r="J47" i="6"/>
  <c r="I47" i="6"/>
  <c r="H47" i="6"/>
  <c r="D47" i="6"/>
  <c r="C47" i="6"/>
  <c r="B47" i="6"/>
  <c r="A47" i="6"/>
  <c r="K46" i="6"/>
  <c r="J46" i="6"/>
  <c r="I46" i="6"/>
  <c r="H46" i="6"/>
  <c r="D46" i="6"/>
  <c r="C46" i="6"/>
  <c r="B46" i="6"/>
  <c r="A46" i="6"/>
  <c r="K45" i="6"/>
  <c r="J45" i="6"/>
  <c r="I45" i="6"/>
  <c r="H45" i="6"/>
  <c r="D45" i="6"/>
  <c r="C45" i="6"/>
  <c r="B45" i="6"/>
  <c r="A45" i="6"/>
  <c r="K44" i="6"/>
  <c r="J44" i="6"/>
  <c r="I44" i="6"/>
  <c r="H44" i="6"/>
  <c r="D44" i="6"/>
  <c r="C44" i="6"/>
  <c r="B44" i="6"/>
  <c r="A44" i="6"/>
  <c r="K43" i="6"/>
  <c r="J43" i="6"/>
  <c r="I43" i="6"/>
  <c r="H43" i="6"/>
  <c r="D43" i="6"/>
  <c r="C43" i="6"/>
  <c r="B43" i="6"/>
  <c r="A43" i="6"/>
  <c r="K42" i="6"/>
  <c r="J42" i="6"/>
  <c r="I42" i="6"/>
  <c r="H42" i="6"/>
  <c r="D42" i="6"/>
  <c r="C42" i="6"/>
  <c r="B42" i="6"/>
  <c r="A42" i="6"/>
  <c r="K41" i="6"/>
  <c r="J41" i="6"/>
  <c r="I41" i="6"/>
  <c r="H41" i="6"/>
  <c r="D41" i="6"/>
  <c r="C41" i="6"/>
  <c r="B41" i="6"/>
  <c r="A41" i="6"/>
  <c r="K40" i="6"/>
  <c r="J40" i="6"/>
  <c r="I40" i="6"/>
  <c r="H40" i="6"/>
  <c r="D40" i="6"/>
  <c r="C40" i="6"/>
  <c r="B40" i="6"/>
  <c r="A40" i="6"/>
  <c r="K39" i="6"/>
  <c r="J39" i="6"/>
  <c r="I39" i="6"/>
  <c r="H39" i="6"/>
  <c r="D39" i="6"/>
  <c r="C39" i="6"/>
  <c r="B39" i="6"/>
  <c r="A39" i="6"/>
  <c r="K38" i="6"/>
  <c r="J38" i="6"/>
  <c r="I38" i="6"/>
  <c r="H38" i="6"/>
  <c r="D38" i="6"/>
  <c r="C38" i="6"/>
  <c r="B38" i="6"/>
  <c r="A38" i="6"/>
  <c r="K37" i="6"/>
  <c r="J37" i="6"/>
  <c r="I37" i="6"/>
  <c r="H37" i="6"/>
  <c r="D37" i="6"/>
  <c r="C37" i="6"/>
  <c r="B37" i="6"/>
  <c r="A37" i="6"/>
  <c r="K36" i="6"/>
  <c r="J36" i="6"/>
  <c r="I36" i="6"/>
  <c r="H36" i="6"/>
  <c r="D36" i="6"/>
  <c r="C36" i="6"/>
  <c r="B36" i="6"/>
  <c r="A36" i="6"/>
  <c r="K35" i="6"/>
  <c r="J35" i="6"/>
  <c r="I35" i="6"/>
  <c r="H35" i="6"/>
  <c r="D35" i="6"/>
  <c r="C35" i="6"/>
  <c r="B35" i="6"/>
  <c r="A35" i="6"/>
  <c r="K34" i="6"/>
  <c r="J34" i="6"/>
  <c r="I34" i="6"/>
  <c r="H34" i="6"/>
  <c r="D34" i="6"/>
  <c r="C34" i="6"/>
  <c r="B34" i="6"/>
  <c r="A34" i="6"/>
  <c r="K33" i="6"/>
  <c r="J33" i="6"/>
  <c r="I33" i="6"/>
  <c r="H33" i="6"/>
  <c r="D33" i="6"/>
  <c r="C33" i="6"/>
  <c r="B33" i="6"/>
  <c r="A33" i="6"/>
  <c r="K32" i="6"/>
  <c r="J32" i="6"/>
  <c r="I32" i="6"/>
  <c r="H32" i="6"/>
  <c r="D32" i="6"/>
  <c r="C32" i="6"/>
  <c r="B32" i="6"/>
  <c r="A32" i="6"/>
  <c r="K31" i="6"/>
  <c r="J31" i="6"/>
  <c r="I31" i="6"/>
  <c r="H31" i="6"/>
  <c r="D31" i="6"/>
  <c r="C31" i="6"/>
  <c r="B31" i="6"/>
  <c r="A31" i="6"/>
  <c r="K30" i="6"/>
  <c r="J30" i="6"/>
  <c r="I30" i="6"/>
  <c r="H30" i="6"/>
  <c r="D30" i="6"/>
  <c r="C30" i="6"/>
  <c r="B30" i="6"/>
  <c r="A30" i="6"/>
  <c r="K29" i="6"/>
  <c r="J29" i="6"/>
  <c r="I29" i="6"/>
  <c r="H29" i="6"/>
  <c r="D29" i="6"/>
  <c r="C29" i="6"/>
  <c r="B29" i="6"/>
  <c r="A29" i="6"/>
  <c r="K28" i="6"/>
  <c r="J28" i="6"/>
  <c r="I28" i="6"/>
  <c r="H28" i="6"/>
  <c r="D28" i="6"/>
  <c r="C28" i="6"/>
  <c r="B28" i="6"/>
  <c r="A28" i="6"/>
  <c r="K27" i="6"/>
  <c r="J27" i="6"/>
  <c r="I27" i="6"/>
  <c r="H27" i="6"/>
  <c r="D27" i="6"/>
  <c r="C27" i="6"/>
  <c r="B27" i="6"/>
  <c r="A27" i="6"/>
  <c r="K26" i="6"/>
  <c r="J26" i="6"/>
  <c r="I26" i="6"/>
  <c r="H26" i="6"/>
  <c r="D26" i="6"/>
  <c r="C26" i="6"/>
  <c r="B26" i="6"/>
  <c r="A26" i="6"/>
  <c r="K25" i="6"/>
  <c r="J25" i="6"/>
  <c r="I25" i="6"/>
  <c r="H25" i="6"/>
  <c r="D25" i="6"/>
  <c r="C25" i="6"/>
  <c r="B25" i="6"/>
  <c r="A25" i="6"/>
  <c r="K24" i="6"/>
  <c r="J24" i="6"/>
  <c r="I24" i="6"/>
  <c r="H24" i="6"/>
  <c r="D24" i="6"/>
  <c r="C24" i="6"/>
  <c r="B24" i="6"/>
  <c r="A24" i="6"/>
  <c r="K23" i="6"/>
  <c r="J23" i="6"/>
  <c r="I23" i="6"/>
  <c r="H23" i="6"/>
  <c r="D23" i="6"/>
  <c r="C23" i="6"/>
  <c r="B23" i="6"/>
  <c r="A23" i="6"/>
  <c r="K22" i="6"/>
  <c r="J22" i="6"/>
  <c r="I22" i="6"/>
  <c r="H22" i="6"/>
  <c r="D22" i="6"/>
  <c r="C22" i="6"/>
  <c r="B22" i="6"/>
  <c r="A22" i="6"/>
  <c r="K21" i="6"/>
  <c r="J21" i="6"/>
  <c r="I21" i="6"/>
  <c r="H21" i="6"/>
  <c r="D21" i="6"/>
  <c r="C21" i="6"/>
  <c r="B21" i="6"/>
  <c r="A21" i="6"/>
  <c r="K20" i="6"/>
  <c r="J20" i="6"/>
  <c r="I20" i="6"/>
  <c r="H20" i="6"/>
  <c r="D20" i="6"/>
  <c r="C20" i="6"/>
  <c r="B20" i="6"/>
  <c r="A20" i="6"/>
  <c r="K19" i="6"/>
  <c r="J19" i="6"/>
  <c r="I19" i="6"/>
  <c r="H19" i="6"/>
  <c r="D19" i="6"/>
  <c r="C19" i="6"/>
  <c r="B19" i="6"/>
  <c r="A19" i="6"/>
  <c r="K18" i="6"/>
  <c r="J18" i="6"/>
  <c r="I18" i="6"/>
  <c r="H18" i="6"/>
  <c r="D18" i="6"/>
  <c r="C18" i="6"/>
  <c r="B18" i="6"/>
  <c r="A18" i="6"/>
  <c r="K17" i="6"/>
  <c r="J17" i="6"/>
  <c r="I17" i="6"/>
  <c r="H17" i="6"/>
  <c r="D17" i="6"/>
  <c r="C17" i="6"/>
  <c r="B17" i="6"/>
  <c r="A17" i="6"/>
  <c r="K16" i="6"/>
  <c r="J16" i="6"/>
  <c r="I16" i="6"/>
  <c r="H16" i="6"/>
  <c r="D16" i="6"/>
  <c r="C16" i="6"/>
  <c r="B16" i="6"/>
  <c r="A16" i="6"/>
  <c r="K15" i="6"/>
  <c r="J15" i="6"/>
  <c r="I15" i="6"/>
  <c r="H15" i="6"/>
  <c r="D15" i="6"/>
  <c r="C15" i="6"/>
  <c r="B15" i="6"/>
  <c r="A15" i="6"/>
  <c r="K14" i="6"/>
  <c r="J14" i="6"/>
  <c r="I14" i="6"/>
  <c r="H14" i="6"/>
  <c r="D14" i="6"/>
  <c r="C14" i="6"/>
  <c r="B14" i="6"/>
  <c r="A14" i="6"/>
  <c r="K13" i="6"/>
  <c r="J13" i="6"/>
  <c r="I13" i="6"/>
  <c r="H13" i="6"/>
  <c r="D13" i="6"/>
  <c r="C13" i="6"/>
  <c r="B13" i="6"/>
  <c r="A13" i="6"/>
  <c r="K12" i="6"/>
  <c r="J12" i="6"/>
  <c r="I12" i="6"/>
  <c r="H12" i="6"/>
  <c r="D12" i="6"/>
  <c r="C12" i="6"/>
  <c r="B12" i="6"/>
  <c r="A12" i="6"/>
  <c r="K11" i="6"/>
  <c r="J11" i="6"/>
  <c r="I11" i="6"/>
  <c r="H11" i="6"/>
  <c r="D11" i="6"/>
  <c r="C11" i="6"/>
  <c r="B11" i="6"/>
  <c r="A11" i="6"/>
  <c r="K10" i="6"/>
  <c r="J10" i="6"/>
  <c r="I10" i="6"/>
  <c r="H10" i="6"/>
  <c r="D10" i="6"/>
  <c r="C10" i="6"/>
  <c r="B10" i="6"/>
  <c r="A10" i="6"/>
  <c r="K9" i="6"/>
  <c r="J9" i="6"/>
  <c r="I9" i="6"/>
  <c r="H9" i="6"/>
  <c r="D9" i="6"/>
  <c r="C9" i="6"/>
  <c r="B9" i="6"/>
  <c r="A9" i="6"/>
  <c r="K8" i="6"/>
  <c r="J8" i="6"/>
  <c r="I8" i="6"/>
  <c r="H8" i="6"/>
  <c r="D8" i="6"/>
  <c r="C8" i="6"/>
  <c r="B8" i="6"/>
  <c r="A8" i="6"/>
  <c r="K7" i="6"/>
  <c r="J7" i="6"/>
  <c r="I7" i="6"/>
  <c r="H7" i="6"/>
  <c r="D7" i="6"/>
  <c r="C7" i="6"/>
  <c r="B7" i="6"/>
  <c r="A7" i="6"/>
  <c r="K6" i="6"/>
  <c r="J6" i="6"/>
  <c r="I6" i="6"/>
  <c r="H6" i="6"/>
  <c r="D6" i="6"/>
  <c r="C6" i="6"/>
  <c r="B6" i="6"/>
  <c r="A6" i="6"/>
  <c r="K5" i="6"/>
  <c r="J5" i="6"/>
  <c r="I5" i="6"/>
  <c r="H5" i="6"/>
  <c r="D5" i="6"/>
  <c r="C5" i="6"/>
  <c r="B5" i="6"/>
  <c r="A5" i="6"/>
  <c r="K4" i="6"/>
  <c r="J4" i="6"/>
  <c r="I4" i="6"/>
  <c r="H4" i="6"/>
  <c r="D4" i="6"/>
  <c r="C4" i="6"/>
  <c r="B4" i="6"/>
  <c r="A4" i="6"/>
  <c r="K3" i="6"/>
  <c r="J3" i="6"/>
  <c r="I3" i="6"/>
  <c r="H3" i="6"/>
  <c r="D3" i="6"/>
  <c r="C3" i="6"/>
  <c r="B3" i="6"/>
  <c r="A3" i="6"/>
  <c r="K2" i="6"/>
  <c r="J2" i="6"/>
  <c r="I2" i="6"/>
  <c r="H2" i="6"/>
  <c r="D2" i="6"/>
  <c r="C2" i="6"/>
  <c r="B2" i="6"/>
  <c r="A2" i="6"/>
  <c r="N156" i="3"/>
  <c r="G156" i="6" s="1"/>
  <c r="M156" i="3"/>
  <c r="F156" i="6" s="1"/>
  <c r="L156" i="3"/>
  <c r="K156" i="3"/>
  <c r="O156" i="3" s="1"/>
  <c r="N155" i="3"/>
  <c r="G155" i="6" s="1"/>
  <c r="M155" i="3"/>
  <c r="F155" i="6" s="1"/>
  <c r="L155" i="3"/>
  <c r="K155" i="3"/>
  <c r="E155" i="6" s="1"/>
  <c r="N154" i="3"/>
  <c r="G154" i="6" s="1"/>
  <c r="M154" i="3"/>
  <c r="F154" i="6" s="1"/>
  <c r="L154" i="3"/>
  <c r="K154" i="3"/>
  <c r="O154" i="3" s="1"/>
  <c r="O153" i="3"/>
  <c r="N153" i="3"/>
  <c r="G153" i="6" s="1"/>
  <c r="M153" i="3"/>
  <c r="F153" i="6" s="1"/>
  <c r="L153" i="3"/>
  <c r="K153" i="3"/>
  <c r="E153" i="6" s="1"/>
  <c r="N152" i="3"/>
  <c r="G152" i="6" s="1"/>
  <c r="M152" i="3"/>
  <c r="F152" i="6" s="1"/>
  <c r="L152" i="3"/>
  <c r="K152" i="3"/>
  <c r="E152" i="6" s="1"/>
  <c r="O151" i="3"/>
  <c r="N151" i="3"/>
  <c r="G151" i="6" s="1"/>
  <c r="M151" i="3"/>
  <c r="F151" i="6" s="1"/>
  <c r="L151" i="3"/>
  <c r="K151" i="3"/>
  <c r="E151" i="6" s="1"/>
  <c r="N150" i="3"/>
  <c r="G150" i="6" s="1"/>
  <c r="M150" i="3"/>
  <c r="F150" i="6" s="1"/>
  <c r="L150" i="3"/>
  <c r="K150" i="3"/>
  <c r="O150" i="3" s="1"/>
  <c r="N149" i="3"/>
  <c r="G149" i="6" s="1"/>
  <c r="M149" i="3"/>
  <c r="F149" i="6" s="1"/>
  <c r="L149" i="3"/>
  <c r="K149" i="3"/>
  <c r="E149" i="6" s="1"/>
  <c r="N148" i="3"/>
  <c r="G148" i="6" s="1"/>
  <c r="M148" i="3"/>
  <c r="F148" i="6" s="1"/>
  <c r="L148" i="3"/>
  <c r="K148" i="3"/>
  <c r="O148" i="3" s="1"/>
  <c r="N147" i="3"/>
  <c r="G147" i="6" s="1"/>
  <c r="M147" i="3"/>
  <c r="F147" i="6" s="1"/>
  <c r="L147" i="3"/>
  <c r="K147" i="3"/>
  <c r="E147" i="6" s="1"/>
  <c r="N146" i="3"/>
  <c r="G146" i="6" s="1"/>
  <c r="M146" i="3"/>
  <c r="F146" i="6" s="1"/>
  <c r="L146" i="3"/>
  <c r="K146" i="3"/>
  <c r="O146" i="3" s="1"/>
  <c r="O145" i="3"/>
  <c r="N145" i="3"/>
  <c r="G145" i="6" s="1"/>
  <c r="M145" i="3"/>
  <c r="F145" i="6" s="1"/>
  <c r="L145" i="3"/>
  <c r="K145" i="3"/>
  <c r="E145" i="6" s="1"/>
  <c r="N144" i="3"/>
  <c r="G144" i="6" s="1"/>
  <c r="M144" i="3"/>
  <c r="F144" i="6" s="1"/>
  <c r="L144" i="3"/>
  <c r="K144" i="3"/>
  <c r="E144" i="6" s="1"/>
  <c r="O143" i="3"/>
  <c r="N143" i="3"/>
  <c r="G143" i="6" s="1"/>
  <c r="M143" i="3"/>
  <c r="F143" i="6" s="1"/>
  <c r="L143" i="3"/>
  <c r="K143" i="3"/>
  <c r="E143" i="6" s="1"/>
  <c r="N142" i="3"/>
  <c r="G142" i="6" s="1"/>
  <c r="M142" i="3"/>
  <c r="F142" i="6" s="1"/>
  <c r="L142" i="3"/>
  <c r="K142" i="3"/>
  <c r="O142" i="3" s="1"/>
  <c r="N141" i="3"/>
  <c r="G141" i="6" s="1"/>
  <c r="M141" i="3"/>
  <c r="F141" i="6" s="1"/>
  <c r="L141" i="3"/>
  <c r="K141" i="3"/>
  <c r="E141" i="6" s="1"/>
  <c r="N140" i="3"/>
  <c r="G140" i="6" s="1"/>
  <c r="M140" i="3"/>
  <c r="F140" i="6" s="1"/>
  <c r="L140" i="3"/>
  <c r="K140" i="3"/>
  <c r="O140" i="3" s="1"/>
  <c r="N139" i="3"/>
  <c r="G139" i="6" s="1"/>
  <c r="M139" i="3"/>
  <c r="F139" i="6" s="1"/>
  <c r="L139" i="3"/>
  <c r="K139" i="3"/>
  <c r="E139" i="6" s="1"/>
  <c r="N138" i="3"/>
  <c r="G138" i="6" s="1"/>
  <c r="M138" i="3"/>
  <c r="F138" i="6" s="1"/>
  <c r="L138" i="3"/>
  <c r="K138" i="3"/>
  <c r="O138" i="3" s="1"/>
  <c r="O137" i="3"/>
  <c r="N137" i="3"/>
  <c r="G137" i="6" s="1"/>
  <c r="M137" i="3"/>
  <c r="F137" i="6" s="1"/>
  <c r="L137" i="3"/>
  <c r="K137" i="3"/>
  <c r="E137" i="6" s="1"/>
  <c r="N136" i="3"/>
  <c r="G136" i="6" s="1"/>
  <c r="M136" i="3"/>
  <c r="F136" i="6" s="1"/>
  <c r="L136" i="3"/>
  <c r="K136" i="3"/>
  <c r="E136" i="6" s="1"/>
  <c r="O135" i="3"/>
  <c r="N135" i="3"/>
  <c r="G135" i="6" s="1"/>
  <c r="M135" i="3"/>
  <c r="F135" i="6" s="1"/>
  <c r="L135" i="3"/>
  <c r="K135" i="3"/>
  <c r="E135" i="6" s="1"/>
  <c r="N134" i="3"/>
  <c r="G134" i="6" s="1"/>
  <c r="M134" i="3"/>
  <c r="F134" i="6" s="1"/>
  <c r="L134" i="3"/>
  <c r="K134" i="3"/>
  <c r="O134" i="3" s="1"/>
  <c r="N133" i="3"/>
  <c r="G133" i="6" s="1"/>
  <c r="M133" i="3"/>
  <c r="F133" i="6" s="1"/>
  <c r="L133" i="3"/>
  <c r="K133" i="3"/>
  <c r="E133" i="6" s="1"/>
  <c r="N132" i="3"/>
  <c r="G132" i="6" s="1"/>
  <c r="M132" i="3"/>
  <c r="F132" i="6" s="1"/>
  <c r="L132" i="3"/>
  <c r="K132" i="3"/>
  <c r="O132" i="3" s="1"/>
  <c r="N131" i="3"/>
  <c r="G131" i="6" s="1"/>
  <c r="M131" i="3"/>
  <c r="F131" i="6" s="1"/>
  <c r="L131" i="3"/>
  <c r="K131" i="3"/>
  <c r="E131" i="6" s="1"/>
  <c r="N130" i="3"/>
  <c r="G130" i="6" s="1"/>
  <c r="M130" i="3"/>
  <c r="F130" i="6" s="1"/>
  <c r="L130" i="3"/>
  <c r="K130" i="3"/>
  <c r="O130" i="3" s="1"/>
  <c r="O129" i="3"/>
  <c r="N129" i="3"/>
  <c r="G129" i="6" s="1"/>
  <c r="M129" i="3"/>
  <c r="F129" i="6" s="1"/>
  <c r="L129" i="3"/>
  <c r="K129" i="3"/>
  <c r="E129" i="6" s="1"/>
  <c r="N128" i="3"/>
  <c r="G128" i="6" s="1"/>
  <c r="M128" i="3"/>
  <c r="F128" i="6" s="1"/>
  <c r="L128" i="3"/>
  <c r="K128" i="3"/>
  <c r="E128" i="6" s="1"/>
  <c r="O127" i="3"/>
  <c r="N127" i="3"/>
  <c r="G127" i="6" s="1"/>
  <c r="M127" i="3"/>
  <c r="F127" i="6" s="1"/>
  <c r="L127" i="3"/>
  <c r="K127" i="3"/>
  <c r="E127" i="6" s="1"/>
  <c r="N126" i="3"/>
  <c r="G126" i="6" s="1"/>
  <c r="M126" i="3"/>
  <c r="F126" i="6" s="1"/>
  <c r="L126" i="3"/>
  <c r="K126" i="3"/>
  <c r="O126" i="3" s="1"/>
  <c r="N125" i="3"/>
  <c r="G125" i="6" s="1"/>
  <c r="M125" i="3"/>
  <c r="F125" i="6" s="1"/>
  <c r="L125" i="3"/>
  <c r="K125" i="3"/>
  <c r="E125" i="6" s="1"/>
  <c r="N124" i="3"/>
  <c r="G124" i="6" s="1"/>
  <c r="M124" i="3"/>
  <c r="F124" i="6" s="1"/>
  <c r="L124" i="3"/>
  <c r="K124" i="3"/>
  <c r="O124" i="3" s="1"/>
  <c r="N123" i="3"/>
  <c r="G123" i="6" s="1"/>
  <c r="M123" i="3"/>
  <c r="F123" i="6" s="1"/>
  <c r="L123" i="3"/>
  <c r="K123" i="3"/>
  <c r="E123" i="6" s="1"/>
  <c r="N122" i="3"/>
  <c r="G122" i="6" s="1"/>
  <c r="M122" i="3"/>
  <c r="F122" i="6" s="1"/>
  <c r="L122" i="3"/>
  <c r="K122" i="3"/>
  <c r="O122" i="3" s="1"/>
  <c r="O121" i="3"/>
  <c r="N121" i="3"/>
  <c r="G121" i="6" s="1"/>
  <c r="M121" i="3"/>
  <c r="F121" i="6" s="1"/>
  <c r="L121" i="3"/>
  <c r="K121" i="3"/>
  <c r="E121" i="6" s="1"/>
  <c r="N120" i="3"/>
  <c r="G120" i="6" s="1"/>
  <c r="M120" i="3"/>
  <c r="F120" i="6" s="1"/>
  <c r="L120" i="3"/>
  <c r="K120" i="3"/>
  <c r="E120" i="6" s="1"/>
  <c r="N119" i="3"/>
  <c r="G119" i="6" s="1"/>
  <c r="M119" i="3"/>
  <c r="F119" i="6" s="1"/>
  <c r="L119" i="3"/>
  <c r="K119" i="3"/>
  <c r="O119" i="3" s="1"/>
  <c r="N118" i="3"/>
  <c r="G118" i="6" s="1"/>
  <c r="M118" i="3"/>
  <c r="F118" i="6" s="1"/>
  <c r="L118" i="3"/>
  <c r="K118" i="3"/>
  <c r="O118" i="3" s="1"/>
  <c r="N117" i="3"/>
  <c r="G117" i="6" s="1"/>
  <c r="M117" i="3"/>
  <c r="F117" i="6" s="1"/>
  <c r="L117" i="3"/>
  <c r="K117" i="3"/>
  <c r="E117" i="6" s="1"/>
  <c r="N116" i="3"/>
  <c r="G116" i="6" s="1"/>
  <c r="M116" i="3"/>
  <c r="F116" i="6" s="1"/>
  <c r="L116" i="3"/>
  <c r="K116" i="3"/>
  <c r="O116" i="3" s="1"/>
  <c r="N115" i="3"/>
  <c r="G115" i="6" s="1"/>
  <c r="M115" i="3"/>
  <c r="F115" i="6" s="1"/>
  <c r="L115" i="3"/>
  <c r="K115" i="3"/>
  <c r="E115" i="6" s="1"/>
  <c r="N114" i="3"/>
  <c r="G114" i="6" s="1"/>
  <c r="M114" i="3"/>
  <c r="F114" i="6" s="1"/>
  <c r="L114" i="3"/>
  <c r="K114" i="3"/>
  <c r="O114" i="3" s="1"/>
  <c r="O113" i="3"/>
  <c r="N113" i="3"/>
  <c r="G113" i="6" s="1"/>
  <c r="M113" i="3"/>
  <c r="F113" i="6" s="1"/>
  <c r="L113" i="3"/>
  <c r="K113" i="3"/>
  <c r="E113" i="6" s="1"/>
  <c r="N112" i="3"/>
  <c r="G112" i="6" s="1"/>
  <c r="M112" i="3"/>
  <c r="F112" i="6" s="1"/>
  <c r="L112" i="3"/>
  <c r="K112" i="3"/>
  <c r="E112" i="6" s="1"/>
  <c r="N111" i="3"/>
  <c r="G111" i="6" s="1"/>
  <c r="M111" i="3"/>
  <c r="F111" i="6" s="1"/>
  <c r="L111" i="3"/>
  <c r="K111" i="3"/>
  <c r="O111" i="3" s="1"/>
  <c r="O110" i="3"/>
  <c r="N110" i="3"/>
  <c r="G110" i="6" s="1"/>
  <c r="M110" i="3"/>
  <c r="F110" i="6" s="1"/>
  <c r="L110" i="3"/>
  <c r="K110" i="3"/>
  <c r="E110" i="6" s="1"/>
  <c r="N109" i="3"/>
  <c r="G109" i="6" s="1"/>
  <c r="M109" i="3"/>
  <c r="F109" i="6" s="1"/>
  <c r="L109" i="3"/>
  <c r="K109" i="3"/>
  <c r="E109" i="6" s="1"/>
  <c r="N108" i="3"/>
  <c r="G108" i="6" s="1"/>
  <c r="M108" i="3"/>
  <c r="F108" i="6" s="1"/>
  <c r="L108" i="3"/>
  <c r="K108" i="3"/>
  <c r="O108" i="3" s="1"/>
  <c r="N107" i="3"/>
  <c r="G107" i="6" s="1"/>
  <c r="M107" i="3"/>
  <c r="F107" i="6" s="1"/>
  <c r="L107" i="3"/>
  <c r="K107" i="3"/>
  <c r="E107" i="6" s="1"/>
  <c r="N106" i="3"/>
  <c r="G106" i="6" s="1"/>
  <c r="M106" i="3"/>
  <c r="F106" i="6" s="1"/>
  <c r="L106" i="3"/>
  <c r="K106" i="3"/>
  <c r="O106" i="3" s="1"/>
  <c r="O105" i="3"/>
  <c r="N105" i="3"/>
  <c r="G105" i="6" s="1"/>
  <c r="M105" i="3"/>
  <c r="F105" i="6" s="1"/>
  <c r="L105" i="3"/>
  <c r="K105" i="3"/>
  <c r="E105" i="6" s="1"/>
  <c r="N104" i="3"/>
  <c r="G104" i="6" s="1"/>
  <c r="M104" i="3"/>
  <c r="F104" i="6" s="1"/>
  <c r="L104" i="3"/>
  <c r="K104" i="3"/>
  <c r="E104" i="6" s="1"/>
  <c r="N103" i="3"/>
  <c r="G103" i="6" s="1"/>
  <c r="M103" i="3"/>
  <c r="F103" i="6" s="1"/>
  <c r="L103" i="3"/>
  <c r="K103" i="3"/>
  <c r="O103" i="3" s="1"/>
  <c r="N102" i="3"/>
  <c r="G102" i="6" s="1"/>
  <c r="M102" i="3"/>
  <c r="F102" i="6" s="1"/>
  <c r="L102" i="3"/>
  <c r="K102" i="3"/>
  <c r="O102" i="3" s="1"/>
  <c r="N101" i="3"/>
  <c r="G101" i="6" s="1"/>
  <c r="M101" i="3"/>
  <c r="F101" i="6" s="1"/>
  <c r="L101" i="3"/>
  <c r="K101" i="3"/>
  <c r="E101" i="6" s="1"/>
  <c r="N100" i="3"/>
  <c r="G100" i="6" s="1"/>
  <c r="M100" i="3"/>
  <c r="F100" i="6" s="1"/>
  <c r="L100" i="3"/>
  <c r="K100" i="3"/>
  <c r="O100" i="3" s="1"/>
  <c r="N99" i="3"/>
  <c r="G99" i="6" s="1"/>
  <c r="M99" i="3"/>
  <c r="F99" i="6" s="1"/>
  <c r="L99" i="3"/>
  <c r="K99" i="3"/>
  <c r="E99" i="6" s="1"/>
  <c r="N98" i="3"/>
  <c r="G98" i="6" s="1"/>
  <c r="M98" i="3"/>
  <c r="F98" i="6" s="1"/>
  <c r="L98" i="3"/>
  <c r="K98" i="3"/>
  <c r="O98" i="3" s="1"/>
  <c r="O97" i="3"/>
  <c r="N97" i="3"/>
  <c r="G97" i="6" s="1"/>
  <c r="M97" i="3"/>
  <c r="F97" i="6" s="1"/>
  <c r="L97" i="3"/>
  <c r="K97" i="3"/>
  <c r="E97" i="6" s="1"/>
  <c r="N96" i="3"/>
  <c r="G96" i="6" s="1"/>
  <c r="M96" i="3"/>
  <c r="F96" i="6" s="1"/>
  <c r="L96" i="3"/>
  <c r="K96" i="3"/>
  <c r="E96" i="6" s="1"/>
  <c r="N95" i="3"/>
  <c r="G95" i="6" s="1"/>
  <c r="M95" i="3"/>
  <c r="F95" i="6" s="1"/>
  <c r="L95" i="3"/>
  <c r="K95" i="3"/>
  <c r="O95" i="3" s="1"/>
  <c r="O94" i="3"/>
  <c r="N94" i="3"/>
  <c r="G94" i="6" s="1"/>
  <c r="M94" i="3"/>
  <c r="F94" i="6" s="1"/>
  <c r="L94" i="3"/>
  <c r="K94" i="3"/>
  <c r="E94" i="6" s="1"/>
  <c r="N93" i="3"/>
  <c r="G93" i="6" s="1"/>
  <c r="M93" i="3"/>
  <c r="F93" i="6" s="1"/>
  <c r="L93" i="3"/>
  <c r="K93" i="3"/>
  <c r="E93" i="6" s="1"/>
  <c r="N92" i="3"/>
  <c r="G92" i="6" s="1"/>
  <c r="M92" i="3"/>
  <c r="F92" i="6" s="1"/>
  <c r="L92" i="3"/>
  <c r="K92" i="3"/>
  <c r="O92" i="3" s="1"/>
  <c r="N91" i="3"/>
  <c r="G91" i="6" s="1"/>
  <c r="M91" i="3"/>
  <c r="F91" i="6" s="1"/>
  <c r="L91" i="3"/>
  <c r="K91" i="3"/>
  <c r="E91" i="6" s="1"/>
  <c r="N90" i="3"/>
  <c r="G90" i="6" s="1"/>
  <c r="M90" i="3"/>
  <c r="F90" i="6" s="1"/>
  <c r="L90" i="3"/>
  <c r="K90" i="3"/>
  <c r="O90" i="3" s="1"/>
  <c r="O89" i="3"/>
  <c r="N89" i="3"/>
  <c r="G89" i="6" s="1"/>
  <c r="M89" i="3"/>
  <c r="F89" i="6" s="1"/>
  <c r="L89" i="3"/>
  <c r="K89" i="3"/>
  <c r="E89" i="6" s="1"/>
  <c r="N88" i="3"/>
  <c r="G88" i="6" s="1"/>
  <c r="M88" i="3"/>
  <c r="F88" i="6" s="1"/>
  <c r="L88" i="3"/>
  <c r="K88" i="3"/>
  <c r="E88" i="6" s="1"/>
  <c r="N87" i="3"/>
  <c r="G87" i="6" s="1"/>
  <c r="M87" i="3"/>
  <c r="F87" i="6" s="1"/>
  <c r="L87" i="3"/>
  <c r="K87" i="3"/>
  <c r="O87" i="3" s="1"/>
  <c r="O86" i="3"/>
  <c r="N86" i="3"/>
  <c r="G86" i="6" s="1"/>
  <c r="M86" i="3"/>
  <c r="F86" i="6" s="1"/>
  <c r="L86" i="3"/>
  <c r="K86" i="3"/>
  <c r="E86" i="6" s="1"/>
  <c r="N85" i="3"/>
  <c r="G85" i="6" s="1"/>
  <c r="M85" i="3"/>
  <c r="F85" i="6" s="1"/>
  <c r="L85" i="3"/>
  <c r="K85" i="3"/>
  <c r="E85" i="6" s="1"/>
  <c r="N84" i="3"/>
  <c r="G84" i="6" s="1"/>
  <c r="M84" i="3"/>
  <c r="F84" i="6" s="1"/>
  <c r="L84" i="3"/>
  <c r="K84" i="3"/>
  <c r="O84" i="3" s="1"/>
  <c r="N83" i="3"/>
  <c r="G83" i="6" s="1"/>
  <c r="M83" i="3"/>
  <c r="F83" i="6" s="1"/>
  <c r="L83" i="3"/>
  <c r="K83" i="3"/>
  <c r="E83" i="6" s="1"/>
  <c r="N82" i="3"/>
  <c r="G82" i="6" s="1"/>
  <c r="M82" i="3"/>
  <c r="F82" i="6" s="1"/>
  <c r="L82" i="3"/>
  <c r="K82" i="3"/>
  <c r="O82" i="3" s="1"/>
  <c r="O81" i="3"/>
  <c r="N81" i="3"/>
  <c r="G81" i="6" s="1"/>
  <c r="M81" i="3"/>
  <c r="F81" i="6" s="1"/>
  <c r="L81" i="3"/>
  <c r="K81" i="3"/>
  <c r="E81" i="6" s="1"/>
  <c r="N80" i="3"/>
  <c r="G80" i="6" s="1"/>
  <c r="M80" i="3"/>
  <c r="F80" i="6" s="1"/>
  <c r="L80" i="3"/>
  <c r="K80" i="3"/>
  <c r="E80" i="6" s="1"/>
  <c r="N79" i="3"/>
  <c r="G79" i="6" s="1"/>
  <c r="M79" i="3"/>
  <c r="F79" i="6" s="1"/>
  <c r="L79" i="3"/>
  <c r="K79" i="3"/>
  <c r="O79" i="3" s="1"/>
  <c r="O78" i="3"/>
  <c r="N78" i="3"/>
  <c r="G78" i="6" s="1"/>
  <c r="M78" i="3"/>
  <c r="F78" i="6" s="1"/>
  <c r="L78" i="3"/>
  <c r="K78" i="3"/>
  <c r="E78" i="6" s="1"/>
  <c r="N77" i="3"/>
  <c r="G77" i="6" s="1"/>
  <c r="M77" i="3"/>
  <c r="F77" i="6" s="1"/>
  <c r="L77" i="3"/>
  <c r="K77" i="3"/>
  <c r="E77" i="6" s="1"/>
  <c r="N76" i="3"/>
  <c r="G76" i="6" s="1"/>
  <c r="M76" i="3"/>
  <c r="F76" i="6" s="1"/>
  <c r="L76" i="3"/>
  <c r="K76" i="3"/>
  <c r="O76" i="3" s="1"/>
  <c r="N75" i="3"/>
  <c r="G75" i="6" s="1"/>
  <c r="M75" i="3"/>
  <c r="F75" i="6" s="1"/>
  <c r="L75" i="3"/>
  <c r="K75" i="3"/>
  <c r="E75" i="6" s="1"/>
  <c r="N74" i="3"/>
  <c r="G74" i="6" s="1"/>
  <c r="M74" i="3"/>
  <c r="F74" i="6" s="1"/>
  <c r="L74" i="3"/>
  <c r="K74" i="3"/>
  <c r="O74" i="3" s="1"/>
  <c r="O73" i="3"/>
  <c r="N73" i="3"/>
  <c r="G73" i="6" s="1"/>
  <c r="M73" i="3"/>
  <c r="F73" i="6" s="1"/>
  <c r="L73" i="3"/>
  <c r="K73" i="3"/>
  <c r="E73" i="6" s="1"/>
  <c r="O72" i="3"/>
  <c r="N72" i="3"/>
  <c r="G72" i="6" s="1"/>
  <c r="M72" i="3"/>
  <c r="F72" i="6" s="1"/>
  <c r="L72" i="3"/>
  <c r="K72" i="3"/>
  <c r="E72" i="6" s="1"/>
  <c r="N71" i="3"/>
  <c r="G71" i="6" s="1"/>
  <c r="M71" i="3"/>
  <c r="F71" i="6" s="1"/>
  <c r="L71" i="3"/>
  <c r="K71" i="3"/>
  <c r="O71" i="3" s="1"/>
  <c r="O70" i="3"/>
  <c r="N70" i="3"/>
  <c r="G70" i="6" s="1"/>
  <c r="M70" i="3"/>
  <c r="F70" i="6" s="1"/>
  <c r="L70" i="3"/>
  <c r="K70" i="3"/>
  <c r="E70" i="6" s="1"/>
  <c r="N69" i="3"/>
  <c r="G69" i="6" s="1"/>
  <c r="M69" i="3"/>
  <c r="F69" i="6" s="1"/>
  <c r="L69" i="3"/>
  <c r="K69" i="3"/>
  <c r="E69" i="6" s="1"/>
  <c r="N68" i="3"/>
  <c r="G68" i="6" s="1"/>
  <c r="M68" i="3"/>
  <c r="F68" i="6" s="1"/>
  <c r="L68" i="3"/>
  <c r="K68" i="3"/>
  <c r="O68" i="3" s="1"/>
  <c r="N67" i="3"/>
  <c r="G67" i="6" s="1"/>
  <c r="M67" i="3"/>
  <c r="F67" i="6" s="1"/>
  <c r="L67" i="3"/>
  <c r="K67" i="3"/>
  <c r="E67" i="6" s="1"/>
  <c r="N66" i="3"/>
  <c r="G66" i="6" s="1"/>
  <c r="M66" i="3"/>
  <c r="F66" i="6" s="1"/>
  <c r="L66" i="3"/>
  <c r="K66" i="3"/>
  <c r="O66" i="3" s="1"/>
  <c r="O65" i="3"/>
  <c r="N65" i="3"/>
  <c r="G65" i="6" s="1"/>
  <c r="M65" i="3"/>
  <c r="F65" i="6" s="1"/>
  <c r="L65" i="3"/>
  <c r="K65" i="3"/>
  <c r="E65" i="6" s="1"/>
  <c r="O64" i="3"/>
  <c r="N64" i="3"/>
  <c r="G64" i="6" s="1"/>
  <c r="M64" i="3"/>
  <c r="F64" i="6" s="1"/>
  <c r="L64" i="3"/>
  <c r="K64" i="3"/>
  <c r="E64" i="6" s="1"/>
  <c r="O63" i="3"/>
  <c r="N63" i="3"/>
  <c r="G63" i="6" s="1"/>
  <c r="M63" i="3"/>
  <c r="F63" i="6" s="1"/>
  <c r="L63" i="3"/>
  <c r="K63" i="3"/>
  <c r="E63" i="6" s="1"/>
  <c r="O62" i="3"/>
  <c r="N62" i="3"/>
  <c r="G62" i="6" s="1"/>
  <c r="M62" i="3"/>
  <c r="F62" i="6" s="1"/>
  <c r="L62" i="3"/>
  <c r="K62" i="3"/>
  <c r="E62" i="6" s="1"/>
  <c r="N61" i="3"/>
  <c r="G61" i="6" s="1"/>
  <c r="M61" i="3"/>
  <c r="F61" i="6" s="1"/>
  <c r="L61" i="3"/>
  <c r="K61" i="3"/>
  <c r="E61" i="6" s="1"/>
  <c r="N60" i="3"/>
  <c r="G60" i="6" s="1"/>
  <c r="M60" i="3"/>
  <c r="F60" i="6" s="1"/>
  <c r="L60" i="3"/>
  <c r="K60" i="3"/>
  <c r="O60" i="3" s="1"/>
  <c r="N59" i="3"/>
  <c r="G59" i="6" s="1"/>
  <c r="M59" i="3"/>
  <c r="F59" i="6" s="1"/>
  <c r="L59" i="3"/>
  <c r="K59" i="3"/>
  <c r="E59" i="6" s="1"/>
  <c r="N58" i="3"/>
  <c r="G58" i="6" s="1"/>
  <c r="M58" i="3"/>
  <c r="F58" i="6" s="1"/>
  <c r="L58" i="3"/>
  <c r="K58" i="3"/>
  <c r="O58" i="3" s="1"/>
  <c r="O57" i="3"/>
  <c r="N57" i="3"/>
  <c r="G57" i="6" s="1"/>
  <c r="M57" i="3"/>
  <c r="F57" i="6" s="1"/>
  <c r="L57" i="3"/>
  <c r="K57" i="3"/>
  <c r="E57" i="6" s="1"/>
  <c r="O56" i="3"/>
  <c r="N56" i="3"/>
  <c r="G56" i="6" s="1"/>
  <c r="M56" i="3"/>
  <c r="F56" i="6" s="1"/>
  <c r="L56" i="3"/>
  <c r="K56" i="3"/>
  <c r="E56" i="6" s="1"/>
  <c r="O55" i="3"/>
  <c r="N55" i="3"/>
  <c r="G55" i="6" s="1"/>
  <c r="M55" i="3"/>
  <c r="F55" i="6" s="1"/>
  <c r="L55" i="3"/>
  <c r="K55" i="3"/>
  <c r="E55" i="6" s="1"/>
  <c r="O54" i="3"/>
  <c r="N54" i="3"/>
  <c r="G54" i="6" s="1"/>
  <c r="M54" i="3"/>
  <c r="F54" i="6" s="1"/>
  <c r="L54" i="3"/>
  <c r="K54" i="3"/>
  <c r="E54" i="6" s="1"/>
  <c r="N53" i="3"/>
  <c r="G53" i="6" s="1"/>
  <c r="M53" i="3"/>
  <c r="F53" i="6" s="1"/>
  <c r="L53" i="3"/>
  <c r="K53" i="3"/>
  <c r="E53" i="6" s="1"/>
  <c r="N52" i="3"/>
  <c r="G52" i="6" s="1"/>
  <c r="M52" i="3"/>
  <c r="F52" i="6" s="1"/>
  <c r="L52" i="3"/>
  <c r="K52" i="3"/>
  <c r="O52" i="3" s="1"/>
  <c r="N51" i="3"/>
  <c r="G51" i="6" s="1"/>
  <c r="M51" i="3"/>
  <c r="F51" i="6" s="1"/>
  <c r="L51" i="3"/>
  <c r="K51" i="3"/>
  <c r="E51" i="6" s="1"/>
  <c r="N50" i="3"/>
  <c r="G50" i="6" s="1"/>
  <c r="M50" i="3"/>
  <c r="F50" i="6" s="1"/>
  <c r="L50" i="3"/>
  <c r="K50" i="3"/>
  <c r="O50" i="3" s="1"/>
  <c r="O49" i="3"/>
  <c r="N49" i="3"/>
  <c r="G49" i="6" s="1"/>
  <c r="M49" i="3"/>
  <c r="F49" i="6" s="1"/>
  <c r="L49" i="3"/>
  <c r="K49" i="3"/>
  <c r="E49" i="6" s="1"/>
  <c r="O48" i="3"/>
  <c r="N48" i="3"/>
  <c r="G48" i="6" s="1"/>
  <c r="M48" i="3"/>
  <c r="F48" i="6" s="1"/>
  <c r="L48" i="3"/>
  <c r="K48" i="3"/>
  <c r="E48" i="6" s="1"/>
  <c r="O47" i="3"/>
  <c r="N47" i="3"/>
  <c r="G47" i="6" s="1"/>
  <c r="M47" i="3"/>
  <c r="F47" i="6" s="1"/>
  <c r="L47" i="3"/>
  <c r="K47" i="3"/>
  <c r="E47" i="6" s="1"/>
  <c r="O46" i="3"/>
  <c r="N46" i="3"/>
  <c r="G46" i="6" s="1"/>
  <c r="M46" i="3"/>
  <c r="F46" i="6" s="1"/>
  <c r="L46" i="3"/>
  <c r="K46" i="3"/>
  <c r="E46" i="6" s="1"/>
  <c r="N45" i="3"/>
  <c r="G45" i="6" s="1"/>
  <c r="M45" i="3"/>
  <c r="F45" i="6" s="1"/>
  <c r="L45" i="3"/>
  <c r="K45" i="3"/>
  <c r="E45" i="6" s="1"/>
  <c r="N44" i="3"/>
  <c r="G44" i="6" s="1"/>
  <c r="M44" i="3"/>
  <c r="F44" i="6" s="1"/>
  <c r="L44" i="3"/>
  <c r="K44" i="3"/>
  <c r="O44" i="3" s="1"/>
  <c r="N43" i="3"/>
  <c r="G43" i="6" s="1"/>
  <c r="M43" i="3"/>
  <c r="F43" i="6" s="1"/>
  <c r="L43" i="3"/>
  <c r="K43" i="3"/>
  <c r="E43" i="6" s="1"/>
  <c r="N42" i="3"/>
  <c r="G42" i="6" s="1"/>
  <c r="M42" i="3"/>
  <c r="F42" i="6" s="1"/>
  <c r="L42" i="3"/>
  <c r="K42" i="3"/>
  <c r="O42" i="3" s="1"/>
  <c r="O41" i="3"/>
  <c r="N41" i="3"/>
  <c r="G41" i="6" s="1"/>
  <c r="M41" i="3"/>
  <c r="F41" i="6" s="1"/>
  <c r="L41" i="3"/>
  <c r="K41" i="3"/>
  <c r="E41" i="6" s="1"/>
  <c r="O40" i="3"/>
  <c r="N40" i="3"/>
  <c r="G40" i="6" s="1"/>
  <c r="M40" i="3"/>
  <c r="F40" i="6" s="1"/>
  <c r="L40" i="3"/>
  <c r="K40" i="3"/>
  <c r="E40" i="6" s="1"/>
  <c r="O39" i="3"/>
  <c r="N39" i="3"/>
  <c r="G39" i="6" s="1"/>
  <c r="M39" i="3"/>
  <c r="F39" i="6" s="1"/>
  <c r="L39" i="3"/>
  <c r="K39" i="3"/>
  <c r="E39" i="6" s="1"/>
  <c r="O38" i="3"/>
  <c r="N38" i="3"/>
  <c r="G38" i="6" s="1"/>
  <c r="M38" i="3"/>
  <c r="F38" i="6" s="1"/>
  <c r="L38" i="3"/>
  <c r="K38" i="3"/>
  <c r="E38" i="6" s="1"/>
  <c r="N37" i="3"/>
  <c r="G37" i="6" s="1"/>
  <c r="M37" i="3"/>
  <c r="F37" i="6" s="1"/>
  <c r="L37" i="3"/>
  <c r="K37" i="3"/>
  <c r="E37" i="6" s="1"/>
  <c r="N36" i="3"/>
  <c r="G36" i="6" s="1"/>
  <c r="M36" i="3"/>
  <c r="F36" i="6" s="1"/>
  <c r="L36" i="3"/>
  <c r="K36" i="3"/>
  <c r="O36" i="3" s="1"/>
  <c r="N35" i="3"/>
  <c r="G35" i="6" s="1"/>
  <c r="M35" i="3"/>
  <c r="F35" i="6" s="1"/>
  <c r="L35" i="3"/>
  <c r="K35" i="3"/>
  <c r="E35" i="6" s="1"/>
  <c r="N34" i="3"/>
  <c r="G34" i="6" s="1"/>
  <c r="M34" i="3"/>
  <c r="F34" i="6" s="1"/>
  <c r="L34" i="3"/>
  <c r="K34" i="3"/>
  <c r="O34" i="3" s="1"/>
  <c r="O33" i="3"/>
  <c r="N33" i="3"/>
  <c r="G33" i="6" s="1"/>
  <c r="M33" i="3"/>
  <c r="F33" i="6" s="1"/>
  <c r="L33" i="3"/>
  <c r="K33" i="3"/>
  <c r="E33" i="6" s="1"/>
  <c r="O32" i="3"/>
  <c r="N32" i="3"/>
  <c r="G32" i="6" s="1"/>
  <c r="M32" i="3"/>
  <c r="F32" i="6" s="1"/>
  <c r="L32" i="3"/>
  <c r="K32" i="3"/>
  <c r="E32" i="6" s="1"/>
  <c r="O31" i="3"/>
  <c r="N31" i="3"/>
  <c r="G31" i="6" s="1"/>
  <c r="M31" i="3"/>
  <c r="F31" i="6" s="1"/>
  <c r="L31" i="3"/>
  <c r="K31" i="3"/>
  <c r="E31" i="6" s="1"/>
  <c r="O30" i="3"/>
  <c r="N30" i="3"/>
  <c r="G30" i="6" s="1"/>
  <c r="M30" i="3"/>
  <c r="F30" i="6" s="1"/>
  <c r="L30" i="3"/>
  <c r="K30" i="3"/>
  <c r="E30" i="6" s="1"/>
  <c r="N29" i="3"/>
  <c r="G29" i="6" s="1"/>
  <c r="M29" i="3"/>
  <c r="F29" i="6" s="1"/>
  <c r="L29" i="3"/>
  <c r="K29" i="3"/>
  <c r="E29" i="6" s="1"/>
  <c r="N28" i="3"/>
  <c r="G28" i="6" s="1"/>
  <c r="M28" i="3"/>
  <c r="F28" i="6" s="1"/>
  <c r="L28" i="3"/>
  <c r="K28" i="3"/>
  <c r="O28" i="3" s="1"/>
  <c r="N27" i="3"/>
  <c r="G27" i="6" s="1"/>
  <c r="M27" i="3"/>
  <c r="F27" i="6" s="1"/>
  <c r="L27" i="3"/>
  <c r="K27" i="3"/>
  <c r="E27" i="6" s="1"/>
  <c r="N26" i="3"/>
  <c r="G26" i="6" s="1"/>
  <c r="M26" i="3"/>
  <c r="F26" i="6" s="1"/>
  <c r="L26" i="3"/>
  <c r="K26" i="3"/>
  <c r="O26" i="3" s="1"/>
  <c r="O25" i="3"/>
  <c r="N25" i="3"/>
  <c r="G25" i="6" s="1"/>
  <c r="M25" i="3"/>
  <c r="F25" i="6" s="1"/>
  <c r="L25" i="3"/>
  <c r="K25" i="3"/>
  <c r="E25" i="6" s="1"/>
  <c r="O24" i="3"/>
  <c r="N24" i="3"/>
  <c r="G24" i="6" s="1"/>
  <c r="M24" i="3"/>
  <c r="F24" i="6" s="1"/>
  <c r="L24" i="3"/>
  <c r="K24" i="3"/>
  <c r="E24" i="6" s="1"/>
  <c r="O23" i="3"/>
  <c r="N23" i="3"/>
  <c r="G23" i="6" s="1"/>
  <c r="M23" i="3"/>
  <c r="F23" i="6" s="1"/>
  <c r="L23" i="3"/>
  <c r="K23" i="3"/>
  <c r="E23" i="6" s="1"/>
  <c r="O22" i="3"/>
  <c r="N22" i="3"/>
  <c r="G22" i="6" s="1"/>
  <c r="M22" i="3"/>
  <c r="F22" i="6" s="1"/>
  <c r="L22" i="3"/>
  <c r="K22" i="3"/>
  <c r="E22" i="6" s="1"/>
  <c r="N21" i="3"/>
  <c r="G21" i="6" s="1"/>
  <c r="M21" i="3"/>
  <c r="F21" i="6" s="1"/>
  <c r="L21" i="3"/>
  <c r="K21" i="3"/>
  <c r="E21" i="6" s="1"/>
  <c r="N20" i="3"/>
  <c r="G20" i="6" s="1"/>
  <c r="M20" i="3"/>
  <c r="F20" i="6" s="1"/>
  <c r="L20" i="3"/>
  <c r="K20" i="3"/>
  <c r="O20" i="3" s="1"/>
  <c r="N19" i="3"/>
  <c r="G19" i="6" s="1"/>
  <c r="M19" i="3"/>
  <c r="F19" i="6" s="1"/>
  <c r="L19" i="3"/>
  <c r="K19" i="3"/>
  <c r="E19" i="6" s="1"/>
  <c r="N18" i="3"/>
  <c r="G18" i="6" s="1"/>
  <c r="M18" i="3"/>
  <c r="F18" i="6" s="1"/>
  <c r="L18" i="3"/>
  <c r="K18" i="3"/>
  <c r="O18" i="3" s="1"/>
  <c r="O17" i="3"/>
  <c r="N17" i="3"/>
  <c r="G17" i="6" s="1"/>
  <c r="M17" i="3"/>
  <c r="F17" i="6" s="1"/>
  <c r="L17" i="3"/>
  <c r="K17" i="3"/>
  <c r="E17" i="6" s="1"/>
  <c r="O16" i="3"/>
  <c r="N16" i="3"/>
  <c r="G16" i="6" s="1"/>
  <c r="M16" i="3"/>
  <c r="F16" i="6" s="1"/>
  <c r="L16" i="3"/>
  <c r="K16" i="3"/>
  <c r="E16" i="6" s="1"/>
  <c r="O15" i="3"/>
  <c r="N15" i="3"/>
  <c r="G15" i="6" s="1"/>
  <c r="M15" i="3"/>
  <c r="F15" i="6" s="1"/>
  <c r="L15" i="3"/>
  <c r="K15" i="3"/>
  <c r="E15" i="6" s="1"/>
  <c r="O14" i="3"/>
  <c r="N14" i="3"/>
  <c r="G14" i="6" s="1"/>
  <c r="M14" i="3"/>
  <c r="F14" i="6" s="1"/>
  <c r="L14" i="3"/>
  <c r="K14" i="3"/>
  <c r="E14" i="6" s="1"/>
  <c r="N13" i="3"/>
  <c r="G13" i="6" s="1"/>
  <c r="M13" i="3"/>
  <c r="F13" i="6" s="1"/>
  <c r="L13" i="3"/>
  <c r="K13" i="3"/>
  <c r="E13" i="6" s="1"/>
  <c r="N12" i="3"/>
  <c r="G12" i="6" s="1"/>
  <c r="M12" i="3"/>
  <c r="F12" i="6" s="1"/>
  <c r="L12" i="3"/>
  <c r="K12" i="3"/>
  <c r="O12" i="3" s="1"/>
  <c r="N11" i="3"/>
  <c r="G11" i="6" s="1"/>
  <c r="M11" i="3"/>
  <c r="F11" i="6" s="1"/>
  <c r="L11" i="3"/>
  <c r="K11" i="3"/>
  <c r="E11" i="6" s="1"/>
  <c r="N10" i="3"/>
  <c r="G10" i="6" s="1"/>
  <c r="M10" i="3"/>
  <c r="F10" i="6" s="1"/>
  <c r="L10" i="3"/>
  <c r="K10" i="3"/>
  <c r="O10" i="3" s="1"/>
  <c r="O9" i="3"/>
  <c r="N9" i="3"/>
  <c r="G9" i="6" s="1"/>
  <c r="M9" i="3"/>
  <c r="F9" i="6" s="1"/>
  <c r="L9" i="3"/>
  <c r="K9" i="3"/>
  <c r="E9" i="6" s="1"/>
  <c r="O8" i="3"/>
  <c r="N8" i="3"/>
  <c r="G8" i="6" s="1"/>
  <c r="M8" i="3"/>
  <c r="F8" i="6" s="1"/>
  <c r="L8" i="3"/>
  <c r="K8" i="3"/>
  <c r="E8" i="6" s="1"/>
  <c r="O7" i="3"/>
  <c r="N7" i="3"/>
  <c r="G7" i="6" s="1"/>
  <c r="M7" i="3"/>
  <c r="F7" i="6" s="1"/>
  <c r="L7" i="3"/>
  <c r="K7" i="3"/>
  <c r="E7" i="6" s="1"/>
  <c r="O6" i="3"/>
  <c r="N6" i="3"/>
  <c r="G6" i="6" s="1"/>
  <c r="M6" i="3"/>
  <c r="F6" i="6" s="1"/>
  <c r="L6" i="3"/>
  <c r="K6" i="3"/>
  <c r="E6" i="6" s="1"/>
  <c r="N5" i="3"/>
  <c r="G5" i="6" s="1"/>
  <c r="M5" i="3"/>
  <c r="F5" i="6" s="1"/>
  <c r="L5" i="3"/>
  <c r="K5" i="3"/>
  <c r="E5" i="6" s="1"/>
  <c r="N4" i="3"/>
  <c r="G4" i="6" s="1"/>
  <c r="M4" i="3"/>
  <c r="F4" i="6" s="1"/>
  <c r="L4" i="3"/>
  <c r="K4" i="3"/>
  <c r="O4" i="3" s="1"/>
  <c r="N3" i="3"/>
  <c r="G3" i="6" s="1"/>
  <c r="M3" i="3"/>
  <c r="F3" i="6" s="1"/>
  <c r="L3" i="3"/>
  <c r="K3" i="3"/>
  <c r="E3" i="6" s="1"/>
  <c r="N2" i="3"/>
  <c r="G2" i="6" s="1"/>
  <c r="M2" i="3"/>
  <c r="F2" i="6" s="1"/>
  <c r="L2" i="3"/>
  <c r="K2" i="3"/>
  <c r="O2" i="3" s="1"/>
  <c r="E102" i="6" l="1"/>
  <c r="E118" i="6"/>
  <c r="E126" i="6"/>
  <c r="E134" i="6"/>
  <c r="E142" i="6"/>
  <c r="E150" i="6"/>
  <c r="O3" i="3"/>
  <c r="O11" i="3"/>
  <c r="O19" i="3"/>
  <c r="O27" i="3"/>
  <c r="O35" i="3"/>
  <c r="O43" i="3"/>
  <c r="O51" i="3"/>
  <c r="O59" i="3"/>
  <c r="O67" i="3"/>
  <c r="O75" i="3"/>
  <c r="O83" i="3"/>
  <c r="O91" i="3"/>
  <c r="O99" i="3"/>
  <c r="O107" i="3"/>
  <c r="O115" i="3"/>
  <c r="O123" i="3"/>
  <c r="O131" i="3"/>
  <c r="O139" i="3"/>
  <c r="O147" i="3"/>
  <c r="O155" i="3"/>
  <c r="E4" i="6"/>
  <c r="E12" i="6"/>
  <c r="E20" i="6"/>
  <c r="E28" i="6"/>
  <c r="E36" i="6"/>
  <c r="E44" i="6"/>
  <c r="E52" i="6"/>
  <c r="E60" i="6"/>
  <c r="E68" i="6"/>
  <c r="E76" i="6"/>
  <c r="E84" i="6"/>
  <c r="E92" i="6"/>
  <c r="E100" i="6"/>
  <c r="E108" i="6"/>
  <c r="E116" i="6"/>
  <c r="E124" i="6"/>
  <c r="E132" i="6"/>
  <c r="E140" i="6"/>
  <c r="E148" i="6"/>
  <c r="E156" i="6"/>
  <c r="O80" i="3"/>
  <c r="O88" i="3"/>
  <c r="O96" i="3"/>
  <c r="O104" i="3"/>
  <c r="O112" i="3"/>
  <c r="O120" i="3"/>
  <c r="O128" i="3"/>
  <c r="O136" i="3"/>
  <c r="O144" i="3"/>
  <c r="O152" i="3"/>
  <c r="E71" i="6"/>
  <c r="E79" i="6"/>
  <c r="E87" i="6"/>
  <c r="E95" i="6"/>
  <c r="E103" i="6"/>
  <c r="E111" i="6"/>
  <c r="E119" i="6"/>
  <c r="O5" i="3"/>
  <c r="O13" i="3"/>
  <c r="O21" i="3"/>
  <c r="O29" i="3"/>
  <c r="O37" i="3"/>
  <c r="O45" i="3"/>
  <c r="O53" i="3"/>
  <c r="O61" i="3"/>
  <c r="O69" i="3"/>
  <c r="O77" i="3"/>
  <c r="O85" i="3"/>
  <c r="O93" i="3"/>
  <c r="O101" i="3"/>
  <c r="O109" i="3"/>
  <c r="O117" i="3"/>
  <c r="O125" i="3"/>
  <c r="O133" i="3"/>
  <c r="O141" i="3"/>
  <c r="O149" i="3"/>
  <c r="E2" i="6"/>
  <c r="E10" i="6"/>
  <c r="E18" i="6"/>
  <c r="E26" i="6"/>
  <c r="E34" i="6"/>
  <c r="E42" i="6"/>
  <c r="E50" i="6"/>
  <c r="E58" i="6"/>
  <c r="E66" i="6"/>
  <c r="E74" i="6"/>
  <c r="E82" i="6"/>
  <c r="E90" i="6"/>
  <c r="E98" i="6"/>
  <c r="E106" i="6"/>
  <c r="E114" i="6"/>
  <c r="E122" i="6"/>
  <c r="E130" i="6"/>
  <c r="E138" i="6"/>
  <c r="E146" i="6"/>
  <c r="E154" i="6"/>
</calcChain>
</file>

<file path=xl/sharedStrings.xml><?xml version="1.0" encoding="utf-8"?>
<sst xmlns="http://schemas.openxmlformats.org/spreadsheetml/2006/main" count="22409" uniqueCount="5696">
  <si>
    <t>AI Maturity Assessment — v1</t>
  </si>
  <si>
    <t>How to use this assessment</t>
  </si>
  <si>
    <t>1. Fill in the Respondent Info tab with your name, role, organization, and date.</t>
  </si>
  <si>
    <t>2. Open the Survey tab. For each question, select the response that best describes your organization from the dropdown in the Response column.</t>
  </si>
  <si>
    <t>3. Use the Evidence / Notes column (column P) to capture supporting documentation, examples, or context.</t>
  </si>
  <si>
    <t>4. Leave a row blank if you are not ready to answer — the assessment will exclude it from scoring automatically.</t>
  </si>
  <si>
    <t>5. The Dashboard, Gap Analysis, and Recommendations Output tabs update automatically as you select responses.</t>
  </si>
  <si>
    <t>About the response options</t>
  </si>
  <si>
    <t>• Each question offers 5 maturity-coded statements. Select the one that most accurately reflects your organization today — not your aspiration.</t>
  </si>
  <si>
    <t>• If you are unsure about a question, choose "Not sure" — this flags an awareness gap without affecting your maturity score.</t>
  </si>
  <si>
    <t>• If a question genuinely does not apply to your organization, choose "Not applicable" — same treatment, different flag.</t>
  </si>
  <si>
    <t>AI Maturity Assessment — Respondent Information</t>
  </si>
  <si>
    <t>Respondent Name</t>
  </si>
  <si>
    <t>Role / Title</t>
  </si>
  <si>
    <t>Function / Department</t>
  </si>
  <si>
    <t>Date Completed</t>
  </si>
  <si>
    <t>Organization</t>
  </si>
  <si>
    <t>Engagement / Project Reference</t>
  </si>
  <si>
    <t>Notes</t>
  </si>
  <si>
    <t>Question ID</t>
  </si>
  <si>
    <t>Domain</t>
  </si>
  <si>
    <t>Subsection</t>
  </si>
  <si>
    <t>Capability</t>
  </si>
  <si>
    <t>Question Type</t>
  </si>
  <si>
    <t>Primary Audience</t>
  </si>
  <si>
    <t>Secondary Audience</t>
  </si>
  <si>
    <t>Response Type</t>
  </si>
  <si>
    <t>Question</t>
  </si>
  <si>
    <t>Response</t>
  </si>
  <si>
    <t>Hidden Score</t>
  </si>
  <si>
    <t>Score Treatment</t>
  </si>
  <si>
    <t>Gap Flag</t>
  </si>
  <si>
    <t>Recommendation ID</t>
  </si>
  <si>
    <t>Evidence Required</t>
  </si>
  <si>
    <t>Evidence / Notes</t>
  </si>
  <si>
    <t>NIST AI RMF Mapping</t>
  </si>
  <si>
    <t>ISO 42001 Mapping</t>
  </si>
  <si>
    <t>GOV-001</t>
  </si>
  <si>
    <t>AI Council Governance and Framework Charter</t>
  </si>
  <si>
    <t>The AI Council (Structure &amp; Authority)</t>
  </si>
  <si>
    <t>AI Executive Accountability</t>
  </si>
  <si>
    <t>Executive</t>
  </si>
  <si>
    <t>Governance/Risk/Compliance</t>
  </si>
  <si>
    <t>Single-select dropdown</t>
  </si>
  <si>
    <t>Which best describes executive accountability for AI in your organization?</t>
  </si>
  <si>
    <t>A named executive owns enterprise AI strategy, governance, funding, and prioritization</t>
  </si>
  <si>
    <t>Govern</t>
  </si>
  <si>
    <t>Clause 5 (Leadership)</t>
  </si>
  <si>
    <t>GOV-002</t>
  </si>
  <si>
    <t>Cross-Functional AI Governance</t>
  </si>
  <si>
    <t>Which best describes the cross-functional representation of your AI governance council or equivalent decision-making body?</t>
  </si>
  <si>
    <t>The governance body includes consistent representation from IT, business units, legal, security/risk, HR, and data/analytics, with defined roles and decision rights</t>
  </si>
  <si>
    <t>GOV-003</t>
  </si>
  <si>
    <t>Governance Authority and Decision Rights</t>
  </si>
  <si>
    <t>Which best describes the authority of your AI governance council to approve, pause, or stop AI initiatives based on risk?</t>
  </si>
  <si>
    <t>The council can review AI initiatives, but its authority to enforce decisions is unclear or inconsistently applied</t>
  </si>
  <si>
    <t>Clause 6 (Planning)</t>
  </si>
  <si>
    <t>GOV-004</t>
  </si>
  <si>
    <t>Governance Cadence and Responsiveness</t>
  </si>
  <si>
    <t>Which best describes the meeting cadence and responsiveness of your AI governance council or review process?</t>
  </si>
  <si>
    <t>The council meets periodically, but the cadence is not always sufficient to support timely AI review and approval</t>
  </si>
  <si>
    <t>Clause 9 (Performance Evaluation)</t>
  </si>
  <si>
    <t>GOV-005</t>
  </si>
  <si>
    <t>AI Risk Escalation and Tie-Breaking</t>
  </si>
  <si>
    <t>Which best describes how AI risk disagreements are escalated and resolved?</t>
  </si>
  <si>
    <t>Disagreements are handled informally between teams, with no documented tie-breaking authority</t>
  </si>
  <si>
    <t>GOV-006</t>
  </si>
  <si>
    <t>Governance Framework (Policies &amp; Standards)</t>
  </si>
  <si>
    <t>AI Risk Classification</t>
  </si>
  <si>
    <t>IT/Architecture</t>
  </si>
  <si>
    <t>Which best describes your organization's process for classifying AI use cases by risk level?</t>
  </si>
  <si>
    <t>AI use cases are classified into defined risk tiers, and each tier triggers specific review, approval, documentation, and oversight requirements</t>
  </si>
  <si>
    <t>Map</t>
  </si>
  <si>
    <t>Clause 6.1 (Risk Management)</t>
  </si>
  <si>
    <t>GOV-007</t>
  </si>
  <si>
    <t>Responsible AI Standards and Metrics</t>
  </si>
  <si>
    <t>Data/Analytics</t>
  </si>
  <si>
    <t>Which best describes how your organization defines and measures Responsible AI principles such as fairness, transparency, explainability, privacy, and safety?</t>
  </si>
  <si>
    <t>Responsible AI principles are discussed in general terms, but are not documented or measured</t>
  </si>
  <si>
    <t>Measure</t>
  </si>
  <si>
    <t>Clause 8 (Operation)</t>
  </si>
  <si>
    <t>GOV-008</t>
  </si>
  <si>
    <t>Shadow AI Management</t>
  </si>
  <si>
    <t>Which best describes your organization's policy and controls for employee use of public or unapproved AI tools?</t>
  </si>
  <si>
    <t>Shadow AI is actively managed through policy, training, approved enterprise tools, monitoring, exception handling, and periodic compliance review</t>
  </si>
  <si>
    <t>Manage</t>
  </si>
  <si>
    <t>Clause 8.3 (Operational Controls)</t>
  </si>
  <si>
    <t>GOV-009</t>
  </si>
  <si>
    <t>AI Documentation and Deployment Readiness</t>
  </si>
  <si>
    <t>Engineering/Delivery</t>
  </si>
  <si>
    <t>Which best describes the documentation required before an AI solution is approved for deployment?</t>
  </si>
  <si>
    <t>Documentation is created inconsistently and varies by team or project</t>
  </si>
  <si>
    <t>Clause 7.5 (Documented Information)</t>
  </si>
  <si>
    <t>GOV-010</t>
  </si>
  <si>
    <t>Regulatory and Standards Alignment</t>
  </si>
  <si>
    <t>Which best describes how your AI governance framework aligns to current and emerging AI regulations, standards, and risk management frameworks?</t>
  </si>
  <si>
    <t>Some AI policies or controls reference external frameworks, but coverage is incomplete or inconsistently maintained</t>
  </si>
  <si>
    <t>Clause 4 (Context of the Organization)</t>
  </si>
  <si>
    <t>GOV-011</t>
  </si>
  <si>
    <t>Operational Gaps (Implementation)</t>
  </si>
  <si>
    <t>AI Asset Inventory</t>
  </si>
  <si>
    <t>Which best describes your organization's ability to inventory and track all AI models and AI-enabled vendor capabilities in use?</t>
  </si>
  <si>
    <t>A central inventory exists, but it is incomplete, manually maintained, or omits embedded vendor AI capabilities</t>
  </si>
  <si>
    <t>GOV-012</t>
  </si>
  <si>
    <t>Third-Party AI Risk</t>
  </si>
  <si>
    <t>Which best describes your organization's approach to assessing and managing risk for vendor-supplied AI tools and AI-enabled products?</t>
  </si>
  <si>
    <t>An AI vendor review exists, but coverage of transparency, training data, audit rights, and model updates is inconsistent</t>
  </si>
  <si>
    <t>Clause 8.4 (Supplier and Third-Party Controls)</t>
  </si>
  <si>
    <t>GOV-013</t>
  </si>
  <si>
    <t>Post-Deployment Monitoring</t>
  </si>
  <si>
    <t>Which best describes how your organization monitors AI models in production for performance degradation, drift, or emerging bias?</t>
  </si>
  <si>
    <t>Production AI models are monitored against defined metrics for performance, drift, and bias, with alerting and assigned owners for response</t>
  </si>
  <si>
    <t>Clause 9.1 (Monitoring, Measurement, Analysis, Evaluation)</t>
  </si>
  <si>
    <t>GOV-014</t>
  </si>
  <si>
    <t>AI Incident Response and Containment</t>
  </si>
  <si>
    <t>Which best describes your organization's incident response capability for AI-specific failures such as harmful output, hallucination, data leakage, or model misuse?</t>
  </si>
  <si>
    <t>Some AI incident response procedures exist, but they are incomplete, untested, or not consistently communicated</t>
  </si>
  <si>
    <t>GOV-015</t>
  </si>
  <si>
    <t>Governance Funding and Capacity</t>
  </si>
  <si>
    <t>Which best describes how AI governance work (policy, risk review, monitoring, compliance) is funded and resourced?</t>
  </si>
  <si>
    <t>Governance is funded with dedicated headcount, tooling, and a defined operating budget that scales with the AI portfolio</t>
  </si>
  <si>
    <t>Clause 7 (Support / Resources)</t>
  </si>
  <si>
    <t>GOV-016</t>
  </si>
  <si>
    <t>Culture &amp; Literacy</t>
  </si>
  <si>
    <t>Executive AI Literacy</t>
  </si>
  <si>
    <t>Which best describes the AI literacy of your board and senior executive leadership?</t>
  </si>
  <si>
    <t>Leadership receives periodic AI briefings, but coverage of regulation, risk categories, and strategic implications is inconsistent</t>
  </si>
  <si>
    <t>Clause 7.2 (Competence)</t>
  </si>
  <si>
    <t>GOV-017</t>
  </si>
  <si>
    <t>Incentives and Performance Management</t>
  </si>
  <si>
    <t>Business</t>
  </si>
  <si>
    <t>Which best describes how AI governance and Responsible AI compliance are reflected in team and individual performance incentives?</t>
  </si>
  <si>
    <t>Some leaders include governance in performance discussions, but expectations are inconsistent across teams</t>
  </si>
  <si>
    <t>Clause 5.3 (Roles, Responsibilities, Authorities)</t>
  </si>
  <si>
    <t>GOV-018</t>
  </si>
  <si>
    <t>Speak-Up Culture for AI Risk</t>
  </si>
  <si>
    <t>Workforce/End User</t>
  </si>
  <si>
    <t>Which best describes how employees can safely raise concerns about AI safety, bias, ethics, or misuse?</t>
  </si>
  <si>
    <t>A documented, communicated channel allows employees to raise AI concerns, including anonymously, with a defined triage and response process</t>
  </si>
  <si>
    <t>Clause 7.4 (Communication)</t>
  </si>
  <si>
    <t>STR-001</t>
  </si>
  <si>
    <t>AI Strategy and Roadmap</t>
  </si>
  <si>
    <t>Strategic Alignment &amp; Value Prop</t>
  </si>
  <si>
    <t>AI Business Value Articulation</t>
  </si>
  <si>
    <t>Which best describes how your top AI initiatives are tied to specific, measurable business outcomes?</t>
  </si>
  <si>
    <t>Each major AI initiative has a documented business case, named KPI, baseline, target, and accountable owner</t>
  </si>
  <si>
    <t>Clause 6.2 (AI Objectives)</t>
  </si>
  <si>
    <t>STR-002</t>
  </si>
  <si>
    <t>AI Sourcing Strategy</t>
  </si>
  <si>
    <t>Which best describes how your organization decides whether to buy, build, or fine-tune AI capabilities for a given use case?</t>
  </si>
  <si>
    <t>A documented buy/build/tune framework considers cost, risk, differentiation, time-to-value, and vendor lock-in, and is consistently applied</t>
  </si>
  <si>
    <t>STR-003</t>
  </si>
  <si>
    <t>AI Competitive Strategy</t>
  </si>
  <si>
    <t>Which best describes how your AI investments balance competitive parity with differentiated, defensible capabilities?</t>
  </si>
  <si>
    <t>Leadership recognizes both parity and differentiation goals, but the portfolio mix is not deliberately managed</t>
  </si>
  <si>
    <t>STR-004</t>
  </si>
  <si>
    <t>AI Portfolio Balance</t>
  </si>
  <si>
    <t>Which best describes the balance in your AI portfolio between internal efficiency use cases and customer-facing innovation use cases?</t>
  </si>
  <si>
    <t>One side dominates by default (e.g., all internal productivity, or all customer-facing pilots), with no strategic rationale</t>
  </si>
  <si>
    <t>STR-005</t>
  </si>
  <si>
    <t>Roadmap Maturity &amp; Sequencing</t>
  </si>
  <si>
    <t>Foundational Data Readiness</t>
  </si>
  <si>
    <t>Which best describes how foundational data readiness ("data debt") is addressed in your AI roadmap?</t>
  </si>
  <si>
    <t>Data issues are known but not reflected as milestones, dependencies, or funded work in the roadmap</t>
  </si>
  <si>
    <t>Clause 7.1 (Resources)</t>
  </si>
  <si>
    <t>STR-006</t>
  </si>
  <si>
    <t>Portfolio Horizon Balance</t>
  </si>
  <si>
    <t>Which best describes how your AI roadmap balances short-term pilots that build organizational confidence with long-term strategic investments?</t>
  </si>
  <si>
    <t>Some short-term and long-term work exists, but the balance is accidental rather than deliberate</t>
  </si>
  <si>
    <t>STR-007</t>
  </si>
  <si>
    <t>Roadmap Dependency Management</t>
  </si>
  <si>
    <t>Which best describes how your AI roadmap identifies and manages interdependencies between foundational platforms and downstream AI initiatives?</t>
  </si>
  <si>
    <t>Dependencies are known informally by individuals, but not documented or used to sequence work</t>
  </si>
  <si>
    <t>STR-008</t>
  </si>
  <si>
    <t>Roadmap Refresh and Project Termination</t>
  </si>
  <si>
    <t>Which best describes how often your AI roadmap is reviewed and how decisions to stop underperforming or no-longer-strategic AI projects are made?</t>
  </si>
  <si>
    <t>The roadmap is reviewed periodically, but stop/continue decisions are inconsistent or politically difficult</t>
  </si>
  <si>
    <t>STR-009</t>
  </si>
  <si>
    <t>Resource &amp; Talent Capacity</t>
  </si>
  <si>
    <t>AI Talent Strategy</t>
  </si>
  <si>
    <t>Which best describes your organization's internal AI talent capacity to design, deliver, and maintain AI solutions?</t>
  </si>
  <si>
    <t>Some internal AI capability exists, but key roles (e.g., ML engineering, MLOps, data engineering) are heavily dependent on contractors</t>
  </si>
  <si>
    <t>STR-010</t>
  </si>
  <si>
    <t>AI Cost Forecasting</t>
  </si>
  <si>
    <t>Which best describes your organization's ability to forecast and manage the ongoing run cost of AI solutions (inference, tokens, compute, storage, monitoring)?</t>
  </si>
  <si>
    <t>AI run costs are continuously monitored, attributed to business outcomes, optimized through architecture and model selection, and integrated with FinOps practices</t>
  </si>
  <si>
    <t>STR-011</t>
  </si>
  <si>
    <t>Subject-Matter Expert Engagement</t>
  </si>
  <si>
    <t>Which best describes how your organization secures the time and engagement of business subject-matter experts (SMEs) for AI initiatives?</t>
  </si>
  <si>
    <t>Some initiatives have allocated SME time, but the practice is inconsistent across the portfolio</t>
  </si>
  <si>
    <t>STR-012</t>
  </si>
  <si>
    <t>End-User AI Enablement</t>
  </si>
  <si>
    <t>Which best describes your organization's plan to upskill the workforce who will use AI tools as part of their daily work?</t>
  </si>
  <si>
    <t>A documented workforce AI enablement plan covers role-based training, communications, and adoption measurement for each major AI tool</t>
  </si>
  <si>
    <t>STR-013</t>
  </si>
  <si>
    <t>Success Measurement &amp; ROI</t>
  </si>
  <si>
    <t>AI Success Definition</t>
  </si>
  <si>
    <t>Which best describes how AI success is defined across technical performance and business adoption?</t>
  </si>
  <si>
    <t>Multiple success measures exist, but the balance between technical and business measures is inconsistent across initiatives</t>
  </si>
  <si>
    <t>Clause 9.1 (Monitoring)</t>
  </si>
  <si>
    <t>STR-014</t>
  </si>
  <si>
    <t>AI Investment Time Horizon</t>
  </si>
  <si>
    <t>Which best describes how your organization sets and applies expected time-to-value windows for AI initiatives?</t>
  </si>
  <si>
    <t>AI initiatives have defined time-to-value windows aligned to initiative type (e.g., pilot vs. platform vs. strategic bet)</t>
  </si>
  <si>
    <t>STR-015</t>
  </si>
  <si>
    <t>Causal Attribution of AI Impact</t>
  </si>
  <si>
    <t>Which best describes how your organization isolates and attributes business impact specifically to AI versus other contributing factors?</t>
  </si>
  <si>
    <t>AI initiatives use defined attribution methods (A/B tests, holdouts, baselines, or counterfactuals) suited to the use case</t>
  </si>
  <si>
    <t>RAI-001</t>
  </si>
  <si>
    <t>Responsible AI Guidelines</t>
  </si>
  <si>
    <t>Fairness &amp; Bias Mitigation</t>
  </si>
  <si>
    <t>Fairness Definition</t>
  </si>
  <si>
    <t>Which best describes how your organization defines fairness for high-stakes AI use cases (e.g., hiring, lending, healthcare, customer eligibility)?</t>
  </si>
  <si>
    <t>Some high-stakes use cases have documented fairness definitions, but coverage and rigor are inconsistent</t>
  </si>
  <si>
    <t>RAI-002</t>
  </si>
  <si>
    <t>Training Data Quality and Representativeness</t>
  </si>
  <si>
    <t>Which best describes how your organization verifies that training data is representative of the populations a model will serve, including protected classes where applicable?</t>
  </si>
  <si>
    <t>Training data is reviewed for representativeness and coverage gaps against defined population segments before model approval</t>
  </si>
  <si>
    <t>RAI-003</t>
  </si>
  <si>
    <t>Production Bias Auditing</t>
  </si>
  <si>
    <t>Which best describes how your organization audits live AI models for emerging bias or discriminatory patterns over time?</t>
  </si>
  <si>
    <t>High-risk AI models are audited for bias on a defined cadence, with documented thresholds and remediation steps</t>
  </si>
  <si>
    <t>RAI-004</t>
  </si>
  <si>
    <t>Bias Remediation</t>
  </si>
  <si>
    <t>Which best describes your organization's protocol for responding when bias is detected in a live AI model?</t>
  </si>
  <si>
    <t>A response approach exists, but it is informal, inconsistently applied, or untested</t>
  </si>
  <si>
    <t>RAI-005</t>
  </si>
  <si>
    <t>Transparency &amp; Explainability</t>
  </si>
  <si>
    <t>AI Transparency Documentation</t>
  </si>
  <si>
    <t>Which best describes how your organization documents and communicates the intended use, limitations, and data sources of its AI tools?</t>
  </si>
  <si>
    <t>A standard model card or transparency note format exists, but coverage of the live AI portfolio is incomplete</t>
  </si>
  <si>
    <t>RAI-006</t>
  </si>
  <si>
    <t>Plain-Language Explanation of AI Decisions</t>
  </si>
  <si>
    <t>Which best describes your ability to provide a plain-language explanation of an AI-driven decision to an affected individual?</t>
  </si>
  <si>
    <t>High-impact AI decisions include documented, plain-language explanations accessible to affected users on request</t>
  </si>
  <si>
    <t>RAI-007</t>
  </si>
  <si>
    <t>Human Appeal Process</t>
  </si>
  <si>
    <t>Which best describes the process available to an affected individual to contest an automated AI decision and have it reviewed by a human?</t>
  </si>
  <si>
    <t>An appeal process exists for some use cases, but it is not well-communicated, timely, or consistently applied</t>
  </si>
  <si>
    <t>RAI-008</t>
  </si>
  <si>
    <t>Vendor Explainability Disclosure</t>
  </si>
  <si>
    <t>Which best describes how your organization requires third-party AI vendors to disclose explainability capabilities and limitations?</t>
  </si>
  <si>
    <t>Some procurement decisions evaluate vendor explainability, but the practice is not standardized</t>
  </si>
  <si>
    <t>RAI-009</t>
  </si>
  <si>
    <t>Safety, Reliability &amp; Security</t>
  </si>
  <si>
    <t>AI Red-Teaming and Adversarial Testing</t>
  </si>
  <si>
    <t>Which best describes how your organization tests AI models adversarially (red-teaming) to identify harmful, biased, or unsafe outputs before and after deployment?</t>
  </si>
  <si>
    <t>Red-teaming happens for some high-impact use cases, but coverage and rigor are inconsistent</t>
  </si>
  <si>
    <t>RAI-010</t>
  </si>
  <si>
    <t>Automated Drift Detection</t>
  </si>
  <si>
    <t>Which best describes how your organization detects and alerts on AI model drift (input drift, output drift, or performance degradation)?</t>
  </si>
  <si>
    <t>Drift is checked manually or only when an issue is reported, with no automated alerts</t>
  </si>
  <si>
    <t>RAI-011</t>
  </si>
  <si>
    <t>AI-Specific Security Controls</t>
  </si>
  <si>
    <t>Which best describes how your AI infrastructure is protected against AI-specific threats such as prompt injection, data poisoning, model extraction, or jailbreaking?</t>
  </si>
  <si>
    <t>A defined AI security architecture addresses AI-specific threats with input/output guardrails, training-data integrity controls, and AI-aware monitoring</t>
  </si>
  <si>
    <t>RAI-012</t>
  </si>
  <si>
    <t>Emergency Model Disablement</t>
  </si>
  <si>
    <t>Which best describes your organization's ability to rapidly disable an AI model that is behaving unpredictably or causing harm?</t>
  </si>
  <si>
    <t>High-impact AI models have documented kill-switch procedures with defined authority, technical means, and target response times</t>
  </si>
  <si>
    <t>RAI-013</t>
  </si>
  <si>
    <t>Accountability &amp; Data Privacy</t>
  </si>
  <si>
    <t>AI System Accountability</t>
  </si>
  <si>
    <t>Which best describes how accountability for AI system outcomes is assigned to a named individual?</t>
  </si>
  <si>
    <t>Accountable owners are named for some AI systems, but coverage is inconsistent</t>
  </si>
  <si>
    <t>RAI-014</t>
  </si>
  <si>
    <t>Data Minimization Practice</t>
  </si>
  <si>
    <t>Which best describes how your organization applies data minimization principles to the personal data used by AI models?</t>
  </si>
  <si>
    <t>Some AI projects apply data minimization, but coverage and rigor are inconsistent</t>
  </si>
  <si>
    <t>RAI-015</t>
  </si>
  <si>
    <t>Consent-Based Data Use</t>
  </si>
  <si>
    <t>Which best describes how your organization ensures customer data used for AI training aligns with the consent or terms under which it was collected?</t>
  </si>
  <si>
    <t>Consent is considered informally, but there is no documented mapping from training data to consent basis</t>
  </si>
  <si>
    <t>RAI-016</t>
  </si>
  <si>
    <t>AI Sustainability Reporting</t>
  </si>
  <si>
    <t>Which best describes how your organization measures and reports on the energy or carbon footprint of AI training and inference?</t>
  </si>
  <si>
    <t>AI energy or carbon footprint is tracked for major training and inference workloads and included in periodic reporting</t>
  </si>
  <si>
    <t>PMF-001</t>
  </si>
  <si>
    <t>Performance Measurement Framework</t>
  </si>
  <si>
    <t>Business Value &amp; ROI</t>
  </si>
  <si>
    <t>AI ROI Calculation</t>
  </si>
  <si>
    <t>Which best describes how your organization calculates Return on Investment (ROI) for AI initiatives?</t>
  </si>
  <si>
    <t>AI initiatives use a documented ROI methodology covering build cost, run cost, value lift, and risk-adjusted returns</t>
  </si>
  <si>
    <t>PMF-002</t>
  </si>
  <si>
    <t>Time-to-Value Measurement</t>
  </si>
  <si>
    <t>Which best describes how your organization measures the time it takes for AI use cases to move from pilot to value-realized in production?</t>
  </si>
  <si>
    <t>Some initiatives track time-to-value, but definitions and data quality are inconsistent</t>
  </si>
  <si>
    <t>PMF-003</t>
  </si>
  <si>
    <t>Workforce Productivity Tracking</t>
  </si>
  <si>
    <t>Which best describes how your organization measures workforce productivity gains from AI tools and whether saved time is being reinvested in higher-value work?</t>
  </si>
  <si>
    <t>Some AI tools have productivity measures, but coverage and methodology vary</t>
  </si>
  <si>
    <t>PMF-004</t>
  </si>
  <si>
    <t>Customer Experience Impact Measurement</t>
  </si>
  <si>
    <t>Which best describes how your organization measures non-financial value (e.g., CSAT, NPS, employee experience) attributable to AI-driven interactions?</t>
  </si>
  <si>
    <t>Some AI touchpoints have experience measurement, but coverage is partial and trends are not consistently reviewed</t>
  </si>
  <si>
    <t>PMF-005</t>
  </si>
  <si>
    <t>Model Quality &amp; Technical Efficacy</t>
  </si>
  <si>
    <t>Domain-Specific Accuracy Measurement</t>
  </si>
  <si>
    <t>Which best describes how your organization measures AI model accuracy against ground-truth data specific to your business domain?</t>
  </si>
  <si>
    <t>Some teams build informal test sets, but there is no organized ground-truth practice</t>
  </si>
  <si>
    <t>PMF-006</t>
  </si>
  <si>
    <t>AI Performance SLAs</t>
  </si>
  <si>
    <t>Which best describes how your organization defines and meets service-level expectations for AI response time and throughput?</t>
  </si>
  <si>
    <t>Performance is monitored informally; SLAs are not defined or are not tied to customer/business impact</t>
  </si>
  <si>
    <t>PMF-007</t>
  </si>
  <si>
    <t>Generative AI Output Quality Measurement</t>
  </si>
  <si>
    <t>Which best describes how your organization quantitatively measures hallucination, groundedness, or factual accuracy in generative AI outputs?</t>
  </si>
  <si>
    <t>Output quality is judged anecdotally or by user complaints rather than a measurement methodology</t>
  </si>
  <si>
    <t>PMF-008</t>
  </si>
  <si>
    <t>Concept Drift Measurement</t>
  </si>
  <si>
    <t>Which best describes how your organization measures concept drift and uses it to trigger model retraining or replacement?</t>
  </si>
  <si>
    <t>Retraining happens on calendar cadence, without measured drift signals</t>
  </si>
  <si>
    <t>PMF-009</t>
  </si>
  <si>
    <t>Cost &amp; Resource Optimization</t>
  </si>
  <si>
    <t>AI Unit-Cost Visibility</t>
  </si>
  <si>
    <t>Which best describes your organization's ability to track and alert on per-query or per-token cost for Large Language Models and other AI services?</t>
  </si>
  <si>
    <t>Costs are tracked at an aggregate or invoice level, with no per-use-case or per-query breakdown</t>
  </si>
  <si>
    <t>PMF-010</t>
  </si>
  <si>
    <t>Compute Resource Optimization</t>
  </si>
  <si>
    <t>Which best describes how your organization measures and optimizes utilization of compute resources (GPUs, cloud instances) used for AI workloads?</t>
  </si>
  <si>
    <t>Some workloads have utilization monitoring, but right-sizing or scaling actions are inconsistent</t>
  </si>
  <si>
    <t>PMF-011</t>
  </si>
  <si>
    <t>AI Total Cost of Ownership</t>
  </si>
  <si>
    <t>Which best describes how your organization measures the Total Cost of Ownership (TCO) of AI solutions, including human oversight, data labeling, governance, and monitoring?</t>
  </si>
  <si>
    <t>TCO is calculated for some initiatives, but human oversight, labeling, and governance costs are inconsistently included</t>
  </si>
  <si>
    <t>PMF-012</t>
  </si>
  <si>
    <t>AI Sustainability Measurement</t>
  </si>
  <si>
    <t>Which best describes how your organization measures the energy or carbon footprint of high-scale AI deployments?</t>
  </si>
  <si>
    <t>High-scale AI deployments have defined energy or carbon metrics, tracked and reported on a defined cadence</t>
  </si>
  <si>
    <t>PMF-013</t>
  </si>
  <si>
    <t>Governance &amp; Compliance Performance</t>
  </si>
  <si>
    <t>Fairness Performance Reporting</t>
  </si>
  <si>
    <t>Which best describes how fairness performance across the AI portfolio is reported to governance on a recurring cadence?</t>
  </si>
  <si>
    <t>Some fairness data exists, but it is not aggregated into a recurring scorecard or governance review</t>
  </si>
  <si>
    <t>PMF-014</t>
  </si>
  <si>
    <t>Human Oversight Measurement</t>
  </si>
  <si>
    <t>Which best describes how your organization measures the agreement rate between AI recommendations and human decisions, and uses it as a signal of model quality?</t>
  </si>
  <si>
    <t>Some use cases analyze agreement rate, but it is not consistently used to drive model improvements</t>
  </si>
  <si>
    <t>PMF-015</t>
  </si>
  <si>
    <t>AI Audit Readiness</t>
  </si>
  <si>
    <t>Which best describes how quickly your organization can produce a complete performance history for an AI model on request (e.g., by a regulator, auditor, or the AI Council)?</t>
  </si>
  <si>
    <t>Producing a performance history would take weeks or months and require significant manual effort</t>
  </si>
  <si>
    <t>Clause 9.2 (Internal Audit)</t>
  </si>
  <si>
    <t>PMF-016</t>
  </si>
  <si>
    <t>Documentation Coverage Metric</t>
  </si>
  <si>
    <t>Which best describes how your organization measures and reports the percentage of live AI models with current model cards or transparency documentation?</t>
  </si>
  <si>
    <t>Documentation coverage and currency are tracked across the AI portfolio, with defined targets and remediation when coverage drops</t>
  </si>
  <si>
    <t>AOM-001</t>
  </si>
  <si>
    <t>AI Operating Model Blueprint</t>
  </si>
  <si>
    <t>Organizational Structure &amp; Delivery</t>
  </si>
  <si>
    <t>AI Organizational Archetype</t>
  </si>
  <si>
    <t>Which best describes your organization's operating-model archetype for delivering AI capabilities?</t>
  </si>
  <si>
    <t>There is no defined operating model for AI; delivery happens wherever a use case originates</t>
  </si>
  <si>
    <t>AOM-002</t>
  </si>
  <si>
    <t>Dual Ownership Model</t>
  </si>
  <si>
    <t>Which best describes how technical ownership (model performance) and business ownership (business outcome) are defined for each AI initiative?</t>
  </si>
  <si>
    <t>Technical and business ownership are not distinguished; one role is assumed to cover both</t>
  </si>
  <si>
    <t>AOM-003</t>
  </si>
  <si>
    <t>Shadow AI Discovery</t>
  </si>
  <si>
    <t>Which best describes how your organization discovers AI tools being used at the department or team level outside of central oversight?</t>
  </si>
  <si>
    <t>No mechanism exists to discover decentralized or shadow AI usage</t>
  </si>
  <si>
    <t>AOM-004</t>
  </si>
  <si>
    <t>AI Funding Model</t>
  </si>
  <si>
    <t>Which best describes how your organization funds AI delivery between central teams and business units?</t>
  </si>
  <si>
    <t>AI funding is unclear; teams negotiate access to AI capability case by case</t>
  </si>
  <si>
    <t>AOM-005</t>
  </si>
  <si>
    <t>The Lifecycle Blueprint (Process &amp; RACI)</t>
  </si>
  <si>
    <t>AI Use Case Intake</t>
  </si>
  <si>
    <t>Which best describes the intake process for new AI ideas, including both feasibility and risk review?</t>
  </si>
  <si>
    <t>A single intake process vets new AI ideas for feasibility (strategy) and risk (governance), with clear ownership and timelines</t>
  </si>
  <si>
    <t>AOM-006</t>
  </si>
  <si>
    <t>Human-in-the-Loop Design</t>
  </si>
  <si>
    <t>Which best describes how Human-in-the-Loop (HITL) requirements are defined for AI solutions?</t>
  </si>
  <si>
    <t>HITL requirements are not defined in the AI delivery blueprint</t>
  </si>
  <si>
    <t>AOM-007</t>
  </si>
  <si>
    <t>AI Decommissioning Process</t>
  </si>
  <si>
    <t>Which best describes your organization's process for decommissioning AI models that are no longer accurate, cost-effective, or compliant?</t>
  </si>
  <si>
    <t>No process exists for decommissioning AI models; outdated models may remain in production</t>
  </si>
  <si>
    <t>AOM-008</t>
  </si>
  <si>
    <t>Day-to-Day RACI Clarity</t>
  </si>
  <si>
    <t>Experience</t>
  </si>
  <si>
    <t>Which best describes whether the day-to-day team can name (without checking a document) who is accountable when an AI issue arises?</t>
  </si>
  <si>
    <t>When an AI issue arises, no one is sure who owns the fix; accountability has to be negotiated</t>
  </si>
  <si>
    <t>AOM-009</t>
  </si>
  <si>
    <t>Technical Foundations &amp; Tooling</t>
  </si>
  <si>
    <t>Reusable Data Pipelines for AI</t>
  </si>
  <si>
    <t>Which best describes your organization's "data supply chain" for AI — the pipelines and standards that deliver high-quality data to models?</t>
  </si>
  <si>
    <t>There is no AI data supply chain; teams clean and curate data manually for every new project</t>
  </si>
  <si>
    <t>AOM-010</t>
  </si>
  <si>
    <t>Real-Time Model Inventory</t>
  </si>
  <si>
    <t>Which best describes your organization's ability to see, in near real time, the status, version, and risk tier of every AI model in production?</t>
  </si>
  <si>
    <t>There is no live view of production AI models; assembling an inventory takes manual effort</t>
  </si>
  <si>
    <t>AOM-011</t>
  </si>
  <si>
    <t>AI Tooling Standards</t>
  </si>
  <si>
    <t>Which best describes whether your organization has a standardized AI tool stack across teams?</t>
  </si>
  <si>
    <t>There are no AI tooling standards; each team picks its own platforms, LLMs, and databases</t>
  </si>
  <si>
    <t>AOM-012</t>
  </si>
  <si>
    <t>Pipeline-Embedded Governance</t>
  </si>
  <si>
    <t>Which best describes how AI governance guardrails (PII filtering, bias checks, prompt safety, etc.) are integrated into your delivery pipelines?</t>
  </si>
  <si>
    <t>Governance guardrails are not part of the AI delivery pipeline</t>
  </si>
  <si>
    <t>AOM-013</t>
  </si>
  <si>
    <t>Talent &amp; Culture Capacity</t>
  </si>
  <si>
    <t>AI Role Definition</t>
  </si>
  <si>
    <t>Which best describes whether your organization has identified and defined the new AI roles required by the operating model (e.g., Prompt Engineer, AI Ethicist, LLMOps Engineer)?</t>
  </si>
  <si>
    <t>AI role definitions are reviewed as the operating model evolves, integrated with HR systems, supported by career pathing, and aligned to workforce planning</t>
  </si>
  <si>
    <t>AOM-014</t>
  </si>
  <si>
    <t>Delivery Incentive Alignment</t>
  </si>
  <si>
    <t>Which best describes how AI delivery team KPIs are aligned to the Operating Model — including safe deployment, value realization, and governance compliance, not just speed?</t>
  </si>
  <si>
    <t>KPIs include some non-speed measures, but they are informal and inconsistently applied</t>
  </si>
  <si>
    <t>AOM-015</t>
  </si>
  <si>
    <t>Cross-Functional AI Literacy</t>
  </si>
  <si>
    <t>Which best describes the AI literacy program for non-technical stakeholders (Legal, HR, Finance, Compliance) who participate in AI governance and approvals?</t>
  </si>
  <si>
    <t>Non-technical stakeholders pick up AI knowledge ad-hoc through their own initiative</t>
  </si>
  <si>
    <t>UCP-001</t>
  </si>
  <si>
    <t>Use Case Prioritization Framework</t>
  </si>
  <si>
    <t>The Balancing Act (Value vs. Feasibility)</t>
  </si>
  <si>
    <t>Use Case Scoring Rubric</t>
  </si>
  <si>
    <t>Which best describes how AI use cases are scored on value and feasibility before prioritization?</t>
  </si>
  <si>
    <t>AI use cases are prioritized informally; no scoring rubric exists</t>
  </si>
  <si>
    <t>UCP-002</t>
  </si>
  <si>
    <t>Multi-Dimensional Value Definition</t>
  </si>
  <si>
    <t>Which best describes how your organization defines "value" when prioritizing AI use cases?</t>
  </si>
  <si>
    <t>Value is defined narrowly (cost savings only); other dimensions are ignored</t>
  </si>
  <si>
    <t>UCP-003</t>
  </si>
  <si>
    <t>Feasibility Assessment</t>
  </si>
  <si>
    <t>Which best describes how your feasibility assessment for AI use cases evaluates technical complexity?</t>
  </si>
  <si>
    <t>Feasibility is estimated as developer hours only; technical complexity factors are not considered</t>
  </si>
  <si>
    <t>UCP-004</t>
  </si>
  <si>
    <t>Right-Tool Evaluation</t>
  </si>
  <si>
    <t>Which best describes how your intake process evaluates whether an AI approach is genuinely required versus a simpler automation or analytics alternative?</t>
  </si>
  <si>
    <t>All "AI ideas" proceed as AI projects; non-AI alternatives are not considered</t>
  </si>
  <si>
    <t>UCP-005</t>
  </si>
  <si>
    <t>Strategic Alignment &amp; Portfolio Mix</t>
  </si>
  <si>
    <t>Strategic Alignment Weighting</t>
  </si>
  <si>
    <t>Which best describes how your prioritization framework weights AI use cases against enterprise strategic priorities?</t>
  </si>
  <si>
    <t>Strategic alignment is not factored into AI use case prioritization</t>
  </si>
  <si>
    <t>UCP-006</t>
  </si>
  <si>
    <t>Portfolio Horizon Mix</t>
  </si>
  <si>
    <t>Which best describes how your AI portfolio is balanced across Horizon 1 (incremental), Horizon 2 (expansion), and Horizon 3 (disruptive) investments?</t>
  </si>
  <si>
    <t>The AI portfolio is not segmented by horizon; everything is incremental</t>
  </si>
  <si>
    <t>UCP-007</t>
  </si>
  <si>
    <t>Active Portfolio Rebalancing</t>
  </si>
  <si>
    <t>Which best describes whether AI projects already in flight can be de-prioritized or stopped when their score drops or better opportunities emerge?</t>
  </si>
  <si>
    <t>Approved projects continue to completion regardless of changes in value or context</t>
  </si>
  <si>
    <t>UCP-008</t>
  </si>
  <si>
    <t>Scarce-Resource Allocation</t>
  </si>
  <si>
    <t>Which best describes how your organization resolves resource contention between high-value AI projects competing for the same scarce people or compute?</t>
  </si>
  <si>
    <t>There is no defined way to resolve resource contention; "first one to ask wins" or politics decides</t>
  </si>
  <si>
    <t>UCP-009</t>
  </si>
  <si>
    <t>Risk &amp; Governance Integration</t>
  </si>
  <si>
    <t>Early Risk Screening</t>
  </si>
  <si>
    <t>Which best describes when privacy and ethics risk is screened during the AI use case prioritization process?</t>
  </si>
  <si>
    <t>Privacy and ethics risk is not screened before prioritization; issues are found later in delivery</t>
  </si>
  <si>
    <t>UCP-010</t>
  </si>
  <si>
    <t>Cost-of-Governance Inclusion</t>
  </si>
  <si>
    <t>Which best describes whether the cost of governance (audit, bias testing, legal review, monitoring) is included in your AI use case scoring?</t>
  </si>
  <si>
    <t>Governance cost is not considered in AI use case scoring</t>
  </si>
  <si>
    <t>UCP-011</t>
  </si>
  <si>
    <t>Data Sovereignty Risk Scoring</t>
  </si>
  <si>
    <t>Which best describes how data sovereignty, vendor data handling, and IP-leak risk are reflected in the use case risk score when third-party LLMs or external data are used?</t>
  </si>
  <si>
    <t>Data sovereignty and IP-leak risk are not reflected in use case scoring</t>
  </si>
  <si>
    <t>UCP-012</t>
  </si>
  <si>
    <t>Operational Readiness &amp; Adoption</t>
  </si>
  <si>
    <t>Business Champion Commitment</t>
  </si>
  <si>
    <t>Which best describes whether a named business champion is required for an AI use case to be prioritized?</t>
  </si>
  <si>
    <t>Use cases are prioritized without a named business champion responsible for adoption</t>
  </si>
  <si>
    <t>UCP-013</t>
  </si>
  <si>
    <t>Adoption Effort Scoring</t>
  </si>
  <si>
    <t>Which best describes how change management effort (training, cultural resistance, workflow change) is reflected in your AI use case feasibility scoring?</t>
  </si>
  <si>
    <t>Change management effort is not part of feasibility scoring</t>
  </si>
  <si>
    <t>UCP-014</t>
  </si>
  <si>
    <t>Failed-Use-Case Learning Loop</t>
  </si>
  <si>
    <t>Which best describes how your organization captures lessons from failed or de-prioritized AI use cases to inform future prioritization?</t>
  </si>
  <si>
    <t>Lessons from failed AI use cases are not captured or shared</t>
  </si>
  <si>
    <t>Clause 10 (Improvement)</t>
  </si>
  <si>
    <t>TRN-001</t>
  </si>
  <si>
    <t>Training Program for Council and Business Units</t>
  </si>
  <si>
    <t>The AI Council (Strategic &amp; Risk Leadership)</t>
  </si>
  <si>
    <t>Council AI Fluency</t>
  </si>
  <si>
    <t>Which best describes the AI fluency of your AI Council, including the ability to distinguish predictive, generative, and agentic AI risk profiles?</t>
  </si>
  <si>
    <t>Council members do not have a shared baseline of AI fluency</t>
  </si>
  <si>
    <t>TRN-002</t>
  </si>
  <si>
    <t>AI Regulatory Knowledge</t>
  </si>
  <si>
    <t>Which best describes the AI Council's training on the specific AI regulations and frameworks that apply to your organization?</t>
  </si>
  <si>
    <t>The council has not been trained on applicable AI regulations or frameworks</t>
  </si>
  <si>
    <t>TRN-003</t>
  </si>
  <si>
    <t>Council Risk Decision Calibration</t>
  </si>
  <si>
    <t>Which best describes whether your AI Council has practiced risk-tiering decisions through calibration exercises or scenarios?</t>
  </si>
  <si>
    <t>Council has not practiced risk-tiering decisions; calibration is untested</t>
  </si>
  <si>
    <t>TRN-004</t>
  </si>
  <si>
    <t>Council Explainability Literacy</t>
  </si>
  <si>
    <t>Which best describes whether your AI Council knows what questions to ask data science teams about model explainability and opaque decision-making?</t>
  </si>
  <si>
    <t>Council members generally accept model outputs without challenging explainability</t>
  </si>
  <si>
    <t>TRN-005</t>
  </si>
  <si>
    <t>Council Technical Failure Recognition</t>
  </si>
  <si>
    <t>Which best describes whether AI Council members can independently recognize AI failure modes (hallucinations, drift, bias) when reviewing reports?</t>
  </si>
  <si>
    <t>Council members rely entirely on technical team interpretation of AI reports</t>
  </si>
  <si>
    <t>TRN-006</t>
  </si>
  <si>
    <t>Business Units (Operational &amp; Tactical Use)</t>
  </si>
  <si>
    <t>Employee Tool-Awareness Training</t>
  </si>
  <si>
    <t>Which best describes how clearly employees know which AI tools are sanctioned versus prohibited for work use?</t>
  </si>
  <si>
    <t>Employees do not know which AI tools are sanctioned versus prohibited</t>
  </si>
  <si>
    <t>Clause 7.3 (Awareness)</t>
  </si>
  <si>
    <t>TRN-007</t>
  </si>
  <si>
    <t>Prompt and Output Verification Skills</t>
  </si>
  <si>
    <t>Which best describes employee training on writing prompts AND verifying AI-generated outputs for accuracy and bias?</t>
  </si>
  <si>
    <t>No training exists for prompt engineering or output verification</t>
  </si>
  <si>
    <t>TRN-008</t>
  </si>
  <si>
    <t>Sensitive Data Awareness</t>
  </si>
  <si>
    <t>Which best describes whether business users can identify which data is sensitive and should not be used to train, fine-tune, or ground AI models?</t>
  </si>
  <si>
    <t>Business users cannot consistently identify sensitive data; risk is high</t>
  </si>
  <si>
    <t>TRN-009</t>
  </si>
  <si>
    <t>Human Accountability for AI Output</t>
  </si>
  <si>
    <t>Which best describes how clearly your business users understand that they remain accountable for the final work product when using AI?</t>
  </si>
  <si>
    <t>Users assume AI output is correct by default and do not see themselves as the final filter</t>
  </si>
  <si>
    <t>TRN-010</t>
  </si>
  <si>
    <t>"Good AI Problem" Recognition</t>
  </si>
  <si>
    <t>Which best describes whether your business leads can distinguish good AI use cases from poor-fit use cases before bringing them forward?</t>
  </si>
  <si>
    <t>Business leads cannot reliably distinguish good AI use cases from poor-fit ones; intake is noisy</t>
  </si>
  <si>
    <t>TRN-011</t>
  </si>
  <si>
    <t>Program Delivery &amp; Maturity</t>
  </si>
  <si>
    <t>Role-Differentiated Training</t>
  </si>
  <si>
    <t>Which best describes whether your AI training program offers persona-based learning paths (e.g., general staff, managers, developers, council members)?</t>
  </si>
  <si>
    <t>Training is one-size-fits-all; no persona differentiation</t>
  </si>
  <si>
    <t>TRN-012</t>
  </si>
  <si>
    <t>Training Content Currency</t>
  </si>
  <si>
    <t>Which best describes how frequently your AI training content is refreshed to keep pace with changing AI capabilities and risks?</t>
  </si>
  <si>
    <t>AI training content is rarely updated; it does not reflect current AI capabilities or risks</t>
  </si>
  <si>
    <t>TRN-013</t>
  </si>
  <si>
    <t>Behavior-Change Measurement</t>
  </si>
  <si>
    <t>Which best describes how the impact of AI training is measured beyond completion rates?</t>
  </si>
  <si>
    <t>Training is measured only by completion rates</t>
  </si>
  <si>
    <t>TRN-014</t>
  </si>
  <si>
    <t>Just-in-Time AI Expert Access</t>
  </si>
  <si>
    <t>Which best describes whether business users know how to access AI expertise for grey-area questions about AI use, output, or risk?</t>
  </si>
  <si>
    <t>Business users do not know how to access AI expertise for grey-area questions</t>
  </si>
  <si>
    <t>CMA-001</t>
  </si>
  <si>
    <t>Change Management and Adoption Plan</t>
  </si>
  <si>
    <t>Vision, Communication &amp; Transparency</t>
  </si>
  <si>
    <t>AI Vision Framing</t>
  </si>
  <si>
    <t>Which best describes how leadership communicates the vision for AI in terms of human augmentation versus pure cost reduction?</t>
  </si>
  <si>
    <t>The AI vision is framed primarily as cost or headcount reduction, generating fear and resistance</t>
  </si>
  <si>
    <t>CMA-002</t>
  </si>
  <si>
    <t>Portfolio Transparency</t>
  </si>
  <si>
    <t>Which best describes how transparent your AI portfolio is to the broader workforce?</t>
  </si>
  <si>
    <t>The workforce has no visibility into the AI portfolio</t>
  </si>
  <si>
    <t>CMA-003</t>
  </si>
  <si>
    <t>End-User Value Articulation</t>
  </si>
  <si>
    <t>Which best describes how clearly your organization communicates the personal value ("what's in it for me") of AI to end users?</t>
  </si>
  <si>
    <t>Personal value of AI is not articulated to end users</t>
  </si>
  <si>
    <t>CMA-004</t>
  </si>
  <si>
    <t>Message Cascade Consistency</t>
  </si>
  <si>
    <t>Which best describes how consistent AI messaging is between enterprise leadership and local department heads?</t>
  </si>
  <si>
    <t>Enterprise AI messaging frequently conflicts with what local leaders say to their teams</t>
  </si>
  <si>
    <t>CMA-005</t>
  </si>
  <si>
    <t>Stakeholder Engagement &amp; Influence</t>
  </si>
  <si>
    <t>Local AI Champion Network</t>
  </si>
  <si>
    <t>Which best describes whether your organization has identified and activated AI champions within each business unit?</t>
  </si>
  <si>
    <t>No AI champion network exists; adoption depends entirely on central teams</t>
  </si>
  <si>
    <t>CMA-006</t>
  </si>
  <si>
    <t>Executive Modeling of AI Use</t>
  </si>
  <si>
    <t>Which best describes whether executives visibly use AI tools themselves and model adoption for the workforce?</t>
  </si>
  <si>
    <t>Executives do not visibly use AI tools; AI is positioned as "for everyone else"</t>
  </si>
  <si>
    <t>Clause 5.1 (Leadership and Commitment)</t>
  </si>
  <si>
    <t>CMA-007</t>
  </si>
  <si>
    <t>Resistance-Informed Engagement</t>
  </si>
  <si>
    <t>Which best describes how your organization identifies and engages departments or roles most likely to resist AI adoption?</t>
  </si>
  <si>
    <t>Resistance is not anticipated or mapped; adoption strategies are generic</t>
  </si>
  <si>
    <t>CMA-008</t>
  </si>
  <si>
    <t>User Feedback Channel</t>
  </si>
  <si>
    <t>Which best describes how end users can report problems with AI tools without fear of blame or retaliation?</t>
  </si>
  <si>
    <t>No defined channel exists for users to report AI tool problems</t>
  </si>
  <si>
    <t>CMA-009</t>
  </si>
  <si>
    <t>Training, Upskilling &amp; Readiness</t>
  </si>
  <si>
    <t>Workforce Literacy Baseline</t>
  </si>
  <si>
    <t>Which best describes whether your organization has assessed the gap between current workforce AI literacy and what the AI roadmap will require?</t>
  </si>
  <si>
    <t>No assessment has been done; the literacy gap is unknown</t>
  </si>
  <si>
    <t>CMA-010</t>
  </si>
  <si>
    <t>Function-Specific Adoption Training</t>
  </si>
  <si>
    <t>Which best describes whether AI adoption training is tailored to each function (e.g., AI for HR, AI for Finance) versus generic tool training?</t>
  </si>
  <si>
    <t>Adoption training is generic; functions get the same content regardless of context</t>
  </si>
  <si>
    <t>CMA-011</t>
  </si>
  <si>
    <t>Dedicated AI Learning Time</t>
  </si>
  <si>
    <t>Which best describes whether employees are given protected time to learn, experiment with, and adopt AI tools?</t>
  </si>
  <si>
    <t>Employees are expected to learn AI tools on top of their existing workload; no protected time exists</t>
  </si>
  <si>
    <t>CMA-012</t>
  </si>
  <si>
    <t>AI Help Desk and Knowledge Base</t>
  </si>
  <si>
    <t>Which best describes the centralized help and knowledge resources available to AI tool users (help desk, prompt library, troubleshooting)?</t>
  </si>
  <si>
    <t>No AI help desk or knowledge base exists for end users</t>
  </si>
  <si>
    <t>CMA-013</t>
  </si>
  <si>
    <t>Metrics, Incentives &amp; Reinforcement</t>
  </si>
  <si>
    <t>Real Adoption Measurement</t>
  </si>
  <si>
    <t>Which best describes the adoption KPIs your organization tracks for AI tools — beyond licensing and deployment?</t>
  </si>
  <si>
    <t>Adoption is tracked by licenses assigned only; real usage is unknown</t>
  </si>
  <si>
    <t>CMA-014</t>
  </si>
  <si>
    <t>AI-Aware Performance Management</t>
  </si>
  <si>
    <t>Which best describes whether performance reviews recognize and reward safe, innovative AI use — not just throughput?</t>
  </si>
  <si>
    <t>Performance reviews do not recognize AI use; efficiency-only metrics dominate</t>
  </si>
  <si>
    <t>CMA-015</t>
  </si>
  <si>
    <t>Shadow AI Response Posture</t>
  </si>
  <si>
    <t>Which best describes how your organization responds when it discovers unsanctioned ("shadow") AI use?</t>
  </si>
  <si>
    <t>Shadow AI is met with blocking and discipline, with no path to legitimize useful tools</t>
  </si>
  <si>
    <t>CMA-016</t>
  </si>
  <si>
    <t>Post-Launch Adoption Review</t>
  </si>
  <si>
    <t>Which best describes how your organization revisits AI use cases after launch to confirm the business process actually changed?</t>
  </si>
  <si>
    <t>AI use cases are not revisited after launch; reverting to old processes goes unnoticed</t>
  </si>
  <si>
    <t>TAG-001</t>
  </si>
  <si>
    <t>Technology Architecture and Guidance</t>
  </si>
  <si>
    <t>The AI Infrastructure &amp; Foundation</t>
  </si>
  <si>
    <t>AI Hosting Architecture</t>
  </si>
  <si>
    <t>Which best describes your organization's standardized hosting strategy for AI workloads (cloud, hybrid, on-premises)?</t>
  </si>
  <si>
    <t>No standardized hosting strategy exists; AI workloads are deployed wherever teams choose</t>
  </si>
  <si>
    <t>TAG-002</t>
  </si>
  <si>
    <t>Vector Data Infrastructure</t>
  </si>
  <si>
    <t>Which best describes your organization's approach to vector database infrastructure for RAG and embedding-based use cases?</t>
  </si>
  <si>
    <t>No vector database strategy exists; either there is no vector store, or every team builds its own</t>
  </si>
  <si>
    <t>TAG-003</t>
  </si>
  <si>
    <t>AI Compute Elasticity</t>
  </si>
  <si>
    <t>Which best describes your architecture's ability to handle inference spikes from multiple concurrent AI applications?</t>
  </si>
  <si>
    <t>Architecture cannot reliably handle concurrent AI inference spikes; core systems are at risk</t>
  </si>
  <si>
    <t>TAG-004</t>
  </si>
  <si>
    <t>Agent and Tool-Use Architecture</t>
  </si>
  <si>
    <t>Which best describes your architecture's readiness to support agentic AI patterns (autonomous agents calling tools, APIs, or workflows)?</t>
  </si>
  <si>
    <t>The architecture supports only chat-style AI; agentic patterns are not supported</t>
  </si>
  <si>
    <t>TAG-005</t>
  </si>
  <si>
    <t>Model Management &amp; LLM-Ops</t>
  </si>
  <si>
    <t>Model Registry</t>
  </si>
  <si>
    <t>Which best describes how AI models are versioned, stored, and managed across your organization?</t>
  </si>
  <si>
    <t>There is no central model registry; models live on developer machines, notebooks, or scattered storage</t>
  </si>
  <si>
    <t>TAG-006</t>
  </si>
  <si>
    <t>Centralized LLM Gateway</t>
  </si>
  <si>
    <t>Which best describes whether your organization has a centralized gateway for AI model calls (LLMs, embeddings, etc.)?</t>
  </si>
  <si>
    <t>No centralized gateway exists; AI API calls are made directly from each application</t>
  </si>
  <si>
    <t>TAG-007</t>
  </si>
  <si>
    <t>Open-Source Model Vetting</t>
  </si>
  <si>
    <t>Which best describes your process for vetting and onboarding open-source or third-party AI models into your environment?</t>
  </si>
  <si>
    <t>No process exists for vetting open-source models; either none are allowed, or any model can be used</t>
  </si>
  <si>
    <t>TAG-008</t>
  </si>
  <si>
    <t>CI/CD with Continuous Monitoring</t>
  </si>
  <si>
    <t>Which best describes whether continuous monitoring is integrated with your AI deployment pipelines?</t>
  </si>
  <si>
    <t>Deployment pipelines do not include continuous monitoring; decay is found only by user complaint</t>
  </si>
  <si>
    <t>TAG-009</t>
  </si>
  <si>
    <t>Data Plumbing &amp; Integration</t>
  </si>
  <si>
    <t>AI Data Lineage</t>
  </si>
  <si>
    <t>Which best describes your ability to trace AI-generated responses (especially RAG outputs) back to the underlying data sources?</t>
  </si>
  <si>
    <t>RAG outputs cannot be traced back to their original data sources</t>
  </si>
  <si>
    <t>TAG-010</t>
  </si>
  <si>
    <t>Real-Time Data Integration</t>
  </si>
  <si>
    <t>Which best describes whether your AI architecture can access real-time data, or is limited to batch-processed data?</t>
  </si>
  <si>
    <t>AI is limited to batch data; real-time use cases cannot be supported</t>
  </si>
  <si>
    <t>TAG-011</t>
  </si>
  <si>
    <t>Metadata Standards for AI</t>
  </si>
  <si>
    <t>Which best describes the standardization of metadata across data assets used by AI models?</t>
  </si>
  <si>
    <t>Metadata is inconsistent across data assets; AI models cannot reliably share or interpret data</t>
  </si>
  <si>
    <t>TAG-012</t>
  </si>
  <si>
    <t>Pre-Inference Data Sanitization</t>
  </si>
  <si>
    <t>Which best describes how PII or PHI is detected and removed before data is sent to AI models, especially third-party LLMs?</t>
  </si>
  <si>
    <t>No automated detection or masking of sensitive data before AI model calls; reliance is on user discretion</t>
  </si>
  <si>
    <t>TAG-013</t>
  </si>
  <si>
    <t>Security &amp; Governance Tooling</t>
  </si>
  <si>
    <t>Automated AI Security Testing</t>
  </si>
  <si>
    <t>Which best describes whether you have automated tooling to test AI endpoints for prompt injection, jailbreaks, and adversarial inputs?</t>
  </si>
  <si>
    <t>No automated AI security testing is in place</t>
  </si>
  <si>
    <t>TAG-014</t>
  </si>
  <si>
    <t>AI Cost Attribution</t>
  </si>
  <si>
    <t>Which best describes your architecture's ability to attribute AI spend (tokens, compute) to specific departments, projects, or use cases?</t>
  </si>
  <si>
    <t>AI spend cannot be attributed to specific departments, projects, or use cases</t>
  </si>
  <si>
    <t>TAG-015</t>
  </si>
  <si>
    <t>AI Audit Logging</t>
  </si>
  <si>
    <t>Which best describes how your organization stores AI interaction logs and ensures they are immutable for compliance and legal discovery?</t>
  </si>
  <si>
    <t>AI interactions are not consistently logged, or logs are mutable and unreliable for audit</t>
  </si>
  <si>
    <t>TAG-016</t>
  </si>
  <si>
    <t>Model Provider Interoperability</t>
  </si>
  <si>
    <t>Which best describes how easily your architecture could switch between AI model providers (e.g., OpenAI, Anthropic, open-source, local)?</t>
  </si>
  <si>
    <t>The architecture is hard-coupled to a single model provider; switching would require significant rebuild</t>
  </si>
  <si>
    <t>RAC-001</t>
  </si>
  <si>
    <t>RACI Matrix</t>
  </si>
  <si>
    <t>Governance &amp; Oversight (The "Accountable" Layer)</t>
  </si>
  <si>
    <t>Individual Model Accountability</t>
  </si>
  <si>
    <t xml:space="preserve">Which best describes how a single accountable individual is assigned for each AI model's ethical and legal compliance? </t>
  </si>
  <si>
    <t>Some AI models have a named accountable owner, but coverage is inconsistent</t>
  </si>
  <si>
    <t>RAC-002</t>
  </si>
  <si>
    <t>Council Framework Accountability</t>
  </si>
  <si>
    <t>Which best describes the AI Council's role in your RACI — whether it is Accountable for the AI governance framework or merely Consulted?</t>
  </si>
  <si>
    <t>The AI Council has no defined role in the RACI; the framework has no clear owner</t>
  </si>
  <si>
    <t>RAC-003</t>
  </si>
  <si>
    <t>Pre-Production Legal/Privacy Review</t>
  </si>
  <si>
    <t>Which best describes whether Legal and Privacy are required Consulted parties before AI models move from sandbox to production?</t>
  </si>
  <si>
    <t>Legal and Privacy are not consulted before AI moves to production</t>
  </si>
  <si>
    <t>RAC-004</t>
  </si>
  <si>
    <t>Run-Cost Accountability</t>
  </si>
  <si>
    <t>Which best describes who is accountable for the recurring run costs of an AI solution after it transitions from lab/build to production?</t>
  </si>
  <si>
    <t>Run-cost accountability is unassigned; costs become a surprise to whoever notices first</t>
  </si>
  <si>
    <t>RAC-005</t>
  </si>
  <si>
    <t>The Lifecycle RACI (Development &amp; Deployment)</t>
  </si>
  <si>
    <t>Training Data Provenance Responsibility</t>
  </si>
  <si>
    <t>Which best describes how responsibility is assigned for verifying training data lineage and "right to use"?</t>
  </si>
  <si>
    <t>No one is clearly responsible for verifying training data lineage or right to use</t>
  </si>
  <si>
    <t>RAC-006</t>
  </si>
  <si>
    <t>Model Selection Authority</t>
  </si>
  <si>
    <t>Which best describes how responsibility for selecting the specific AI model or algorithm is assigned?</t>
  </si>
  <si>
    <t>Model selection happens informally with no documented responsibility</t>
  </si>
  <si>
    <t>RAC-007</t>
  </si>
  <si>
    <t>Prompt and Guardrail Ownership</t>
  </si>
  <si>
    <t>Which best describes how responsibility for system prompts and safety guardrails is assigned in generative AI projects?</t>
  </si>
  <si>
    <t>No one is clearly responsible for system prompts or safety guardrails in generative AI projects</t>
  </si>
  <si>
    <t>RAC-008</t>
  </si>
  <si>
    <t>Go-Live Decision Authority</t>
  </si>
  <si>
    <t>Which best describes who has the authority to approve final go-live deployment of an AI model?</t>
  </si>
  <si>
    <t>Go-live decisions happen ad-hoc, with no defined authority</t>
  </si>
  <si>
    <t>RAC-009</t>
  </si>
  <si>
    <t>Post-Deployment &amp; Incident Response</t>
  </si>
  <si>
    <t>Production Monitoring Responsibility</t>
  </si>
  <si>
    <t>Which best describes who is responsible for ongoing monitoring of model accuracy and drift after deployment?</t>
  </si>
  <si>
    <t>No one is clearly responsible for ongoing monitoring; models drift silently</t>
  </si>
  <si>
    <t>RAC-010</t>
  </si>
  <si>
    <t>Incident Remediation Accountability</t>
  </si>
  <si>
    <t>Which best describes who is accountable for remediating an AI incident that has external impact (e.g., a biased or harmful output that reaches a customer)?</t>
  </si>
  <si>
    <t>Accountability for AI incident remediation is unassigned; response is chaotic</t>
  </si>
  <si>
    <t>RAC-011</t>
  </si>
  <si>
    <t>Human Reviewer Role Definition</t>
  </si>
  <si>
    <t>Which best describes the formal role of human reviewers in your RACI for models requiring manual review?</t>
  </si>
  <si>
    <t>Human reviewers' role is unclear; they may approve outputs without being formally Responsible</t>
  </si>
  <si>
    <t>RAC-012</t>
  </si>
  <si>
    <t>Decommissioning Decision Authority</t>
  </si>
  <si>
    <t>Which best describes who is responsible for deciding when an AI model is stale and should be retired or replaced?</t>
  </si>
  <si>
    <t>No one is responsible for deciding when AI models are stale; outdated models persist</t>
  </si>
  <si>
    <t>RAC-013</t>
  </si>
  <si>
    <t>Communication &amp; Awareness (The "Informed")</t>
  </si>
  <si>
    <t>Executive Communication by Risk Tier</t>
  </si>
  <si>
    <t>Which best describes how executive leaders are informed of AI deployments based on the risk tier?</t>
  </si>
  <si>
    <t>Executives receive no structured updates on AI deployments; awareness is anecdotal</t>
  </si>
  <si>
    <t>RAC-014</t>
  </si>
  <si>
    <t>AI Disclosure to Users</t>
  </si>
  <si>
    <t>Which best describes how responsibility is assigned for disclosing AI use to end users (customers or employees)?</t>
  </si>
  <si>
    <t>Responsibility for disclosing AI use to end users is not assigned; disclosure may not happen</t>
  </si>
  <si>
    <t>RAC-015</t>
  </si>
  <si>
    <t>Vendor Model Change Awareness</t>
  </si>
  <si>
    <t>Which best describes who is informed and responsible when an underlying AI vendor releases an API or model change?</t>
  </si>
  <si>
    <t>Vendor change awareness is automated, integrated with regression testing, supports rapid response to breaking changes, and feeds vendor risk management</t>
  </si>
  <si>
    <t>Response Option</t>
  </si>
  <si>
    <t>Lookup Key</t>
  </si>
  <si>
    <t>Normalized Score</t>
  </si>
  <si>
    <t>Evidence Trigger</t>
  </si>
  <si>
    <t>Dashboard Category</t>
  </si>
  <si>
    <t>No clear executive owner exists for AI</t>
  </si>
  <si>
    <t>GOV-001|No clear executive owner exists for AI</t>
  </si>
  <si>
    <t>Include</t>
  </si>
  <si>
    <t>Governance Gap</t>
  </si>
  <si>
    <t>REC-GOV-001-L1</t>
  </si>
  <si>
    <t>No</t>
  </si>
  <si>
    <t>AI accountability is informal or distributed across multiple leaders without a clear decision owner</t>
  </si>
  <si>
    <t>GOV-001|AI accountability is informal or distributed across multiple leaders without a clear decision owner</t>
  </si>
  <si>
    <t>A senior leader or function owns AI strategy, but authority, funding, or decision rights are limited</t>
  </si>
  <si>
    <t>GOV-001|A senior leader or function owns AI strategy, but authority, funding, or decision rights are limited</t>
  </si>
  <si>
    <t>Partial Capability</t>
  </si>
  <si>
    <t>REC-GOV-001-L3</t>
  </si>
  <si>
    <t>GOV-001|A named executive owns enterprise AI strategy, governance, funding, and prioritization</t>
  </si>
  <si>
    <t>Mature Capability</t>
  </si>
  <si>
    <t>REC-GOV-001-L4</t>
  </si>
  <si>
    <t>Yes</t>
  </si>
  <si>
    <t>A named executive owns AI accountability and is supported by formal governance, KPIs, risk oversight, and enterprise-wide operating model integration</t>
  </si>
  <si>
    <t>GOV-001|A named executive owns AI accountability and is supported by formal governance, KPIs, risk oversight, and enterprise-wide operating model integration</t>
  </si>
  <si>
    <t>Optimized Capability</t>
  </si>
  <si>
    <t>REC-GOV-001-L5</t>
  </si>
  <si>
    <t>Not sure</t>
  </si>
  <si>
    <t>GOV-001|Not sure</t>
  </si>
  <si>
    <t>Exclude</t>
  </si>
  <si>
    <t>Awareness Gap</t>
  </si>
  <si>
    <t>REC-GOV-001-NS</t>
  </si>
  <si>
    <t>Not applicable</t>
  </si>
  <si>
    <t>GOV-001|Not applicable</t>
  </si>
  <si>
    <t>Review Required</t>
  </si>
  <si>
    <t>REC-GOV-001-NA</t>
  </si>
  <si>
    <t>No AI governance council or equivalent decision-making body exists</t>
  </si>
  <si>
    <t>GOV-002|No AI governance council or equivalent decision-making body exists</t>
  </si>
  <si>
    <t>REC-GOV-002-L1</t>
  </si>
  <si>
    <t>AI governance is primarily IT-led, with limited business, legal, HR, risk, or ethics involvement</t>
  </si>
  <si>
    <t>GOV-002|AI governance is primarily IT-led, with limited business, legal, HR, risk, or ethics involvement</t>
  </si>
  <si>
    <t>Cross-Functional Gap</t>
  </si>
  <si>
    <t>The governance body includes some non-technical representation, but participation is inconsistent or decision rights are unclear</t>
  </si>
  <si>
    <t>GOV-002|The governance body includes some non-technical representation, but participation is inconsistent or decision rights are unclear</t>
  </si>
  <si>
    <t>REC-GOV-002-L3</t>
  </si>
  <si>
    <t>GOV-002|The governance body includes consistent representation from IT, business units, legal, security/risk, HR, and data/analytics, with defined roles and decision rights</t>
  </si>
  <si>
    <t>REC-GOV-002-L4</t>
  </si>
  <si>
    <t>The governance body is fully cross-functional, has formal authority, includes technical and non-technical stakeholders, and regularly adjusts membership based on AI portfolio needs</t>
  </si>
  <si>
    <t>GOV-002|The governance body is fully cross-functional, has formal authority, includes technical and non-technical stakeholders, and regularly adjusts membership based on AI portfolio needs</t>
  </si>
  <si>
    <t>REC-GOV-002-L5</t>
  </si>
  <si>
    <t>GOV-002|Not sure</t>
  </si>
  <si>
    <t>REC-GOV-002-NS</t>
  </si>
  <si>
    <t>GOV-002|Not applicable</t>
  </si>
  <si>
    <t>REC-GOV-002-NA</t>
  </si>
  <si>
    <t>No formal AI governance authority exists to review or stop AI initiatives</t>
  </si>
  <si>
    <t>GOV-003|No formal AI governance authority exists to review or stop AI initiatives</t>
  </si>
  <si>
    <t>Governance Authority Gap</t>
  </si>
  <si>
    <t>REC-GOV-003-L1</t>
  </si>
  <si>
    <t>The council or review group may provide informal guidance, but cannot formally approve, pause, or stop projects</t>
  </si>
  <si>
    <t>GOV-003|The council or review group may provide informal guidance, but cannot formally approve, pause, or stop projects</t>
  </si>
  <si>
    <t>Advisory-Only Governance</t>
  </si>
  <si>
    <t>GOV-003|The council can review AI initiatives, but its authority to enforce decisions is unclear or inconsistently applied</t>
  </si>
  <si>
    <t>REC-GOV-003-L3</t>
  </si>
  <si>
    <t>The council has documented authority to approve, pause, escalate, or stop AI initiatives based on defined risk criteria</t>
  </si>
  <si>
    <t>GOV-003|The council has documented authority to approve, pause, escalate, or stop AI initiatives based on defined risk criteria</t>
  </si>
  <si>
    <t>REC-GOV-003-L4</t>
  </si>
  <si>
    <t>The council has formal decision rights, escalation authority, auditability, and enforcement mechanisms integrated into funding, delivery, and production release processes</t>
  </si>
  <si>
    <t>GOV-003|The council has formal decision rights, escalation authority, auditability, and enforcement mechanisms integrated into funding, delivery, and production release processes</t>
  </si>
  <si>
    <t>REC-GOV-003-L5</t>
  </si>
  <si>
    <t>GOV-003|Not sure</t>
  </si>
  <si>
    <t>REC-GOV-003-NS</t>
  </si>
  <si>
    <t>GOV-003|Not applicable</t>
  </si>
  <si>
    <t>REC-GOV-003-NA</t>
  </si>
  <si>
    <t>No recurring AI governance meeting or review cadence exists</t>
  </si>
  <si>
    <t>GOV-004|No recurring AI governance meeting or review cadence exists</t>
  </si>
  <si>
    <t>REC-GOV-004-L1</t>
  </si>
  <si>
    <t>AI governance discussions occur only as needed or after issues arise</t>
  </si>
  <si>
    <t>GOV-004|AI governance discussions occur only as needed or after issues arise</t>
  </si>
  <si>
    <t>Reactive Governance</t>
  </si>
  <si>
    <t>GOV-004|The council meets periodically, but the cadence is not always sufficient to support timely AI review and approval</t>
  </si>
  <si>
    <t>REC-GOV-004-L3</t>
  </si>
  <si>
    <t>The council meets on a defined schedule with a clear intake process, agenda, and service-level expectations for reviews</t>
  </si>
  <si>
    <t>GOV-004|The council meets on a defined schedule with a clear intake process, agenda, and service-level expectations for reviews</t>
  </si>
  <si>
    <t>REC-GOV-004-L4</t>
  </si>
  <si>
    <t>The council has a structured cadence, rapid review paths for lower-risk use cases, escalation paths for high-risk use cases, and regularly adjusts cadence based on portfolio demand</t>
  </si>
  <si>
    <t>GOV-004|The council has a structured cadence, rapid review paths for lower-risk use cases, escalation paths for high-risk use cases, and regularly adjusts cadence based on portfolio demand</t>
  </si>
  <si>
    <t>REC-GOV-004-L5</t>
  </si>
  <si>
    <t>GOV-004|Not sure</t>
  </si>
  <si>
    <t>REC-GOV-004-NS</t>
  </si>
  <si>
    <t>GOV-004|Not applicable</t>
  </si>
  <si>
    <t>REC-GOV-004-NA</t>
  </si>
  <si>
    <t>No defined escalation path exists for AI risk disagreements</t>
  </si>
  <si>
    <t>GOV-005|No defined escalation path exists for AI risk disagreements</t>
  </si>
  <si>
    <t>Escalation Gap</t>
  </si>
  <si>
    <t>REC-GOV-005-L1</t>
  </si>
  <si>
    <t>GOV-005|Disagreements are handled informally between teams, with no documented tie-breaking authority</t>
  </si>
  <si>
    <t>Informal Governance</t>
  </si>
  <si>
    <t>An escalation path exists in practice, but it is not consistently documented or understood by stakeholders</t>
  </si>
  <si>
    <t>GOV-005|An escalation path exists in practice, but it is not consistently documented or understood by stakeholders</t>
  </si>
  <si>
    <t>REC-GOV-005-L3</t>
  </si>
  <si>
    <t>A documented escalation path defines who makes final decisions when teams disagree on AI risk level or approval status</t>
  </si>
  <si>
    <t>GOV-005|A documented escalation path defines who makes final decisions when teams disagree on AI risk level or approval status</t>
  </si>
  <si>
    <t>REC-GOV-005-L4</t>
  </si>
  <si>
    <t>Escalation paths, decision rights, risk ownership, audit trails, and executive tie-breaking authority are formally embedded into the AI governance process</t>
  </si>
  <si>
    <t>GOV-005|Escalation paths, decision rights, risk ownership, audit trails, and executive tie-breaking authority are formally embedded into the AI governance process</t>
  </si>
  <si>
    <t>REC-GOV-005-L5</t>
  </si>
  <si>
    <t>GOV-005|Not sure</t>
  </si>
  <si>
    <t>REC-GOV-005-NS</t>
  </si>
  <si>
    <t>GOV-005|Not applicable</t>
  </si>
  <si>
    <t>REC-GOV-005-NA</t>
  </si>
  <si>
    <t>No formal risk tiering system exists for AI use cases</t>
  </si>
  <si>
    <t>GOV-006|No formal risk tiering system exists for AI use cases</t>
  </si>
  <si>
    <t>Risk Management Gap</t>
  </si>
  <si>
    <t>REC-GOV-006-L1</t>
  </si>
  <si>
    <t>AI risk is considered informally, but there is no consistent rubric or classification process</t>
  </si>
  <si>
    <t>GOV-006|AI risk is considered informally, but there is no consistent rubric or classification process</t>
  </si>
  <si>
    <t>Informal Risk Management</t>
  </si>
  <si>
    <t>A basic risk classification approach exists, but criteria or oversight requirements are inconsistently applied</t>
  </si>
  <si>
    <t>GOV-006|A basic risk classification approach exists, but criteria or oversight requirements are inconsistently applied</t>
  </si>
  <si>
    <t>REC-GOV-006-L3</t>
  </si>
  <si>
    <t>GOV-006|AI use cases are classified into defined risk tiers, and each tier triggers specific review, approval, documentation, and oversight requirements</t>
  </si>
  <si>
    <t>REC-GOV-006-L4</t>
  </si>
  <si>
    <t>AI risk tiering is standardized, documented, auditable, aligned to regulatory frameworks, and integrated into intake, delivery, vendor review, monitoring, and production release processes</t>
  </si>
  <si>
    <t>GOV-006|AI risk tiering is standardized, documented, auditable, aligned to regulatory frameworks, and integrated into intake, delivery, vendor review, monitoring, and production release processes</t>
  </si>
  <si>
    <t>REC-GOV-006-L5</t>
  </si>
  <si>
    <t>GOV-006|Not sure</t>
  </si>
  <si>
    <t>REC-GOV-006-NS</t>
  </si>
  <si>
    <t>GOV-006|Not applicable</t>
  </si>
  <si>
    <t>REC-GOV-006-NA</t>
  </si>
  <si>
    <t>Responsible AI principles are not formally defined</t>
  </si>
  <si>
    <t>GOV-007|Responsible AI principles are not formally defined</t>
  </si>
  <si>
    <t>Responsible AI Gap</t>
  </si>
  <si>
    <t>REC-GOV-007-L1</t>
  </si>
  <si>
    <t>GOV-007|Responsible AI principles are discussed in general terms, but are not documented or measured</t>
  </si>
  <si>
    <t>Principles Without Controls</t>
  </si>
  <si>
    <t>Responsible AI principles are documented, but technical metrics, thresholds, or testing expectations are limited or inconsistent</t>
  </si>
  <si>
    <t>GOV-007|Responsible AI principles are documented, but technical metrics, thresholds, or testing expectations are limited or inconsistent</t>
  </si>
  <si>
    <t>REC-GOV-007-L3</t>
  </si>
  <si>
    <t>Responsible AI principles are documented and supported by defined testing practices, review criteria, and measurable thresholds where applicable</t>
  </si>
  <si>
    <t>GOV-007|Responsible AI principles are documented and supported by defined testing practices, review criteria, and measurable thresholds where applicable</t>
  </si>
  <si>
    <t>REC-GOV-007-L4</t>
  </si>
  <si>
    <t>Responsible AI standards are measurable, auditable, embedded into delivery and monitoring processes, and tailored by use case risk level and regulatory context</t>
  </si>
  <si>
    <t>GOV-007|Responsible AI standards are measurable, auditable, embedded into delivery and monitoring processes, and tailored by use case risk level and regulatory context</t>
  </si>
  <si>
    <t>REC-GOV-007-L5</t>
  </si>
  <si>
    <t>GOV-007|Not sure</t>
  </si>
  <si>
    <t>REC-GOV-007-NS</t>
  </si>
  <si>
    <t>GOV-007|Not applicable</t>
  </si>
  <si>
    <t>REC-GOV-007-NA</t>
  </si>
  <si>
    <t>No policy or guidance exists for employee use of public or unapproved AI tools</t>
  </si>
  <si>
    <t>GOV-008|No policy or guidance exists for employee use of public or unapproved AI tools</t>
  </si>
  <si>
    <t>Shadow AI Risk</t>
  </si>
  <si>
    <t>REC-GOV-008-L1</t>
  </si>
  <si>
    <t>Informal guidance exists, but employees may still use public AI tools without clear rules or oversight</t>
  </si>
  <si>
    <t>GOV-008|Informal guidance exists, but employees may still use public AI tools without clear rules or oversight</t>
  </si>
  <si>
    <t>Unmanaged Adoption</t>
  </si>
  <si>
    <t>A policy exists, but communication, enforcement, approved alternatives, or monitoring are limited</t>
  </si>
  <si>
    <t>GOV-008|A policy exists, but communication, enforcement, approved alternatives, or monitoring are limited</t>
  </si>
  <si>
    <t>REC-GOV-008-L3</t>
  </si>
  <si>
    <t>A documented policy defines acceptable and prohibited AI use, approved tools, data handling rules, and employee responsibilities</t>
  </si>
  <si>
    <t>GOV-008|A documented policy defines acceptable and prohibited AI use, approved tools, data handling rules, and employee responsibilities</t>
  </si>
  <si>
    <t>REC-GOV-008-L4</t>
  </si>
  <si>
    <t>GOV-008|Shadow AI is actively managed through policy, training, approved enterprise tools, monitoring, exception handling, and periodic compliance review</t>
  </si>
  <si>
    <t>REC-GOV-008-L5</t>
  </si>
  <si>
    <t>GOV-008|Not sure</t>
  </si>
  <si>
    <t>REC-GOV-008-NS</t>
  </si>
  <si>
    <t>GOV-008|Not applicable</t>
  </si>
  <si>
    <t>REC-GOV-008-NA</t>
  </si>
  <si>
    <t>No standard AI documentation is required before deployment</t>
  </si>
  <si>
    <t>GOV-009|No standard AI documentation is required before deployment</t>
  </si>
  <si>
    <t>Documentation Gap</t>
  </si>
  <si>
    <t>REC-GOV-009-L1</t>
  </si>
  <si>
    <t>GOV-009|Documentation is created inconsistently and varies by team or project</t>
  </si>
  <si>
    <t>Inconsistent Practice</t>
  </si>
  <si>
    <t>A standard template exists, but completion, review, or enforcement is inconsistent</t>
  </si>
  <si>
    <t>GOV-009|A standard template exists, but completion, review, or enforcement is inconsistent</t>
  </si>
  <si>
    <t>REC-GOV-009-L3</t>
  </si>
  <si>
    <t>AI solutions require standard documentation before deployment, such as model cards, AI fact sheets, risk assessments, data descriptions, and approval records</t>
  </si>
  <si>
    <t>GOV-009|AI solutions require standard documentation before deployment, such as model cards, AI fact sheets, risk assessments, data descriptions, and approval records</t>
  </si>
  <si>
    <t>REC-GOV-009-L4</t>
  </si>
  <si>
    <t>AI documentation is standardized, reviewed, version-controlled, auditable, tied to risk tiering, and maintained throughout the solution lifecycle</t>
  </si>
  <si>
    <t>GOV-009|AI documentation is standardized, reviewed, version-controlled, auditable, tied to risk tiering, and maintained throughout the solution lifecycle</t>
  </si>
  <si>
    <t>REC-GOV-009-L5</t>
  </si>
  <si>
    <t>GOV-009|Not sure</t>
  </si>
  <si>
    <t>REC-GOV-009-NS</t>
  </si>
  <si>
    <t>GOV-009|Not applicable</t>
  </si>
  <si>
    <t>REC-GOV-009-NA</t>
  </si>
  <si>
    <t>AI governance is not mapped to external regulations, standards, or risk frameworks</t>
  </si>
  <si>
    <t>GOV-010|AI governance is not mapped to external regulations, standards, or risk frameworks</t>
  </si>
  <si>
    <t>Regulatory Readiness Gap</t>
  </si>
  <si>
    <t>REC-GOV-010-L1</t>
  </si>
  <si>
    <t>The organization is aware of AI regulations and frameworks, but alignment is informal or not documented</t>
  </si>
  <si>
    <t>GOV-010|The organization is aware of AI regulations and frameworks, but alignment is informal or not documented</t>
  </si>
  <si>
    <t>Informal Alignment</t>
  </si>
  <si>
    <t>GOV-010|Some AI policies or controls reference external frameworks, but coverage is incomplete or inconsistently maintained</t>
  </si>
  <si>
    <t>REC-GOV-010-L3</t>
  </si>
  <si>
    <t>AI governance is mapped to relevant frameworks or regulations, such as NIST AI RMF, ISO/IEC 42001, industry requirements, or applicable laws</t>
  </si>
  <si>
    <t>GOV-010|AI governance is mapped to relevant frameworks or regulations, such as NIST AI RMF, ISO/IEC 42001, industry requirements, or applicable laws</t>
  </si>
  <si>
    <t>REC-GOV-010-L4</t>
  </si>
  <si>
    <t>Regulatory and standards alignment is actively maintained, audited, assigned to control owners, and integrated into governance, risk tiering, vendor review, and delivery processes</t>
  </si>
  <si>
    <t>GOV-010|Regulatory and standards alignment is actively maintained, audited, assigned to control owners, and integrated into governance, risk tiering, vendor review, and delivery processes</t>
  </si>
  <si>
    <t>REC-GOV-010-L5</t>
  </si>
  <si>
    <t>GOV-010|Not sure</t>
  </si>
  <si>
    <t>REC-GOV-010-NS</t>
  </si>
  <si>
    <t>GOV-010|Not applicable</t>
  </si>
  <si>
    <t>REC-GOV-010-NA</t>
  </si>
  <si>
    <t>No central inventory of AI models or AI-enabled tools exists</t>
  </si>
  <si>
    <t>GOV-011|No central inventory of AI models or AI-enabled tools exists</t>
  </si>
  <si>
    <t>Inventory Gap</t>
  </si>
  <si>
    <t>REC-GOV-011-L1</t>
  </si>
  <si>
    <t>Some teams maintain local lists of their own models, but there is no enterprise-wide view</t>
  </si>
  <si>
    <t>GOV-011|Some teams maintain local lists of their own models, but there is no enterprise-wide view</t>
  </si>
  <si>
    <t>Fragmented Inventory</t>
  </si>
  <si>
    <t>GOV-011|A central inventory exists, but it is incomplete, manually maintained, or omits embedded vendor AI capabilities</t>
  </si>
  <si>
    <t>REC-GOV-011-L3</t>
  </si>
  <si>
    <t>A maintained central inventory captures internally built models, fine-tuned models, and AI-enabled vendor capabilities, with assigned owners and basic metadata</t>
  </si>
  <si>
    <t>GOV-011|A maintained central inventory captures internally built models, fine-tuned models, and AI-enabled vendor capabilities, with assigned owners and basic metadata</t>
  </si>
  <si>
    <t>REC-GOV-011-L4</t>
  </si>
  <si>
    <t>The AI inventory is authoritative, integrated with procurement, risk tiering, monitoring, and the change management process, and is reviewed on a defined cadence</t>
  </si>
  <si>
    <t>GOV-011|The AI inventory is authoritative, integrated with procurement, risk tiering, monitoring, and the change management process, and is reviewed on a defined cadence</t>
  </si>
  <si>
    <t>REC-GOV-011-L5</t>
  </si>
  <si>
    <t>GOV-011|Not sure</t>
  </si>
  <si>
    <t>REC-GOV-011-NS</t>
  </si>
  <si>
    <t>GOV-011|Not applicable</t>
  </si>
  <si>
    <t>REC-GOV-011-NA</t>
  </si>
  <si>
    <t>Vendor AI is not assessed for AI-specific risks during procurement</t>
  </si>
  <si>
    <t>GOV-012|Vendor AI is not assessed for AI-specific risks during procurement</t>
  </si>
  <si>
    <t>Vendor Risk Gap</t>
  </si>
  <si>
    <t>REC-GOV-012-L1</t>
  </si>
  <si>
    <t>Procurement reviews vendor AI informally, but there is no required AI risk questionnaire or contract language</t>
  </si>
  <si>
    <t>GOV-012|Procurement reviews vendor AI informally, but there is no required AI risk questionnaire or contract language</t>
  </si>
  <si>
    <t>Informal Vendor Review</t>
  </si>
  <si>
    <t>GOV-012|An AI vendor review exists, but coverage of transparency, training data, audit rights, and model updates is inconsistent</t>
  </si>
  <si>
    <t>REC-GOV-012-L3</t>
  </si>
  <si>
    <t>Vendor AI is subject to a defined AI risk assessment, with documented contract requirements for transparency, model documentation, change notification, and audit or attestation rights</t>
  </si>
  <si>
    <t>GOV-012|Vendor AI is subject to a defined AI risk assessment, with documented contract requirements for transparency, model documentation, change notification, and audit or attestation rights</t>
  </si>
  <si>
    <t>REC-GOV-012-L4</t>
  </si>
  <si>
    <t>Vendor AI risk is continuously managed through risk-tiered procurement, contractual controls, ongoing attestation, monitoring of vendor model changes, and integration with the AI inventory</t>
  </si>
  <si>
    <t>GOV-012|Vendor AI risk is continuously managed through risk-tiered procurement, contractual controls, ongoing attestation, monitoring of vendor model changes, and integration with the AI inventory</t>
  </si>
  <si>
    <t>REC-GOV-012-L5</t>
  </si>
  <si>
    <t>GOV-012|Not sure</t>
  </si>
  <si>
    <t>REC-GOV-012-NS</t>
  </si>
  <si>
    <t>GOV-012|Not applicable</t>
  </si>
  <si>
    <t>REC-GOV-012-NA</t>
  </si>
  <si>
    <t>AI models are not actively monitored after deployment</t>
  </si>
  <si>
    <t>GOV-013|AI models are not actively monitored after deployment</t>
  </si>
  <si>
    <t>Monitoring Gap</t>
  </si>
  <si>
    <t>REC-GOV-013-L1</t>
  </si>
  <si>
    <t>Monitoring is informal, ad-hoc, or only happens when an issue is reported</t>
  </si>
  <si>
    <t>GOV-013|Monitoring is informal, ad-hoc, or only happens when an issue is reported</t>
  </si>
  <si>
    <t>Reactive Monitoring</t>
  </si>
  <si>
    <t>Some models are monitored, but coverage, metrics, thresholds, or alerting are inconsistent across the AI portfolio</t>
  </si>
  <si>
    <t>GOV-013|Some models are monitored, but coverage, metrics, thresholds, or alerting are inconsistent across the AI portfolio</t>
  </si>
  <si>
    <t>REC-GOV-013-L3</t>
  </si>
  <si>
    <t>GOV-013|Production AI models are monitored against defined metrics for performance, drift, and bias, with alerting and assigned owners for response</t>
  </si>
  <si>
    <t>REC-GOV-013-L4</t>
  </si>
  <si>
    <t>Monitoring is risk-tiered, automated, integrated with retraining and incident response, includes drift and fairness signals, and feeds continuous improvement of the AI portfolio</t>
  </si>
  <si>
    <t>GOV-013|Monitoring is risk-tiered, automated, integrated with retraining and incident response, includes drift and fairness signals, and feeds continuous improvement of the AI portfolio</t>
  </si>
  <si>
    <t>REC-GOV-013-L5</t>
  </si>
  <si>
    <t>GOV-013|Not sure</t>
  </si>
  <si>
    <t>REC-GOV-013-NS</t>
  </si>
  <si>
    <t>GOV-013|Not applicable</t>
  </si>
  <si>
    <t>REC-GOV-013-NA</t>
  </si>
  <si>
    <t>No AI-specific incident response plan exists</t>
  </si>
  <si>
    <t>GOV-014|No AI-specific incident response plan exists</t>
  </si>
  <si>
    <t>Incident Response Gap</t>
  </si>
  <si>
    <t>REC-GOV-014-L1</t>
  </si>
  <si>
    <t>AI incidents would be handled informally or through general IT incident processes, without AI-specific playbooks</t>
  </si>
  <si>
    <t>GOV-014|AI incidents would be handled informally or through general IT incident processes, without AI-specific playbooks</t>
  </si>
  <si>
    <t>Generic IR Only</t>
  </si>
  <si>
    <t>GOV-014|Some AI incident response procedures exist, but they are incomplete, untested, or not consistently communicated</t>
  </si>
  <si>
    <t>REC-GOV-014-L3</t>
  </si>
  <si>
    <t>A documented AI incident response plan defines triage, model disable procedures, communications, regulator notification triggers, and post-incident review</t>
  </si>
  <si>
    <t>GOV-014|A documented AI incident response plan defines triage, model disable procedures, communications, regulator notification triggers, and post-incident review</t>
  </si>
  <si>
    <t>REC-GOV-014-L4</t>
  </si>
  <si>
    <t>AI incident response is rehearsed, integrated with enterprise incident management, supported by automated kill-switch capability, and continuously improved through lessons learned</t>
  </si>
  <si>
    <t>GOV-014|AI incident response is rehearsed, integrated with enterprise incident management, supported by automated kill-switch capability, and continuously improved through lessons learned</t>
  </si>
  <si>
    <t>REC-GOV-014-L5</t>
  </si>
  <si>
    <t>GOV-014|Not sure</t>
  </si>
  <si>
    <t>REC-GOV-014-NS</t>
  </si>
  <si>
    <t>GOV-014|Not applicable</t>
  </si>
  <si>
    <t>REC-GOV-014-NA</t>
  </si>
  <si>
    <t>No dedicated budget, people, or tools are allocated to AI governance</t>
  </si>
  <si>
    <t>GOV-015|No dedicated budget, people, or tools are allocated to AI governance</t>
  </si>
  <si>
    <t>Resourcing Gap</t>
  </si>
  <si>
    <t>REC-GOV-015-L1</t>
  </si>
  <si>
    <t>Governance work depends on individuals doing it as an "extra" task on top of delivery responsibilities</t>
  </si>
  <si>
    <t>GOV-015|Governance work depends on individuals doing it as an "extra" task on top of delivery responsibilities</t>
  </si>
  <si>
    <t>Unfunded Mandate</t>
  </si>
  <si>
    <t>Some governance resources exist, but funding, staffing, or tooling are inconsistent across the AI portfolio</t>
  </si>
  <si>
    <t>GOV-015|Some governance resources exist, but funding, staffing, or tooling are inconsistent across the AI portfolio</t>
  </si>
  <si>
    <t>REC-GOV-015-L3</t>
  </si>
  <si>
    <t>GOV-015|Governance is funded with dedicated headcount, tooling, and a defined operating budget that scales with the AI portfolio</t>
  </si>
  <si>
    <t>REC-GOV-015-L4</t>
  </si>
  <si>
    <t>Governance funding is risk-tiered, performance-measured, integrated into the enterprise AI operating model, and adjusted on a defined cadence based on portfolio growth and regulatory change</t>
  </si>
  <si>
    <t>GOV-015|Governance funding is risk-tiered, performance-measured, integrated into the enterprise AI operating model, and adjusted on a defined cadence based on portfolio growth and regulatory change</t>
  </si>
  <si>
    <t>REC-GOV-015-L5</t>
  </si>
  <si>
    <t>GOV-015|Not sure</t>
  </si>
  <si>
    <t>REC-GOV-015-NS</t>
  </si>
  <si>
    <t>GOV-015|Not applicable</t>
  </si>
  <si>
    <t>REC-GOV-015-NA</t>
  </si>
  <si>
    <t>The board and senior leaders have limited AI awareness and rarely discuss AI strategy or risk</t>
  </si>
  <si>
    <t>GOV-016|The board and senior leaders have limited AI awareness and rarely discuss AI strategy or risk</t>
  </si>
  <si>
    <t>Leadership Literacy Gap</t>
  </si>
  <si>
    <t>REC-GOV-016-L1</t>
  </si>
  <si>
    <t>Leaders receive occasional AI updates, but understanding of differences between predictive AI, generative AI, and agentic AI risks is uneven</t>
  </si>
  <si>
    <t>GOV-016|Leaders receive occasional AI updates, but understanding of differences between predictive AI, generative AI, and agentic AI risks is uneven</t>
  </si>
  <si>
    <t>Uneven Literacy</t>
  </si>
  <si>
    <t>GOV-016|Leadership receives periodic AI briefings, but coverage of regulation, risk categories, and strategic implications is inconsistent</t>
  </si>
  <si>
    <t>REC-GOV-016-L3</t>
  </si>
  <si>
    <t>Board and senior executives receive structured AI literacy programming covering strategy, risk types, regulation, and business implications</t>
  </si>
  <si>
    <t>GOV-016|Board and senior executives receive structured AI literacy programming covering strategy, risk types, regulation, and business implications</t>
  </si>
  <si>
    <t>REC-GOV-016-L4</t>
  </si>
  <si>
    <t>Executive AI literacy is structured, refreshed regularly, tailored to changing capabilities (e.g., generative AI, agentic AI), and embedded into governance, audit, and strategy reviews</t>
  </si>
  <si>
    <t>GOV-016|Executive AI literacy is structured, refreshed regularly, tailored to changing capabilities (e.g., generative AI, agentic AI), and embedded into governance, audit, and strategy reviews</t>
  </si>
  <si>
    <t>REC-GOV-016-L5</t>
  </si>
  <si>
    <t>GOV-016|Not sure</t>
  </si>
  <si>
    <t>REC-GOV-016-NS</t>
  </si>
  <si>
    <t>GOV-016|Not applicable</t>
  </si>
  <si>
    <t>REC-GOV-016-NA</t>
  </si>
  <si>
    <t>Performance and incentives reward only speed to market or delivery; governance compliance plays no role</t>
  </si>
  <si>
    <t>GOV-017|Performance and incentives reward only speed to market or delivery; governance compliance plays no role</t>
  </si>
  <si>
    <t>Incentive Misalignment</t>
  </si>
  <si>
    <t>REC-GOV-017-L1</t>
  </si>
  <si>
    <t>Governance compliance is informally encouraged, but is not part of documented performance measurement</t>
  </si>
  <si>
    <t>GOV-017|Governance compliance is informally encouraged, but is not part of documented performance measurement</t>
  </si>
  <si>
    <t>Informal Reinforcement</t>
  </si>
  <si>
    <t>GOV-017|Some leaders include governance in performance discussions, but expectations are inconsistent across teams</t>
  </si>
  <si>
    <t>REC-GOV-017-L3</t>
  </si>
  <si>
    <t>Governance and Responsible AI compliance are documented expectations in performance reviews, OKRs, or delivery scorecards for relevant roles</t>
  </si>
  <si>
    <t>GOV-017|Governance and Responsible AI compliance are documented expectations in performance reviews, OKRs, or delivery scorecards for relevant roles</t>
  </si>
  <si>
    <t>REC-GOV-017-L4</t>
  </si>
  <si>
    <t>Governance and Responsible AI outcomes are embedded into performance management, leadership reviews, incentive design, and recognition programs across delivery, business, and executive levels</t>
  </si>
  <si>
    <t>GOV-017|Governance and Responsible AI outcomes are embedded into performance management, leadership reviews, incentive design, and recognition programs across delivery, business, and executive levels</t>
  </si>
  <si>
    <t>REC-GOV-017-L5</t>
  </si>
  <si>
    <t>GOV-017|Not sure</t>
  </si>
  <si>
    <t>REC-GOV-017-NS</t>
  </si>
  <si>
    <t>GOV-017|Not applicable</t>
  </si>
  <si>
    <t>REC-GOV-017-NA</t>
  </si>
  <si>
    <t>No channel exists for employees to raise AI safety, bias, or ethics concerns</t>
  </si>
  <si>
    <t>GOV-018|No channel exists for employees to raise AI safety, bias, or ethics concerns</t>
  </si>
  <si>
    <t>Speak-Up Gap</t>
  </si>
  <si>
    <t>REC-GOV-018-L1</t>
  </si>
  <si>
    <t>Employees may raise concerns through general channels, but no AI-specific or anonymous option exists</t>
  </si>
  <si>
    <t>GOV-018|Employees may raise concerns through general channels, but no AI-specific or anonymous option exists</t>
  </si>
  <si>
    <t>Generic Channel Only</t>
  </si>
  <si>
    <t>A channel exists, but it is not widely communicated, lacks anonymity options, or does not have a defined AI triage process</t>
  </si>
  <si>
    <t>GOV-018|A channel exists, but it is not widely communicated, lacks anonymity options, or does not have a defined AI triage process</t>
  </si>
  <si>
    <t>REC-GOV-018-L3</t>
  </si>
  <si>
    <t>GOV-018|A documented, communicated channel allows employees to raise AI concerns, including anonymously, with a defined triage and response process</t>
  </si>
  <si>
    <t>REC-GOV-018-L4</t>
  </si>
  <si>
    <t>AI speak-up channels are actively promoted, integrated with governance and incident response, anonymous, monitored for retaliation risk, and feed continuous improvement of AI policies</t>
  </si>
  <si>
    <t>GOV-018|AI speak-up channels are actively promoted, integrated with governance and incident response, anonymous, monitored for retaliation risk, and feed continuous improvement of AI policies</t>
  </si>
  <si>
    <t>REC-GOV-018-L5</t>
  </si>
  <si>
    <t>GOV-018|Not sure</t>
  </si>
  <si>
    <t>REC-GOV-018-NS</t>
  </si>
  <si>
    <t>GOV-018|Not applicable</t>
  </si>
  <si>
    <t>REC-GOV-018-NA</t>
  </si>
  <si>
    <t>AI initiatives are not connected to specific business KPIs or outcomes</t>
  </si>
  <si>
    <t>STR-001|AI initiatives are not connected to specific business KPIs or outcomes</t>
  </si>
  <si>
    <t>Value Articulation Gap</t>
  </si>
  <si>
    <t>REC-STR-001-L1</t>
  </si>
  <si>
    <t>AI initiatives are described in general business terms, but specific KPIs and targets are not consistently defined</t>
  </si>
  <si>
    <t>STR-001|AI initiatives are described in general business terms, but specific KPIs and targets are not consistently defined</t>
  </si>
  <si>
    <t>Vague Value Case</t>
  </si>
  <si>
    <t>Some AI initiatives have defined KPIs, but value cases vary in rigor across the portfolio</t>
  </si>
  <si>
    <t>STR-001|Some AI initiatives have defined KPIs, but value cases vary in rigor across the portfolio</t>
  </si>
  <si>
    <t>REC-STR-001-L3</t>
  </si>
  <si>
    <t>STR-001|Each major AI initiative has a documented business case, named KPI, baseline, target, and accountable owner</t>
  </si>
  <si>
    <t>REC-STR-001-L4</t>
  </si>
  <si>
    <t>AI value cases are standardized, baselined, tracked post-deployment, reviewed by governance, and feed portfolio prioritization and funding decisions</t>
  </si>
  <si>
    <t>STR-001|AI value cases are standardized, baselined, tracked post-deployment, reviewed by governance, and feed portfolio prioritization and funding decisions</t>
  </si>
  <si>
    <t>REC-STR-001-L5</t>
  </si>
  <si>
    <t>STR-001|Not sure</t>
  </si>
  <si>
    <t>REC-STR-001-NS</t>
  </si>
  <si>
    <t>STR-001|Not applicable</t>
  </si>
  <si>
    <t>REC-STR-001-NA</t>
  </si>
  <si>
    <t>No framework exists; sourcing decisions are made ad-hoc per project</t>
  </si>
  <si>
    <t>STR-002|No framework exists; sourcing decisions are made ad-hoc per project</t>
  </si>
  <si>
    <t>Sourcing Strategy Gap</t>
  </si>
  <si>
    <t>REC-STR-002-L1</t>
  </si>
  <si>
    <t>Teams make sourcing decisions based on informal preferences, with no documented criteria</t>
  </si>
  <si>
    <t>STR-002|Teams make sourcing decisions based on informal preferences, with no documented criteria</t>
  </si>
  <si>
    <t>Informal Sourcing</t>
  </si>
  <si>
    <t>A sourcing guide exists, but it is not consistently applied or doesn't address newer options like fine-tuning, RAG, or agentic patterns</t>
  </si>
  <si>
    <t>STR-002|A sourcing guide exists, but it is not consistently applied or doesn't address newer options like fine-tuning, RAG, or agentic patterns</t>
  </si>
  <si>
    <t>REC-STR-002-L3</t>
  </si>
  <si>
    <t>STR-002|A documented buy/build/tune framework considers cost, risk, differentiation, time-to-value, and vendor lock-in, and is consistently applied</t>
  </si>
  <si>
    <t>REC-STR-002-L4</t>
  </si>
  <si>
    <t>Sourcing decisions are governed, regularly refreshed, integrated with portfolio strategy and architecture standards, and supported by reusable patterns and total-cost modeling</t>
  </si>
  <si>
    <t>STR-002|Sourcing decisions are governed, regularly refreshed, integrated with portfolio strategy and architecture standards, and supported by reusable patterns and total-cost modeling</t>
  </si>
  <si>
    <t>REC-STR-002-L5</t>
  </si>
  <si>
    <t>STR-002|Not sure</t>
  </si>
  <si>
    <t>REC-STR-002-NS</t>
  </si>
  <si>
    <t>STR-002|Not applicable</t>
  </si>
  <si>
    <t>REC-STR-002-NA</t>
  </si>
  <si>
    <t>AI investments are not framed in competitive terms; they are pursued opportunistically</t>
  </si>
  <si>
    <t>STR-003|AI investments are not framed in competitive terms; they are pursued opportunistically</t>
  </si>
  <si>
    <t>Competitive Strategy Gap</t>
  </si>
  <si>
    <t>REC-STR-003-L1</t>
  </si>
  <si>
    <t>AI is being used to keep pace with peers, but differentiated investments are not deliberately identified</t>
  </si>
  <si>
    <t>STR-003|AI is being used to keep pace with peers, but differentiated investments are not deliberately identified</t>
  </si>
  <si>
    <t>Parity-Only Strategy</t>
  </si>
  <si>
    <t>STR-003|Leadership recognizes both parity and differentiation goals, but the portfolio mix is not deliberately managed</t>
  </si>
  <si>
    <t>REC-STR-003-L3</t>
  </si>
  <si>
    <t>The AI portfolio is intentionally balanced between competitive parity investments and differentiated, defensible AI capabilities</t>
  </si>
  <si>
    <t>STR-003|The AI portfolio is intentionally balanced between competitive parity investments and differentiated, defensible AI capabilities</t>
  </si>
  <si>
    <t>REC-STR-003-L4</t>
  </si>
  <si>
    <t>AI investments are continuously evaluated against competitive intelligence, customer signals, and unique data assets, and the portfolio is actively rebalanced to defend strategic moats</t>
  </si>
  <si>
    <t>STR-003|AI investments are continuously evaluated against competitive intelligence, customer signals, and unique data assets, and the portfolio is actively rebalanced to defend strategic moats</t>
  </si>
  <si>
    <t>REC-STR-003-L5</t>
  </si>
  <si>
    <t>STR-003|Not sure</t>
  </si>
  <si>
    <t>REC-STR-003-NS</t>
  </si>
  <si>
    <t>STR-003|Not applicable</t>
  </si>
  <si>
    <t>REC-STR-003-NA</t>
  </si>
  <si>
    <t>The AI portfolio is not deliberately segmented by internal efficiency vs. external innovation</t>
  </si>
  <si>
    <t>STR-004|The AI portfolio is not deliberately segmented by internal efficiency vs. external innovation</t>
  </si>
  <si>
    <t>Portfolio Balance Gap</t>
  </si>
  <si>
    <t>REC-STR-004-L1</t>
  </si>
  <si>
    <t>STR-004|One side dominates by default (e.g., all internal productivity, or all customer-facing pilots), with no strategic rationale</t>
  </si>
  <si>
    <t>Imbalanced Portfolio</t>
  </si>
  <si>
    <t>Some balance exists, but it is the result of bottom-up demand rather than a deliberate strategic choice</t>
  </si>
  <si>
    <t>STR-004|Some balance exists, but it is the result of bottom-up demand rather than a deliberate strategic choice</t>
  </si>
  <si>
    <t>REC-STR-004-L3</t>
  </si>
  <si>
    <t>The AI portfolio has a defined target mix between internal efficiency and customer-facing innovation, reviewed at the leadership level</t>
  </si>
  <si>
    <t>STR-004|The AI portfolio has a defined target mix between internal efficiency and customer-facing innovation, reviewed at the leadership level</t>
  </si>
  <si>
    <t>REC-STR-004-L4</t>
  </si>
  <si>
    <t>The internal-versus-external mix is actively governed, linked to strategic priorities, adjusted based on value realization, and informs funding and resource allocation</t>
  </si>
  <si>
    <t>STR-004|The internal-versus-external mix is actively governed, linked to strategic priorities, adjusted based on value realization, and informs funding and resource allocation</t>
  </si>
  <si>
    <t>REC-STR-004-L5</t>
  </si>
  <si>
    <t>STR-004|Not sure</t>
  </si>
  <si>
    <t>REC-STR-004-NS</t>
  </si>
  <si>
    <t>STR-004|Not applicable</t>
  </si>
  <si>
    <t>REC-STR-004-NA</t>
  </si>
  <si>
    <t>The AI roadmap assumes data is ready and does not address data debt or readiness</t>
  </si>
  <si>
    <t>STR-005|The AI roadmap assumes data is ready and does not address data debt or readiness</t>
  </si>
  <si>
    <t>Data Readiness Gap</t>
  </si>
  <si>
    <t>REC-STR-005-L1</t>
  </si>
  <si>
    <t>STR-005|Data issues are known but not reflected as milestones, dependencies, or funded work in the roadmap</t>
  </si>
  <si>
    <t>Unfunded Data Debt</t>
  </si>
  <si>
    <t>Some roadmap items include data work, but coverage is inconsistent and downstream AI initiatives are still at risk</t>
  </si>
  <si>
    <t>STR-005|Some roadmap items include data work, but coverage is inconsistent and downstream AI initiatives are still at risk</t>
  </si>
  <si>
    <t>REC-STR-005-L3</t>
  </si>
  <si>
    <t>The AI roadmap explicitly sequences data readiness milestones (quality, accessibility, governance, vector/feature infrastructure) ahead of dependent AI initiatives</t>
  </si>
  <si>
    <t>STR-005|The AI roadmap explicitly sequences data readiness milestones (quality, accessibility, governance, vector/feature infrastructure) ahead of dependent AI initiatives</t>
  </si>
  <si>
    <t>REC-STR-005-L4</t>
  </si>
  <si>
    <t>Data readiness is treated as a first-class investment stream, linked to AI portfolio value, tracked against KPIs, and continuously prioritized with the AI roadmap</t>
  </si>
  <si>
    <t>STR-005|Data readiness is treated as a first-class investment stream, linked to AI portfolio value, tracked against KPIs, and continuously prioritized with the AI roadmap</t>
  </si>
  <si>
    <t>REC-STR-005-L5</t>
  </si>
  <si>
    <t>STR-005|Not sure</t>
  </si>
  <si>
    <t>REC-STR-005-NS</t>
  </si>
  <si>
    <t>STR-005|Not applicable</t>
  </si>
  <si>
    <t>REC-STR-005-NA</t>
  </si>
  <si>
    <t>The roadmap is focused on long-term investments only, with no near-term wins, or only short-term pilots, with no long-term plan</t>
  </si>
  <si>
    <t>STR-006|The roadmap is focused on long-term investments only, with no near-term wins, or only short-term pilots, with no long-term plan</t>
  </si>
  <si>
    <t>Horizon Imbalance</t>
  </si>
  <si>
    <t>REC-STR-006-L1</t>
  </si>
  <si>
    <t>STR-006|Some short-term and long-term work exists, but the balance is accidental rather than deliberate</t>
  </si>
  <si>
    <t>Unintentional Mix</t>
  </si>
  <si>
    <t>A horizon balance is recognized as important, but the roadmap doesn't consistently sequence pilots to support long-term investments</t>
  </si>
  <si>
    <t>STR-006|A horizon balance is recognized as important, but the roadmap doesn't consistently sequence pilots to support long-term investments</t>
  </si>
  <si>
    <t>REC-STR-006-L3</t>
  </si>
  <si>
    <t>The roadmap is deliberately structured into near-term, medium-term, and long-term horizons, with quick wins selected to build trust and capability for larger bets</t>
  </si>
  <si>
    <t>STR-006|The roadmap is deliberately structured into near-term, medium-term, and long-term horizons, with quick wins selected to build trust and capability for larger bets</t>
  </si>
  <si>
    <t>REC-STR-006-L4</t>
  </si>
  <si>
    <t>The horizon balance is reviewed regularly, adjusted based on value realized and organizational readiness, and used to set funding, hiring, and communication priorities</t>
  </si>
  <si>
    <t>STR-006|The horizon balance is reviewed regularly, adjusted based on value realized and organizational readiness, and used to set funding, hiring, and communication priorities</t>
  </si>
  <si>
    <t>REC-STR-006-L5</t>
  </si>
  <si>
    <t>STR-006|Not sure</t>
  </si>
  <si>
    <t>REC-STR-006-NS</t>
  </si>
  <si>
    <t>STR-006|Not applicable</t>
  </si>
  <si>
    <t>REC-STR-006-NA</t>
  </si>
  <si>
    <t>Roadmap interdependencies between platforms and AI initiatives are not mapped</t>
  </si>
  <si>
    <t>STR-007|Roadmap interdependencies between platforms and AI initiatives are not mapped</t>
  </si>
  <si>
    <t>Dependency Mapping Gap</t>
  </si>
  <si>
    <t>REC-STR-007-L1</t>
  </si>
  <si>
    <t>STR-007|Dependencies are known informally by individuals, but not documented or used to sequence work</t>
  </si>
  <si>
    <t>Tribal Knowledge</t>
  </si>
  <si>
    <t>Some major dependencies are documented, but coverage is inconsistent and surprises still occur during delivery</t>
  </si>
  <si>
    <t>STR-007|Some major dependencies are documented, but coverage is inconsistent and surprises still occur during delivery</t>
  </si>
  <si>
    <t>REC-STR-007-L3</t>
  </si>
  <si>
    <t>Roadmap dependencies are documented, used to sequence work, and reviewed during planning and prioritization</t>
  </si>
  <si>
    <t>STR-007|Roadmap dependencies are documented, used to sequence work, and reviewed during planning and prioritization</t>
  </si>
  <si>
    <t>REC-STR-007-L4</t>
  </si>
  <si>
    <t>Dependencies are continuously maintained, integrated with architecture standards, used to drive platform investment, and reviewed during portfolio governance</t>
  </si>
  <si>
    <t>STR-007|Dependencies are continuously maintained, integrated with architecture standards, used to drive platform investment, and reviewed during portfolio governance</t>
  </si>
  <si>
    <t>REC-STR-007-L5</t>
  </si>
  <si>
    <t>STR-007|Not sure</t>
  </si>
  <si>
    <t>REC-STR-007-NS</t>
  </si>
  <si>
    <t>STR-007|Not applicable</t>
  </si>
  <si>
    <t>REC-STR-007-NA</t>
  </si>
  <si>
    <t>The AI roadmap is rarely revisited and there is no process to formally stop underperforming projects</t>
  </si>
  <si>
    <t>STR-008|The AI roadmap is rarely revisited and there is no process to formally stop underperforming projects</t>
  </si>
  <si>
    <t>Roadmap Stagnation</t>
  </si>
  <si>
    <t>REC-STR-008-L1</t>
  </si>
  <si>
    <t>Roadmap reviews happen ad-hoc; projects continue past their useful life because there is no decision forum</t>
  </si>
  <si>
    <t>STR-008|Roadmap reviews happen ad-hoc; projects continue past their useful life because there is no decision forum</t>
  </si>
  <si>
    <t>Sunk Cost Bias</t>
  </si>
  <si>
    <t>STR-008|The roadmap is reviewed periodically, but stop/continue decisions are inconsistent or politically difficult</t>
  </si>
  <si>
    <t>REC-STR-008-L3</t>
  </si>
  <si>
    <t>The roadmap is reviewed on a defined cadence with documented stage-gate criteria for continuing, pivoting, or stopping initiatives</t>
  </si>
  <si>
    <t>STR-008|The roadmap is reviewed on a defined cadence with documented stage-gate criteria for continuing, pivoting, or stopping initiatives</t>
  </si>
  <si>
    <t>REC-STR-008-L4</t>
  </si>
  <si>
    <t>Roadmap refresh is continuous, evidence-driven, integrated with value tracking and governance reviews, and supported by an explicit culture of stopping work that is no longer valuable</t>
  </si>
  <si>
    <t>STR-008|Roadmap refresh is continuous, evidence-driven, integrated with value tracking and governance reviews, and supported by an explicit culture of stopping work that is no longer valuable</t>
  </si>
  <si>
    <t>REC-STR-008-L5</t>
  </si>
  <si>
    <t>STR-008|Not sure</t>
  </si>
  <si>
    <t>REC-STR-008-NS</t>
  </si>
  <si>
    <t>STR-008|Not applicable</t>
  </si>
  <si>
    <t>REC-STR-008-NA</t>
  </si>
  <si>
    <t>The organization has minimal internal AI expertise and depends on external resources for nearly all AI work</t>
  </si>
  <si>
    <t>STR-009|The organization has minimal internal AI expertise and depends on external resources for nearly all AI work</t>
  </si>
  <si>
    <t>Talent Gap</t>
  </si>
  <si>
    <t>REC-STR-009-L1</t>
  </si>
  <si>
    <t>STR-009|Some internal AI capability exists, but key roles (e.g., ML engineering, MLOps, data engineering) are heavily dependent on contractors</t>
  </si>
  <si>
    <t>External Dependency</t>
  </si>
  <si>
    <t>A defined AI talent profile exists, but hiring, retention, and upskilling are inconsistent</t>
  </si>
  <si>
    <t>STR-009|A defined AI talent profile exists, but hiring, retention, and upskilling are inconsistent</t>
  </si>
  <si>
    <t>REC-STR-009-L3</t>
  </si>
  <si>
    <t>The organization has a documented AI talent strategy with role definitions, hiring plans, upskilling pathways, and retention practices</t>
  </si>
  <si>
    <t>STR-009|The organization has a documented AI talent strategy with role definitions, hiring plans, upskilling pathways, and retention practices</t>
  </si>
  <si>
    <t>REC-STR-009-L4</t>
  </si>
  <si>
    <t>AI talent is treated as a strategic asset, with continuous workforce planning, role evolution as AI capabilities change, and a balanced internal/external model</t>
  </si>
  <si>
    <t>STR-009|AI talent is treated as a strategic asset, with continuous workforce planning, role evolution as AI capabilities change, and a balanced internal/external model</t>
  </si>
  <si>
    <t>REC-STR-009-L5</t>
  </si>
  <si>
    <t>STR-009|Not sure</t>
  </si>
  <si>
    <t>REC-STR-009-NS</t>
  </si>
  <si>
    <t>STR-009|Not applicable</t>
  </si>
  <si>
    <t>REC-STR-009-NA</t>
  </si>
  <si>
    <t>AI run costs are not forecast; only build costs are considered when funding initiatives</t>
  </si>
  <si>
    <t>STR-010|AI run costs are not forecast; only build costs are considered when funding initiatives</t>
  </si>
  <si>
    <t>Run-Cost Blind Spot</t>
  </si>
  <si>
    <t>REC-STR-010-L1</t>
  </si>
  <si>
    <t>Some run costs are estimated, but tracking is inconsistent and budgets do not reflect scaled usage</t>
  </si>
  <si>
    <t>STR-010|Some run costs are estimated, but tracking is inconsistent and budgets do not reflect scaled usage</t>
  </si>
  <si>
    <t>Incomplete Cost View</t>
  </si>
  <si>
    <t>Cost forecasts exist for major initiatives, but coverage is partial and surprises occur as usage scales</t>
  </si>
  <si>
    <t>STR-010|Cost forecasts exist for major initiatives, but coverage is partial and surprises occur as usage scales</t>
  </si>
  <si>
    <t>REC-STR-010-L3</t>
  </si>
  <si>
    <t>AI run costs are forecast per use case, tracked against budget, and reflected in funding and architecture decisions</t>
  </si>
  <si>
    <t>STR-010|AI run costs are forecast per use case, tracked against budget, and reflected in funding and architecture decisions</t>
  </si>
  <si>
    <t>REC-STR-010-L4</t>
  </si>
  <si>
    <t>STR-010|AI run costs are continuously monitored, attributed to business outcomes, optimized through architecture and model selection, and integrated with FinOps practices</t>
  </si>
  <si>
    <t>REC-STR-010-L5</t>
  </si>
  <si>
    <t>STR-010|Not sure</t>
  </si>
  <si>
    <t>REC-STR-010-NS</t>
  </si>
  <si>
    <t>STR-010|Not applicable</t>
  </si>
  <si>
    <t>REC-STR-010-NA</t>
  </si>
  <si>
    <t>SMEs are expected to support AI work on top of their day jobs, with no formal time allocation</t>
  </si>
  <si>
    <t>STR-011|SMEs are expected to support AI work on top of their day jobs, with no formal time allocation</t>
  </si>
  <si>
    <t>SME Capacity Gap</t>
  </si>
  <si>
    <t>REC-STR-011-L1</t>
  </si>
  <si>
    <t>SME engagement happens informally, depending on individual availability and goodwill</t>
  </si>
  <si>
    <t>STR-011|SME engagement happens informally, depending on individual availability and goodwill</t>
  </si>
  <si>
    <t>Goodwill-Based Engagement</t>
  </si>
  <si>
    <t>STR-011|Some initiatives have allocated SME time, but the practice is inconsistent across the portfolio</t>
  </si>
  <si>
    <t>REC-STR-011-L3</t>
  </si>
  <si>
    <t>SME time is explicitly planned, funded, and protected for AI initiatives through agreements with their primary leaders</t>
  </si>
  <si>
    <t>STR-011|SME time is explicitly planned, funded, and protected for AI initiatives through agreements with their primary leaders</t>
  </si>
  <si>
    <t>REC-STR-011-L4</t>
  </si>
  <si>
    <t>SME engagement is a managed capacity discipline, included in portfolio planning, supported by tooling for labeling and validation, and refreshed as AI use cases evolve</t>
  </si>
  <si>
    <t>STR-011|SME engagement is a managed capacity discipline, included in portfolio planning, supported by tooling for labeling and validation, and refreshed as AI use cases evolve</t>
  </si>
  <si>
    <t>REC-STR-011-L5</t>
  </si>
  <si>
    <t>STR-011|Not sure</t>
  </si>
  <si>
    <t>REC-STR-011-NS</t>
  </si>
  <si>
    <t>STR-011|Not applicable</t>
  </si>
  <si>
    <t>REC-STR-011-NA</t>
  </si>
  <si>
    <t>No formal plan exists to upskill the workforce on AI tools</t>
  </si>
  <si>
    <t>STR-012|No formal plan exists to upskill the workforce on AI tools</t>
  </si>
  <si>
    <t>Workforce Enablement Gap</t>
  </si>
  <si>
    <t>REC-STR-012-L1</t>
  </si>
  <si>
    <t>Training is delivered ad-hoc at tool launch, with no ongoing curriculum or role-based content</t>
  </si>
  <si>
    <t>STR-012|Training is delivered ad-hoc at tool launch, with no ongoing curriculum or role-based content</t>
  </si>
  <si>
    <t>One-Time Training Only</t>
  </si>
  <si>
    <t>A training plan exists for some tools or roles, but coverage and adoption tracking are inconsistent</t>
  </si>
  <si>
    <t>STR-012|A training plan exists for some tools or roles, but coverage and adoption tracking are inconsistent</t>
  </si>
  <si>
    <t>REC-STR-012-L3</t>
  </si>
  <si>
    <t>STR-012|A documented workforce AI enablement plan covers role-based training, communications, and adoption measurement for each major AI tool</t>
  </si>
  <si>
    <t>REC-STR-012-L4</t>
  </si>
  <si>
    <t>Workforce enablement is continuous, role-specific, tied to adoption KPIs, integrated with HR and learning systems, and adjusted as the AI portfolio evolves</t>
  </si>
  <si>
    <t>STR-012|Workforce enablement is continuous, role-specific, tied to adoption KPIs, integrated with HR and learning systems, and adjusted as the AI portfolio evolves</t>
  </si>
  <si>
    <t>REC-STR-012-L5</t>
  </si>
  <si>
    <t>STR-012|Not sure</t>
  </si>
  <si>
    <t>REC-STR-012-NS</t>
  </si>
  <si>
    <t>STR-012|Not applicable</t>
  </si>
  <si>
    <t>REC-STR-012-NA</t>
  </si>
  <si>
    <t>AI success is not formally defined; outcomes are described anecdotally</t>
  </si>
  <si>
    <t>STR-013|AI success is not formally defined; outcomes are described anecdotally</t>
  </si>
  <si>
    <t>Success Definition Gap</t>
  </si>
  <si>
    <t>REC-STR-013-L1</t>
  </si>
  <si>
    <t>Success is defined narrowly (e.g., model accuracy only, or pilot completion only), missing adoption or business impact</t>
  </si>
  <si>
    <t>STR-013|Success is defined narrowly (e.g., model accuracy only, or pilot completion only), missing adoption or business impact</t>
  </si>
  <si>
    <t>Single-Lens Success</t>
  </si>
  <si>
    <t>STR-013|Multiple success measures exist, but the balance between technical and business measures is inconsistent across initiatives</t>
  </si>
  <si>
    <t>REC-STR-013-L3</t>
  </si>
  <si>
    <t>Each AI initiative defines success across both technical performance and business adoption or outcome metrics</t>
  </si>
  <si>
    <t>STR-013|Each AI initiative defines success across both technical performance and business adoption or outcome metrics</t>
  </si>
  <si>
    <t>REC-STR-013-L4</t>
  </si>
  <si>
    <t>Success criteria are standardized, multi-dimensional (technical, adoption, value, responsibility), tracked post-deployment, and feed continuous portfolio decisions</t>
  </si>
  <si>
    <t>STR-013|Success criteria are standardized, multi-dimensional (technical, adoption, value, responsibility), tracked post-deployment, and feed continuous portfolio decisions</t>
  </si>
  <si>
    <t>REC-STR-013-L5</t>
  </si>
  <si>
    <t>STR-013|Not sure</t>
  </si>
  <si>
    <t>REC-STR-013-NS</t>
  </si>
  <si>
    <t>STR-013|Not applicable</t>
  </si>
  <si>
    <t>REC-STR-013-NA</t>
  </si>
  <si>
    <t>There is no defined expectation for when AI initiatives should show value</t>
  </si>
  <si>
    <t>STR-014|There is no defined expectation for when AI initiatives should show value</t>
  </si>
  <si>
    <t>ROI Horizon Gap</t>
  </si>
  <si>
    <t>REC-STR-014-L1</t>
  </si>
  <si>
    <t>Time-to-value expectations are inconsistent and applied unevenly depending on sponsor influence</t>
  </si>
  <si>
    <t>STR-014|Time-to-value expectations are inconsistent and applied unevenly depending on sponsor influence</t>
  </si>
  <si>
    <t>Inconsistent Patience</t>
  </si>
  <si>
    <t>Some AI initiatives have defined ROI windows, but the framework is not portfolio-wide</t>
  </si>
  <si>
    <t>STR-014|Some AI initiatives have defined ROI windows, but the framework is not portfolio-wide</t>
  </si>
  <si>
    <t>REC-STR-014-L3</t>
  </si>
  <si>
    <t>STR-014|AI initiatives have defined time-to-value windows aligned to initiative type (e.g., pilot vs. platform vs. strategic bet)</t>
  </si>
  <si>
    <t>REC-STR-014-L4</t>
  </si>
  <si>
    <t>Time-to-value expectations are tiered by initiative type, embedded in stage-gates, reviewed against actuals, and used to refresh portfolio strategy</t>
  </si>
  <si>
    <t>STR-014|Time-to-value expectations are tiered by initiative type, embedded in stage-gates, reviewed against actuals, and used to refresh portfolio strategy</t>
  </si>
  <si>
    <t>REC-STR-014-L5</t>
  </si>
  <si>
    <t>STR-014|Not sure</t>
  </si>
  <si>
    <t>REC-STR-014-NS</t>
  </si>
  <si>
    <t>STR-014|Not applicable</t>
  </si>
  <si>
    <t>REC-STR-014-NA</t>
  </si>
  <si>
    <t>AI impact is reported without separating it from other business changes or market shifts</t>
  </si>
  <si>
    <t>STR-015|AI impact is reported without separating it from other business changes or market shifts</t>
  </si>
  <si>
    <t>Attribution Gap</t>
  </si>
  <si>
    <t>REC-STR-015-L1</t>
  </si>
  <si>
    <t>Impact is described anecdotally, without controls, baselines, or statistical comparisons</t>
  </si>
  <si>
    <t>STR-015|Impact is described anecdotally, without controls, baselines, or statistical comparisons</t>
  </si>
  <si>
    <t>Anecdotal Attribution</t>
  </si>
  <si>
    <t>Some initiatives use A/B testing or baseline comparisons, but the practice is not consistent across the portfolio</t>
  </si>
  <si>
    <t>STR-015|Some initiatives use A/B testing or baseline comparisons, but the practice is not consistent across the portfolio</t>
  </si>
  <si>
    <t>REC-STR-015-L3</t>
  </si>
  <si>
    <t>STR-015|AI initiatives use defined attribution methods (A/B tests, holdouts, baselines, or counterfactuals) suited to the use case</t>
  </si>
  <si>
    <t>REC-STR-015-L4</t>
  </si>
  <si>
    <t>Attribution is standardized, peer-reviewed, integrated with experimentation infrastructure, and used to refine future investment decisions and portfolio prioritization</t>
  </si>
  <si>
    <t>STR-015|Attribution is standardized, peer-reviewed, integrated with experimentation infrastructure, and used to refine future investment decisions and portfolio prioritization</t>
  </si>
  <si>
    <t>REC-STR-015-L5</t>
  </si>
  <si>
    <t>STR-015|Not sure</t>
  </si>
  <si>
    <t>REC-STR-015-NS</t>
  </si>
  <si>
    <t>STR-015|Not applicable</t>
  </si>
  <si>
    <t>REC-STR-015-NA</t>
  </si>
  <si>
    <t>Fairness is not formally defined for AI use cases</t>
  </si>
  <si>
    <t>RAI-001|Fairness is not formally defined for AI use cases</t>
  </si>
  <si>
    <t>Fairness Definition Gap</t>
  </si>
  <si>
    <t>REC-RAI-001-L1</t>
  </si>
  <si>
    <t>Fairness is discussed in general terms but not translated into specific definitions per use case</t>
  </si>
  <si>
    <t>RAI-001|Fairness is discussed in general terms but not translated into specific definitions per use case</t>
  </si>
  <si>
    <t>Conceptual Fairness Only</t>
  </si>
  <si>
    <t>RAI-001|Some high-stakes use cases have documented fairness definitions, but coverage and rigor are inconsistent</t>
  </si>
  <si>
    <t>REC-RAI-001-L3</t>
  </si>
  <si>
    <t>High-stakes AI use cases have documented fairness definitions (e.g., demographic parity, equal opportunity, predictive parity) chosen based on use case context</t>
  </si>
  <si>
    <t>RAI-001|High-stakes AI use cases have documented fairness definitions (e.g., demographic parity, equal opportunity, predictive parity) chosen based on use case context</t>
  </si>
  <si>
    <t>REC-RAI-001-L4</t>
  </si>
  <si>
    <t>Fairness definitions are standardized by use case type, embedded in delivery and review processes, auditable, and revisited as regulations and norms evolve</t>
  </si>
  <si>
    <t>RAI-001|Fairness definitions are standardized by use case type, embedded in delivery and review processes, auditable, and revisited as regulations and norms evolve</t>
  </si>
  <si>
    <t>REC-RAI-001-L5</t>
  </si>
  <si>
    <t>RAI-001|Not sure</t>
  </si>
  <si>
    <t>REC-RAI-001-NS</t>
  </si>
  <si>
    <t>RAI-001|Not applicable</t>
  </si>
  <si>
    <t>REC-RAI-001-NA</t>
  </si>
  <si>
    <t>Training data representativeness is not assessed before models are trained</t>
  </si>
  <si>
    <t>RAI-002|Training data representativeness is not assessed before models are trained</t>
  </si>
  <si>
    <t>Data Bias Risk</t>
  </si>
  <si>
    <t>REC-RAI-002-L1</t>
  </si>
  <si>
    <t>Teams informally consider data quality, but representativeness across protected or relevant groups is not systematically verified</t>
  </si>
  <si>
    <t>RAI-002|Teams informally consider data quality, but representativeness across protected or relevant groups is not systematically verified</t>
  </si>
  <si>
    <t>Informal Data Review</t>
  </si>
  <si>
    <t>Some models go through representativeness checks, but standards and coverage are inconsistent</t>
  </si>
  <si>
    <t>RAI-002|Some models go through representativeness checks, but standards and coverage are inconsistent</t>
  </si>
  <si>
    <t>REC-RAI-002-L3</t>
  </si>
  <si>
    <t>RAI-002|Training data is reviewed for representativeness and coverage gaps against defined population segments before model approval</t>
  </si>
  <si>
    <t>REC-RAI-002-L4</t>
  </si>
  <si>
    <t>Representativeness analysis is standardized, risk-tiered, integrated with model documentation, repeated when data is refreshed, and informs data acquisition strategy</t>
  </si>
  <si>
    <t>RAI-002|Representativeness analysis is standardized, risk-tiered, integrated with model documentation, repeated when data is refreshed, and informs data acquisition strategy</t>
  </si>
  <si>
    <t>REC-RAI-002-L5</t>
  </si>
  <si>
    <t>RAI-002|Not sure</t>
  </si>
  <si>
    <t>REC-RAI-002-NS</t>
  </si>
  <si>
    <t>RAI-002|Not applicable</t>
  </si>
  <si>
    <t>REC-RAI-002-NA</t>
  </si>
  <si>
    <t>Live AI models are not audited for bias after deployment</t>
  </si>
  <si>
    <t>RAI-003|Live AI models are not audited for bias after deployment</t>
  </si>
  <si>
    <t>Post-Deployment Bias Gap</t>
  </si>
  <si>
    <t>REC-RAI-003-L1</t>
  </si>
  <si>
    <t>Bias is reviewed only when concerns are raised, not on a defined schedule</t>
  </si>
  <si>
    <t>RAI-003|Bias is reviewed only when concerns are raised, not on a defined schedule</t>
  </si>
  <si>
    <t>Reactive Bias Auditing</t>
  </si>
  <si>
    <t>Some models are audited periodically, but coverage and remediation expectations are inconsistent</t>
  </si>
  <si>
    <t>RAI-003|Some models are audited periodically, but coverage and remediation expectations are inconsistent</t>
  </si>
  <si>
    <t>REC-RAI-003-L3</t>
  </si>
  <si>
    <t>RAI-003|High-risk AI models are audited for bias on a defined cadence, with documented thresholds and remediation steps</t>
  </si>
  <si>
    <t>REC-RAI-003-L4</t>
  </si>
  <si>
    <t>Bias auditing is risk-tiered, automated where possible, integrated with monitoring and retraining, and tracked through governance reporting</t>
  </si>
  <si>
    <t>RAI-003|Bias auditing is risk-tiered, automated where possible, integrated with monitoring and retraining, and tracked through governance reporting</t>
  </si>
  <si>
    <t>REC-RAI-003-L5</t>
  </si>
  <si>
    <t>RAI-003|Not sure</t>
  </si>
  <si>
    <t>REC-RAI-003-NS</t>
  </si>
  <si>
    <t>RAI-003|Not applicable</t>
  </si>
  <si>
    <t>REC-RAI-003-NA</t>
  </si>
  <si>
    <t>No protocol exists for responding to detected bias in production models</t>
  </si>
  <si>
    <t>RAI-004|No protocol exists for responding to detected bias in production models</t>
  </si>
  <si>
    <t>Bias Remediation Gap</t>
  </si>
  <si>
    <t>REC-RAI-004-L1</t>
  </si>
  <si>
    <t>Response would be ad-hoc, decided in the moment, with no playbook for retraining, rollback, or disablement</t>
  </si>
  <si>
    <t>RAI-004|Response would be ad-hoc, decided in the moment, with no playbook for retraining, rollback, or disablement</t>
  </si>
  <si>
    <t>Ad-Hoc Remediation</t>
  </si>
  <si>
    <t>RAI-004|A response approach exists, but it is informal, inconsistently applied, or untested</t>
  </si>
  <si>
    <t>REC-RAI-004-L3</t>
  </si>
  <si>
    <t>A documented protocol defines remediation paths (retraining, weight adjustment, rollback, disablement) and decision rights when bias is detected</t>
  </si>
  <si>
    <t>RAI-004|A documented protocol defines remediation paths (retraining, weight adjustment, rollback, disablement) and decision rights when bias is detected</t>
  </si>
  <si>
    <t>REC-RAI-004-L4</t>
  </si>
  <si>
    <t>Bias remediation is rehearsed, integrated with monitoring and incident response, supported by tooling for rapid retraining or rollback, and continuously improved through lessons learned</t>
  </si>
  <si>
    <t>RAI-004|Bias remediation is rehearsed, integrated with monitoring and incident response, supported by tooling for rapid retraining or rollback, and continuously improved through lessons learned</t>
  </si>
  <si>
    <t>REC-RAI-004-L5</t>
  </si>
  <si>
    <t>RAI-004|Not sure</t>
  </si>
  <si>
    <t>REC-RAI-004-NS</t>
  </si>
  <si>
    <t>RAI-004|Not applicable</t>
  </si>
  <si>
    <t>REC-RAI-004-NA</t>
  </si>
  <si>
    <t>AI tools are deployed without transparency documentation about intended use and limitations</t>
  </si>
  <si>
    <t>RAI-005|AI tools are deployed without transparency documentation about intended use and limitations</t>
  </si>
  <si>
    <t>Transparency Gap</t>
  </si>
  <si>
    <t>REC-RAI-005-L1</t>
  </si>
  <si>
    <t>Some teams produce informal documentation, but there is no standard model card or transparency note format</t>
  </si>
  <si>
    <t>RAI-005|Some teams produce informal documentation, but there is no standard model card or transparency note format</t>
  </si>
  <si>
    <t>Inconsistent Documentation</t>
  </si>
  <si>
    <t>RAI-005|A standard model card or transparency note format exists, but coverage of the live AI portfolio is incomplete</t>
  </si>
  <si>
    <t>REC-RAI-005-L3</t>
  </si>
  <si>
    <t>All high-impact AI tools have a completed model card or transparency note covering intended use, limitations, training data, and contact for concerns</t>
  </si>
  <si>
    <t>RAI-005|All high-impact AI tools have a completed model card or transparency note covering intended use, limitations, training data, and contact for concerns</t>
  </si>
  <si>
    <t>REC-RAI-005-L4</t>
  </si>
  <si>
    <t>Transparency documentation is standardized, version-controlled, accessible to relevant users and reviewers, and kept current through automated workflows tied to model changes</t>
  </si>
  <si>
    <t>RAI-005|Transparency documentation is standardized, version-controlled, accessible to relevant users and reviewers, and kept current through automated workflows tied to model changes</t>
  </si>
  <si>
    <t>REC-RAI-005-L5</t>
  </si>
  <si>
    <t>RAI-005|Not sure</t>
  </si>
  <si>
    <t>REC-RAI-005-NS</t>
  </si>
  <si>
    <t>RAI-005|Not applicable</t>
  </si>
  <si>
    <t>REC-RAI-005-NA</t>
  </si>
  <si>
    <t>The organization cannot provide individual-level explanations of AI decisions</t>
  </si>
  <si>
    <t>RAI-006|The organization cannot provide individual-level explanations of AI decisions</t>
  </si>
  <si>
    <t>Explainability Gap</t>
  </si>
  <si>
    <t>REC-RAI-006-L1</t>
  </si>
  <si>
    <t>Some teams can produce technical explanations, but they are not translated into plain language for affected users</t>
  </si>
  <si>
    <t>RAI-006|Some teams can produce technical explanations, but they are not translated into plain language for affected users</t>
  </si>
  <si>
    <t>Technical-Only Explanations</t>
  </si>
  <si>
    <t>Plain-language explanations exist for some use cases, but coverage and quality are inconsistent</t>
  </si>
  <si>
    <t>RAI-006|Plain-language explanations exist for some use cases, but coverage and quality are inconsistent</t>
  </si>
  <si>
    <t>REC-RAI-006-L3</t>
  </si>
  <si>
    <t>RAI-006|High-impact AI decisions include documented, plain-language explanations accessible to affected users on request</t>
  </si>
  <si>
    <t>REC-RAI-006-L4</t>
  </si>
  <si>
    <t>Explainability is risk-tiered, embedded in customer-facing systems, supported by explainability tooling, tested for clarity, and improved through user feedback</t>
  </si>
  <si>
    <t>RAI-006|Explainability is risk-tiered, embedded in customer-facing systems, supported by explainability tooling, tested for clarity, and improved through user feedback</t>
  </si>
  <si>
    <t>REC-RAI-006-L5</t>
  </si>
  <si>
    <t>RAI-006|Not sure</t>
  </si>
  <si>
    <t>REC-RAI-006-NS</t>
  </si>
  <si>
    <t>RAI-006|Not applicable</t>
  </si>
  <si>
    <t>REC-RAI-006-NA</t>
  </si>
  <si>
    <t>No process exists for individuals to contest automated AI decisions</t>
  </si>
  <si>
    <t>RAI-007|No process exists for individuals to contest automated AI decisions</t>
  </si>
  <si>
    <t>Appeal Process Gap</t>
  </si>
  <si>
    <t>REC-RAI-007-L1</t>
  </si>
  <si>
    <t>Appeals may be handled informally through general customer service channels, with no AI-specific path</t>
  </si>
  <si>
    <t>RAI-007|Appeals may be handled informally through general customer service channels, with no AI-specific path</t>
  </si>
  <si>
    <t>No AI-Specific Path</t>
  </si>
  <si>
    <t>RAI-007|An appeal process exists for some use cases, but it is not well-communicated, timely, or consistently applied</t>
  </si>
  <si>
    <t>REC-RAI-007-L3</t>
  </si>
  <si>
    <t>A documented appeal process exists for AI-driven decisions, including how to request human review, expected response times, and how to access decision rationale</t>
  </si>
  <si>
    <t>RAI-007|A documented appeal process exists for AI-driven decisions, including how to request human review, expected response times, and how to access decision rationale</t>
  </si>
  <si>
    <t>REC-RAI-007-L4</t>
  </si>
  <si>
    <t>The appeal process is risk-tiered by use case impact, staffed appropriately, tracked against SLAs, audited for fairness, and used as input to model improvement</t>
  </si>
  <si>
    <t>RAI-007|The appeal process is risk-tiered by use case impact, staffed appropriately, tracked against SLAs, audited for fairness, and used as input to model improvement</t>
  </si>
  <si>
    <t>REC-RAI-007-L5</t>
  </si>
  <si>
    <t>RAI-007|Not sure</t>
  </si>
  <si>
    <t>REC-RAI-007-NS</t>
  </si>
  <si>
    <t>RAI-007|Not applicable</t>
  </si>
  <si>
    <t>REC-RAI-007-NA</t>
  </si>
  <si>
    <t>Vendor explainability is not part of procurement evaluation</t>
  </si>
  <si>
    <t>RAI-008|Vendor explainability is not part of procurement evaluation</t>
  </si>
  <si>
    <t>Vendor Transparency Gap</t>
  </si>
  <si>
    <t>REC-RAI-008-L1</t>
  </si>
  <si>
    <t>Procurement asks about explainability informally, but no formal disclosure or contract requirement exists</t>
  </si>
  <si>
    <t>RAI-008|Procurement asks about explainability informally, but no formal disclosure or contract requirement exists</t>
  </si>
  <si>
    <t>RAI-008|Some procurement decisions evaluate vendor explainability, but the practice is not standardized</t>
  </si>
  <si>
    <t>REC-RAI-008-L3</t>
  </si>
  <si>
    <t>Vendor AI procurement requires documented disclosure of explainability capabilities, limitations, and intended-use guidance</t>
  </si>
  <si>
    <t>RAI-008|Vendor AI procurement requires documented disclosure of explainability capabilities, limitations, and intended-use guidance</t>
  </si>
  <si>
    <t>REC-RAI-008-L4</t>
  </si>
  <si>
    <t>Vendor explainability requirements are risk-tiered, contractually enforceable, validated through demonstrations or audits, and refreshed as vendor models are updated</t>
  </si>
  <si>
    <t>RAI-008|Vendor explainability requirements are risk-tiered, contractually enforceable, validated through demonstrations or audits, and refreshed as vendor models are updated</t>
  </si>
  <si>
    <t>REC-RAI-008-L5</t>
  </si>
  <si>
    <t>RAI-008|Not sure</t>
  </si>
  <si>
    <t>REC-RAI-008-NS</t>
  </si>
  <si>
    <t>RAI-008|Not applicable</t>
  </si>
  <si>
    <t>REC-RAI-008-NA</t>
  </si>
  <si>
    <t>AI red-teaming is not performed</t>
  </si>
  <si>
    <t>RAI-009|AI red-teaming is not performed</t>
  </si>
  <si>
    <t>Red-Teaming Gap</t>
  </si>
  <si>
    <t>REC-RAI-009-L1</t>
  </si>
  <si>
    <t>Informal adversarial testing happens occasionally, with no defined scope, scenarios, or roles</t>
  </si>
  <si>
    <t>RAI-009|Informal adversarial testing happens occasionally, with no defined scope, scenarios, or roles</t>
  </si>
  <si>
    <t>Informal Red-Teaming</t>
  </si>
  <si>
    <t>RAI-009|Red-teaming happens for some high-impact use cases, but coverage and rigor are inconsistent</t>
  </si>
  <si>
    <t>REC-RAI-009-L3</t>
  </si>
  <si>
    <t>A defined red-teaming program tests high-impact AI for harmful output, bias, jailbreaks, and misuse, with documented scenarios and remediation expectations</t>
  </si>
  <si>
    <t>RAI-009|A defined red-teaming program tests high-impact AI for harmful output, bias, jailbreaks, and misuse, with documented scenarios and remediation expectations</t>
  </si>
  <si>
    <t>REC-RAI-009-L4</t>
  </si>
  <si>
    <t>Red-teaming is integrated into the AI development lifecycle, risk-tiered, supplemented by external testing where appropriate, and feeds continuous improvement of safety controls</t>
  </si>
  <si>
    <t>RAI-009|Red-teaming is integrated into the AI development lifecycle, risk-tiered, supplemented by external testing where appropriate, and feeds continuous improvement of safety controls</t>
  </si>
  <si>
    <t>REC-RAI-009-L5</t>
  </si>
  <si>
    <t>RAI-009|Not sure</t>
  </si>
  <si>
    <t>REC-RAI-009-NS</t>
  </si>
  <si>
    <t>RAI-009|Not applicable</t>
  </si>
  <si>
    <t>REC-RAI-009-NA</t>
  </si>
  <si>
    <t>No drift monitoring or automated alerting exists for AI models</t>
  </si>
  <si>
    <t>RAI-010|No drift monitoring or automated alerting exists for AI models</t>
  </si>
  <si>
    <t>Drift Detection Gap</t>
  </si>
  <si>
    <t>REC-RAI-010-L1</t>
  </si>
  <si>
    <t>RAI-010|Drift is checked manually or only when an issue is reported, with no automated alerts</t>
  </si>
  <si>
    <t>Manual Drift Review Only</t>
  </si>
  <si>
    <t>Drift monitoring exists for some models, but thresholds, alerting, and ownership are inconsistent</t>
  </si>
  <si>
    <t>RAI-010|Drift monitoring exists for some models, but thresholds, alerting, and ownership are inconsistent</t>
  </si>
  <si>
    <t>REC-RAI-010-L3</t>
  </si>
  <si>
    <t>Production AI models have automated drift monitoring against defined thresholds, with alerts routed to assigned owners</t>
  </si>
  <si>
    <t>RAI-010|Production AI models have automated drift monitoring against defined thresholds, with alerts routed to assigned owners</t>
  </si>
  <si>
    <t>REC-RAI-010-L4</t>
  </si>
  <si>
    <t>Drift detection is risk-tiered, multi-signal (data, performance, fairness), integrated with retraining and incident response, and continuously refined based on observed patterns</t>
  </si>
  <si>
    <t>RAI-010|Drift detection is risk-tiered, multi-signal (data, performance, fairness), integrated with retraining and incident response, and continuously refined based on observed patterns</t>
  </si>
  <si>
    <t>REC-RAI-010-L5</t>
  </si>
  <si>
    <t>RAI-010|Not sure</t>
  </si>
  <si>
    <t>REC-RAI-010-NS</t>
  </si>
  <si>
    <t>RAI-010|Not applicable</t>
  </si>
  <si>
    <t>REC-RAI-010-NA</t>
  </si>
  <si>
    <t>AI-specific security threats are not addressed; standard application security is assumed sufficient</t>
  </si>
  <si>
    <t>RAI-011|AI-specific security threats are not addressed; standard application security is assumed sufficient</t>
  </si>
  <si>
    <t>AI Security Gap</t>
  </si>
  <si>
    <t>REC-RAI-011-L1</t>
  </si>
  <si>
    <t>Some teams have implemented basic guardrails, but there is no enterprise AI security standard or threat model</t>
  </si>
  <si>
    <t>RAI-011|Some teams have implemented basic guardrails, but there is no enterprise AI security standard or threat model</t>
  </si>
  <si>
    <t>Inconsistent Controls</t>
  </si>
  <si>
    <t>AI security controls exist for some applications, but coverage of threats like prompt injection, data poisoning, and model extraction is uneven</t>
  </si>
  <si>
    <t>RAI-011|AI security controls exist for some applications, but coverage of threats like prompt injection, data poisoning, and model extraction is uneven</t>
  </si>
  <si>
    <t>REC-RAI-011-L3</t>
  </si>
  <si>
    <t>RAI-011|A defined AI security architecture addresses AI-specific threats with input/output guardrails, training-data integrity controls, and AI-aware monitoring</t>
  </si>
  <si>
    <t>REC-RAI-011-L4</t>
  </si>
  <si>
    <t>AI security is risk-tiered, continuously tested (including red-teaming), integrated with enterprise security operations, and refreshed as new AI threats emerge</t>
  </si>
  <si>
    <t>RAI-011|AI security is risk-tiered, continuously tested (including red-teaming), integrated with enterprise security operations, and refreshed as new AI threats emerge</t>
  </si>
  <si>
    <t>REC-RAI-011-L5</t>
  </si>
  <si>
    <t>RAI-011|Not sure</t>
  </si>
  <si>
    <t>REC-RAI-011-NS</t>
  </si>
  <si>
    <t>RAI-011|Not applicable</t>
  </si>
  <si>
    <t>REC-RAI-011-NA</t>
  </si>
  <si>
    <t>No mechanism exists to rapidly disable a misbehaving AI model</t>
  </si>
  <si>
    <t>RAI-012|No mechanism exists to rapidly disable a misbehaving AI model</t>
  </si>
  <si>
    <t>Kill-Switch Gap</t>
  </si>
  <si>
    <t>REC-RAI-012-L1</t>
  </si>
  <si>
    <t>Disablement would be slow or manual, depending on individuals with system access</t>
  </si>
  <si>
    <t>RAI-012|Disablement would be slow or manual, depending on individuals with system access</t>
  </si>
  <si>
    <t>Slow Manual Disable</t>
  </si>
  <si>
    <t>Disablement capability exists for some models, but procedures and response times are inconsistent</t>
  </si>
  <si>
    <t>RAI-012|Disablement capability exists for some models, but procedures and response times are inconsistent</t>
  </si>
  <si>
    <t>REC-RAI-012-L3</t>
  </si>
  <si>
    <t>RAI-012|High-impact AI models have documented kill-switch procedures with defined authority, technical means, and target response times</t>
  </si>
  <si>
    <t>REC-RAI-012-L4</t>
  </si>
  <si>
    <t>Kill-switch capability is tested, automated where appropriate, integrated with incident response, and audited for response-time SLAs</t>
  </si>
  <si>
    <t>RAI-012|Kill-switch capability is tested, automated where appropriate, integrated with incident response, and audited for response-time SLAs</t>
  </si>
  <si>
    <t>REC-RAI-012-L5</t>
  </si>
  <si>
    <t>RAI-012|Not sure</t>
  </si>
  <si>
    <t>REC-RAI-012-NS</t>
  </si>
  <si>
    <t>RAI-012|Not applicable</t>
  </si>
  <si>
    <t>REC-RAI-012-NA</t>
  </si>
  <si>
    <t>No named individual is accountable for the outputs of AI systems</t>
  </si>
  <si>
    <t>RAI-013|No named individual is accountable for the outputs of AI systems</t>
  </si>
  <si>
    <t>Accountability Gap</t>
  </si>
  <si>
    <t>REC-RAI-013-L1</t>
  </si>
  <si>
    <t>Accountability is implied by role but not formally assigned for each AI system</t>
  </si>
  <si>
    <t>RAI-013|Accountability is implied by role but not formally assigned for each AI system</t>
  </si>
  <si>
    <t>Implicit Accountability</t>
  </si>
  <si>
    <t>RAI-013|Accountable owners are named for some AI systems, but coverage is inconsistent</t>
  </si>
  <si>
    <t>REC-RAI-013-L3</t>
  </si>
  <si>
    <t>Each AI system has a named accountable owner with documented responsibilities for performance, risk, and incident response</t>
  </si>
  <si>
    <t>RAI-013|Each AI system has a named accountable owner with documented responsibilities for performance, risk, and incident response</t>
  </si>
  <si>
    <t>REC-RAI-013-L4</t>
  </si>
  <si>
    <t>Accountable ownership is tracked centrally, reviewed at handoffs, integrated with performance management, and supported by training for accountable owners</t>
  </si>
  <si>
    <t>RAI-013|Accountable ownership is tracked centrally, reviewed at handoffs, integrated with performance management, and supported by training for accountable owners</t>
  </si>
  <si>
    <t>REC-RAI-013-L5</t>
  </si>
  <si>
    <t>RAI-013|Not sure</t>
  </si>
  <si>
    <t>REC-RAI-013-NS</t>
  </si>
  <si>
    <t>RAI-013|Not applicable</t>
  </si>
  <si>
    <t>REC-RAI-013-NA</t>
  </si>
  <si>
    <t>Data minimization is not considered when building AI models</t>
  </si>
  <si>
    <t>RAI-014|Data minimization is not considered when building AI models</t>
  </si>
  <si>
    <t>Data Minimization Gap</t>
  </si>
  <si>
    <t>REC-RAI-014-L1</t>
  </si>
  <si>
    <t>Teams may consider it informally, but no standard or review process exists</t>
  </si>
  <si>
    <t>RAI-014|Teams may consider it informally, but no standard or review process exists</t>
  </si>
  <si>
    <t>Informal Practice</t>
  </si>
  <si>
    <t>RAI-014|Some AI projects apply data minimization, but coverage and rigor are inconsistent</t>
  </si>
  <si>
    <t>REC-RAI-014-L3</t>
  </si>
  <si>
    <t>AI projects apply documented data minimization principles, with privacy review before training and deployment</t>
  </si>
  <si>
    <t>RAI-014|AI projects apply documented data minimization principles, with privacy review before training and deployment</t>
  </si>
  <si>
    <t>REC-RAI-014-L4</t>
  </si>
  <si>
    <t>Data minimization is standardized, auditable, integrated with privacy reviews and data lineage tooling, and revisited as models and data sources evolve</t>
  </si>
  <si>
    <t>RAI-014|Data minimization is standardized, auditable, integrated with privacy reviews and data lineage tooling, and revisited as models and data sources evolve</t>
  </si>
  <si>
    <t>REC-RAI-014-L5</t>
  </si>
  <si>
    <t>RAI-014|Not sure</t>
  </si>
  <si>
    <t>REC-RAI-014-NS</t>
  </si>
  <si>
    <t>RAI-014|Not applicable</t>
  </si>
  <si>
    <t>REC-RAI-014-NA</t>
  </si>
  <si>
    <t>Customer data is used for AI training without checking alignment with consent or terms of service</t>
  </si>
  <si>
    <t>RAI-015|Customer data is used for AI training without checking alignment with consent or terms of service</t>
  </si>
  <si>
    <t>Consent Alignment Gap</t>
  </si>
  <si>
    <t>REC-RAI-015-L1</t>
  </si>
  <si>
    <t>RAI-015|Consent is considered informally, but there is no documented mapping from training data to consent basis</t>
  </si>
  <si>
    <t>Untracked Consent</t>
  </si>
  <si>
    <t>Some training data has documented consent alignment, but coverage and review are inconsistent</t>
  </si>
  <si>
    <t>RAI-015|Some training data has documented consent alignment, but coverage and review are inconsistent</t>
  </si>
  <si>
    <t>REC-RAI-015-L3</t>
  </si>
  <si>
    <t>Training data sources are mapped to consent or legal basis, with privacy review required before use</t>
  </si>
  <si>
    <t>RAI-015|Training data sources are mapped to consent or legal basis, with privacy review required before use</t>
  </si>
  <si>
    <t>REC-RAI-015-L4</t>
  </si>
  <si>
    <t>Consent alignment is tracked through data lineage tooling, audited regularly, integrated with privacy operations, and refreshed when terms of service or regulations change</t>
  </si>
  <si>
    <t>RAI-015|Consent alignment is tracked through data lineage tooling, audited regularly, integrated with privacy operations, and refreshed when terms of service or regulations change</t>
  </si>
  <si>
    <t>REC-RAI-015-L5</t>
  </si>
  <si>
    <t>RAI-015|Not sure</t>
  </si>
  <si>
    <t>REC-RAI-015-NS</t>
  </si>
  <si>
    <t>RAI-015|Not applicable</t>
  </si>
  <si>
    <t>REC-RAI-015-NA</t>
  </si>
  <si>
    <t>AI energy or carbon footprint is not tracked or reported</t>
  </si>
  <si>
    <t>RAI-016|AI energy or carbon footprint is not tracked or reported</t>
  </si>
  <si>
    <t>Sustainability Gap</t>
  </si>
  <si>
    <t>REC-RAI-016-L1</t>
  </si>
  <si>
    <t>Some general cloud or compute usage is tracked, but not attributed to AI workloads</t>
  </si>
  <si>
    <t>RAI-016|Some general cloud or compute usage is tracked, but not attributed to AI workloads</t>
  </si>
  <si>
    <t>Untraced AI Footprint</t>
  </si>
  <si>
    <t>Some AI workloads have sustainability metrics, but coverage is partial and reporting is inconsistent</t>
  </si>
  <si>
    <t>RAI-016|Some AI workloads have sustainability metrics, but coverage is partial and reporting is inconsistent</t>
  </si>
  <si>
    <t>REC-RAI-016-L3</t>
  </si>
  <si>
    <t>RAI-016|AI energy or carbon footprint is tracked for major training and inference workloads and included in periodic reporting</t>
  </si>
  <si>
    <t>REC-RAI-016-L4</t>
  </si>
  <si>
    <t>AI sustainability is reported externally where required, integrated with enterprise ESG reporting, influences architecture and vendor decisions, and is tracked against improvement targets</t>
  </si>
  <si>
    <t>RAI-016|AI sustainability is reported externally where required, integrated with enterprise ESG reporting, influences architecture and vendor decisions, and is tracked against improvement targets</t>
  </si>
  <si>
    <t>REC-RAI-016-L5</t>
  </si>
  <si>
    <t>RAI-016|Not sure</t>
  </si>
  <si>
    <t>REC-RAI-016-NS</t>
  </si>
  <si>
    <t>RAI-016|Not applicable</t>
  </si>
  <si>
    <t>REC-RAI-016-NA</t>
  </si>
  <si>
    <t>AI ROI is not calculated; value is described in qualitative terms only</t>
  </si>
  <si>
    <t>PMF-001|AI ROI is not calculated; value is described in qualitative terms only</t>
  </si>
  <si>
    <t>ROI Methodology Gap</t>
  </si>
  <si>
    <t>REC-PMF-001-L1</t>
  </si>
  <si>
    <t>ROI is estimated informally for some initiatives, with no consistent methodology</t>
  </si>
  <si>
    <t>PMF-001|ROI is estimated informally for some initiatives, with no consistent methodology</t>
  </si>
  <si>
    <t>Inconsistent ROI</t>
  </si>
  <si>
    <t>A ROI methodology exists but is applied unevenly, with gaps in cost capture or benefit attribution</t>
  </si>
  <si>
    <t>PMF-001|A ROI methodology exists but is applied unevenly, with gaps in cost capture or benefit attribution</t>
  </si>
  <si>
    <t>REC-PMF-001-L3</t>
  </si>
  <si>
    <t>PMF-001|AI initiatives use a documented ROI methodology covering build cost, run cost, value lift, and risk-adjusted returns</t>
  </si>
  <si>
    <t>REC-PMF-001-L4</t>
  </si>
  <si>
    <t>ROI is standardized, validated post-deployment against forecast, integrated with portfolio governance, and refreshed as cost and value assumptions change</t>
  </si>
  <si>
    <t>PMF-001|ROI is standardized, validated post-deployment against forecast, integrated with portfolio governance, and refreshed as cost and value assumptions change</t>
  </si>
  <si>
    <t>REC-PMF-001-L5</t>
  </si>
  <si>
    <t>PMF-001|Not sure</t>
  </si>
  <si>
    <t>REC-PMF-001-NS</t>
  </si>
  <si>
    <t>PMF-001|Not applicable</t>
  </si>
  <si>
    <t>REC-PMF-001-NA</t>
  </si>
  <si>
    <t>Time-to-value is not measured for AI use cases</t>
  </si>
  <si>
    <t>PMF-002|Time-to-value is not measured for AI use cases</t>
  </si>
  <si>
    <t>Speed Measurement Gap</t>
  </si>
  <si>
    <t>REC-PMF-002-L1</t>
  </si>
  <si>
    <t>Time-to-value is described anecdotally; there is no consistent definition or tracking</t>
  </si>
  <si>
    <t>PMF-002|Time-to-value is described anecdotally; there is no consistent definition or tracking</t>
  </si>
  <si>
    <t>Anecdotal Tracking</t>
  </si>
  <si>
    <t>PMF-002|Some initiatives track time-to-value, but definitions and data quality are inconsistent</t>
  </si>
  <si>
    <t>REC-PMF-002-L3</t>
  </si>
  <si>
    <t>A defined time-to-value metric is tracked across the AI portfolio, with stage definitions (pilot, production, value-realized)</t>
  </si>
  <si>
    <t>PMF-002|A defined time-to-value metric is tracked across the AI portfolio, with stage definitions (pilot, production, value-realized)</t>
  </si>
  <si>
    <t>REC-PMF-002-L4</t>
  </si>
  <si>
    <t>Time-to-value is tracked, trended, benchmarked, integrated with portfolio governance, and used to identify and remove systemic delivery bottlenecks</t>
  </si>
  <si>
    <t>PMF-002|Time-to-value is tracked, trended, benchmarked, integrated with portfolio governance, and used to identify and remove systemic delivery bottlenecks</t>
  </si>
  <si>
    <t>REC-PMF-002-L5</t>
  </si>
  <si>
    <t>PMF-002|Not sure</t>
  </si>
  <si>
    <t>REC-PMF-002-NS</t>
  </si>
  <si>
    <t>PMF-002|Not applicable</t>
  </si>
  <si>
    <t>REC-PMF-002-NA</t>
  </si>
  <si>
    <t>Workforce productivity gains from AI are not measured</t>
  </si>
  <si>
    <t>PMF-003|Workforce productivity gains from AI are not measured</t>
  </si>
  <si>
    <t>Productivity Measurement Gap</t>
  </si>
  <si>
    <t>REC-PMF-003-L1</t>
  </si>
  <si>
    <t>Anecdotes suggest productivity gains, but there is no measurement methodology</t>
  </si>
  <si>
    <t>PMF-003|Anecdotes suggest productivity gains, but there is no measurement methodology</t>
  </si>
  <si>
    <t>Anecdotal Productivity</t>
  </si>
  <si>
    <t>PMF-003|Some AI tools have productivity measures, but coverage and methodology vary</t>
  </si>
  <si>
    <t>REC-PMF-003-L3</t>
  </si>
  <si>
    <t>AI productivity is measured for major tools using a defined methodology, including time-saved and reinvestment outcomes</t>
  </si>
  <si>
    <t>PMF-003|AI productivity is measured for major tools using a defined methodology, including time-saved and reinvestment outcomes</t>
  </si>
  <si>
    <t>REC-PMF-003-L4</t>
  </si>
  <si>
    <t>Productivity gains are measured continuously, validated through sampling, tied to business outcomes, and used to inform AI investment, role design, and operating model evolution</t>
  </si>
  <si>
    <t>PMF-003|Productivity gains are measured continuously, validated through sampling, tied to business outcomes, and used to inform AI investment, role design, and operating model evolution</t>
  </si>
  <si>
    <t>REC-PMF-003-L5</t>
  </si>
  <si>
    <t>PMF-003|Not sure</t>
  </si>
  <si>
    <t>REC-PMF-003-NS</t>
  </si>
  <si>
    <t>PMF-003|Not applicable</t>
  </si>
  <si>
    <t>REC-PMF-003-NA</t>
  </si>
  <si>
    <t>Non-financial value from AI is not tracked</t>
  </si>
  <si>
    <t>PMF-004|Non-financial value from AI is not tracked</t>
  </si>
  <si>
    <t>Experience Measurement Gap</t>
  </si>
  <si>
    <t>REC-PMF-004-L1</t>
  </si>
  <si>
    <t>Customer or employee experience is tracked generally, but not isolated to AI-driven interactions</t>
  </si>
  <si>
    <t>PMF-004|Customer or employee experience is tracked generally, but not isolated to AI-driven interactions</t>
  </si>
  <si>
    <t>Untagged Experience Data</t>
  </si>
  <si>
    <t>PMF-004|Some AI touchpoints have experience measurement, but coverage is partial and trends are not consistently reviewed</t>
  </si>
  <si>
    <t>REC-PMF-004-L3</t>
  </si>
  <si>
    <t>Major AI-driven interactions have defined experience metrics (e.g., CSAT, NPS, ease-of-use) tracked over time</t>
  </si>
  <si>
    <t>PMF-004|Major AI-driven interactions have defined experience metrics (e.g., CSAT, NPS, ease-of-use) tracked over time</t>
  </si>
  <si>
    <t>REC-PMF-004-L4</t>
  </si>
  <si>
    <t>Experience metrics are integrated with AI portfolio governance, used to inform model improvements, and reported alongside financial value</t>
  </si>
  <si>
    <t>PMF-004|Experience metrics are integrated with AI portfolio governance, used to inform model improvements, and reported alongside financial value</t>
  </si>
  <si>
    <t>REC-PMF-004-L5</t>
  </si>
  <si>
    <t>PMF-004|Not sure</t>
  </si>
  <si>
    <t>REC-PMF-004-NS</t>
  </si>
  <si>
    <t>PMF-004|Not applicable</t>
  </si>
  <si>
    <t>REC-PMF-004-NA</t>
  </si>
  <si>
    <t>Model accuracy is judged only by generic benchmarks or vendor claims</t>
  </si>
  <si>
    <t>PMF-005|Model accuracy is judged only by generic benchmarks or vendor claims</t>
  </si>
  <si>
    <t>Domain Accuracy Gap</t>
  </si>
  <si>
    <t>REC-PMF-005-L1</t>
  </si>
  <si>
    <t>PMF-005|Some teams build informal test sets, but there is no organized ground-truth practice</t>
  </si>
  <si>
    <t>Informal Eval</t>
  </si>
  <si>
    <t>Ground-truth datasets exist for some use cases, but coverage, refresh, and rigor are inconsistent</t>
  </si>
  <si>
    <t>PMF-005|Ground-truth datasets exist for some use cases, but coverage, refresh, and rigor are inconsistent</t>
  </si>
  <si>
    <t>REC-PMF-005-L3</t>
  </si>
  <si>
    <t>High-impact AI use cases have curated ground-truth datasets used for pre-deployment evaluation and ongoing performance measurement</t>
  </si>
  <si>
    <t>PMF-005|High-impact AI use cases have curated ground-truth datasets used for pre-deployment evaluation and ongoing performance measurement</t>
  </si>
  <si>
    <t>REC-PMF-005-L4</t>
  </si>
  <si>
    <t>Ground-truth practice is standardized, version-controlled, refreshed on a defined cadence, integrated with monitoring, and supports both internal and vendor model evaluations</t>
  </si>
  <si>
    <t>PMF-005|Ground-truth practice is standardized, version-controlled, refreshed on a defined cadence, integrated with monitoring, and supports both internal and vendor model evaluations</t>
  </si>
  <si>
    <t>REC-PMF-005-L5</t>
  </si>
  <si>
    <t>PMF-005|Not sure</t>
  </si>
  <si>
    <t>REC-PMF-005-NS</t>
  </si>
  <si>
    <t>PMF-005|Not applicable</t>
  </si>
  <si>
    <t>REC-PMF-005-NA</t>
  </si>
  <si>
    <t>AI response time and throughput are not measured against defined targets</t>
  </si>
  <si>
    <t>PMF-006|AI response time and throughput are not measured against defined targets</t>
  </si>
  <si>
    <t>SLA Gap</t>
  </si>
  <si>
    <t>REC-PMF-006-L1</t>
  </si>
  <si>
    <t>PMF-006|Performance is monitored informally; SLAs are not defined or are not tied to customer/business impact</t>
  </si>
  <si>
    <t>Untied Monitoring</t>
  </si>
  <si>
    <t>Some AI services have SLAs and dashboards, but coverage and breach response are inconsistent</t>
  </si>
  <si>
    <t>PMF-006|Some AI services have SLAs and dashboards, but coverage and breach response are inconsistent</t>
  </si>
  <si>
    <t>REC-PMF-006-L3</t>
  </si>
  <si>
    <t>Customer-facing AI services have defined SLAs for latency and throughput, with dashboards and breach response procedures</t>
  </si>
  <si>
    <t>PMF-006|Customer-facing AI services have defined SLAs for latency and throughput, with dashboards and breach response procedures</t>
  </si>
  <si>
    <t>REC-PMF-006-L4</t>
  </si>
  <si>
    <t>AI performance SLAs are risk-tiered, integrated with capacity planning and cost optimization, continuously trended, and adjusted based on user experience data</t>
  </si>
  <si>
    <t>PMF-006|AI performance SLAs are risk-tiered, integrated with capacity planning and cost optimization, continuously trended, and adjusted based on user experience data</t>
  </si>
  <si>
    <t>REC-PMF-006-L5</t>
  </si>
  <si>
    <t>PMF-006|Not sure</t>
  </si>
  <si>
    <t>REC-PMF-006-NS</t>
  </si>
  <si>
    <t>PMF-006|Not applicable</t>
  </si>
  <si>
    <t>REC-PMF-006-NA</t>
  </si>
  <si>
    <t>Hallucination or groundedness in generative AI outputs is not measured</t>
  </si>
  <si>
    <t>PMF-007|Hallucination or groundedness in generative AI outputs is not measured</t>
  </si>
  <si>
    <t>Hallucination Measurement Gap</t>
  </si>
  <si>
    <t>REC-PMF-007-L1</t>
  </si>
  <si>
    <t>PMF-007|Output quality is judged anecdotally or by user complaints rather than a measurement methodology</t>
  </si>
  <si>
    <t>Reactive Quality Review</t>
  </si>
  <si>
    <t>Some generative AI use cases have hallucination metrics, but methodology and coverage are inconsistent</t>
  </si>
  <si>
    <t>PMF-007|Some generative AI use cases have hallucination metrics, but methodology and coverage are inconsistent</t>
  </si>
  <si>
    <t>REC-PMF-007-L3</t>
  </si>
  <si>
    <t>Generative AI use cases use defined metrics for hallucination and groundedness, with thresholds and evaluation procedures</t>
  </si>
  <si>
    <t>PMF-007|Generative AI use cases use defined metrics for hallucination and groundedness, with thresholds and evaluation procedures</t>
  </si>
  <si>
    <t>REC-PMF-007-L4</t>
  </si>
  <si>
    <t>Hallucination and groundedness are continuously measured, tied to grounding architecture (e.g., RAG quality), trended, and used to drive prompt, retrieval, and model improvements</t>
  </si>
  <si>
    <t>PMF-007|Hallucination and groundedness are continuously measured, tied to grounding architecture (e.g., RAG quality), trended, and used to drive prompt, retrieval, and model improvements</t>
  </si>
  <si>
    <t>REC-PMF-007-L5</t>
  </si>
  <si>
    <t>PMF-007|Not sure</t>
  </si>
  <si>
    <t>REC-PMF-007-NS</t>
  </si>
  <si>
    <t>PMF-007|Not applicable</t>
  </si>
  <si>
    <t>REC-PMF-007-NA</t>
  </si>
  <si>
    <t>Concept drift is not measured; retraining decisions are not tied to performance evidence</t>
  </si>
  <si>
    <t>PMF-008|Concept drift is not measured; retraining decisions are not tied to performance evidence</t>
  </si>
  <si>
    <t>Drift-Driven Retraining Gap</t>
  </si>
  <si>
    <t>REC-PMF-008-L1</t>
  </si>
  <si>
    <t>PMF-008|Retraining happens on calendar cadence, without measured drift signals</t>
  </si>
  <si>
    <t>Calendar-Only Retraining</t>
  </si>
  <si>
    <t>Some models track drift and trigger retraining, but practices vary across the portfolio</t>
  </si>
  <si>
    <t>PMF-008|Some models track drift and trigger retraining, but practices vary across the portfolio</t>
  </si>
  <si>
    <t>REC-PMF-008-L3</t>
  </si>
  <si>
    <t>Production models have defined drift metrics with thresholds that trigger documented retraining or replacement workflows</t>
  </si>
  <si>
    <t>PMF-008|Production models have defined drift metrics with thresholds that trigger documented retraining or replacement workflows</t>
  </si>
  <si>
    <t>REC-PMF-008-L4</t>
  </si>
  <si>
    <t>Drift measurement is risk-tiered, automated, integrated with MLOps/LLMOps pipelines, validated against business outcomes, and feeds continuous model improvement</t>
  </si>
  <si>
    <t>PMF-008|Drift measurement is risk-tiered, automated, integrated with MLOps/LLMOps pipelines, validated against business outcomes, and feeds continuous model improvement</t>
  </si>
  <si>
    <t>REC-PMF-008-L5</t>
  </si>
  <si>
    <t>PMF-008|Not sure</t>
  </si>
  <si>
    <t>REC-PMF-008-NS</t>
  </si>
  <si>
    <t>PMF-008|Not applicable</t>
  </si>
  <si>
    <t>REC-PMF-008-NA</t>
  </si>
  <si>
    <t>Per-query or per-token costs are not tracked</t>
  </si>
  <si>
    <t>PMF-009|Per-query or per-token costs are not tracked</t>
  </si>
  <si>
    <t>Unit-Cost Visibility Gap</t>
  </si>
  <si>
    <t>REC-PMF-009-L1</t>
  </si>
  <si>
    <t>PMF-009|Costs are tracked at an aggregate or invoice level, with no per-use-case or per-query breakdown</t>
  </si>
  <si>
    <t>Coarse Cost Tracking</t>
  </si>
  <si>
    <t>Some AI services have unit-cost visibility, but alerting for cost spikes is inconsistent or missing</t>
  </si>
  <si>
    <t>PMF-009|Some AI services have unit-cost visibility, but alerting for cost spikes is inconsistent or missing</t>
  </si>
  <si>
    <t>REC-PMF-009-L3</t>
  </si>
  <si>
    <t>Unit costs are tracked per use case with defined alert thresholds for unexpected spikes</t>
  </si>
  <si>
    <t>PMF-009|Unit costs are tracked per use case with defined alert thresholds for unexpected spikes</t>
  </si>
  <si>
    <t>REC-PMF-009-L4</t>
  </si>
  <si>
    <t>Unit-cost visibility is integrated with FinOps, attributed to business outcomes, optimized through model and architecture choices, and reviewed at portfolio governance</t>
  </si>
  <si>
    <t>PMF-009|Unit-cost visibility is integrated with FinOps, attributed to business outcomes, optimized through model and architecture choices, and reviewed at portfolio governance</t>
  </si>
  <si>
    <t>REC-PMF-009-L5</t>
  </si>
  <si>
    <t>PMF-009|Not sure</t>
  </si>
  <si>
    <t>REC-PMF-009-NS</t>
  </si>
  <si>
    <t>PMF-009|Not applicable</t>
  </si>
  <si>
    <t>REC-PMF-009-NA</t>
  </si>
  <si>
    <t>Compute utilization for AI workloads is not measured</t>
  </si>
  <si>
    <t>PMF-010|Compute utilization for AI workloads is not measured</t>
  </si>
  <si>
    <t>Utilization Gap</t>
  </si>
  <si>
    <t>REC-PMF-010-L1</t>
  </si>
  <si>
    <t>Utilization is checked manually and occasionally; idle capacity is common but not addressed</t>
  </si>
  <si>
    <t>PMF-010|Utilization is checked manually and occasionally; idle capacity is common but not addressed</t>
  </si>
  <si>
    <t>Unmanaged Idle Capacity</t>
  </si>
  <si>
    <t>PMF-010|Some workloads have utilization monitoring, but right-sizing or scaling actions are inconsistent</t>
  </si>
  <si>
    <t>REC-PMF-010-L3</t>
  </si>
  <si>
    <t>Compute utilization is monitored for AI workloads, with right-sizing and scaling actions taken based on observed patterns</t>
  </si>
  <si>
    <t>PMF-010|Compute utilization is monitored for AI workloads, with right-sizing and scaling actions taken based on observed patterns</t>
  </si>
  <si>
    <t>REC-PMF-010-L4</t>
  </si>
  <si>
    <t>Utilization optimization is automated where appropriate, integrated with FinOps, tied to performance SLAs and sustainability targets, and continuously improved</t>
  </si>
  <si>
    <t>PMF-010|Utilization optimization is automated where appropriate, integrated with FinOps, tied to performance SLAs and sustainability targets, and continuously improved</t>
  </si>
  <si>
    <t>REC-PMF-010-L5</t>
  </si>
  <si>
    <t>PMF-010|Not sure</t>
  </si>
  <si>
    <t>REC-PMF-010-NS</t>
  </si>
  <si>
    <t>PMF-010|Not applicable</t>
  </si>
  <si>
    <t>REC-PMF-010-NA</t>
  </si>
  <si>
    <t>TCO for AI is not measured; only software and cloud costs are visible</t>
  </si>
  <si>
    <t>PMF-011|TCO for AI is not measured; only software and cloud costs are visible</t>
  </si>
  <si>
    <t>TCO Visibility Gap</t>
  </si>
  <si>
    <t>REC-PMF-011-L1</t>
  </si>
  <si>
    <t>Some additional costs are included anecdotally, but no consistent TCO framework is applied</t>
  </si>
  <si>
    <t>PMF-011|Some additional costs are included anecdotally, but no consistent TCO framework is applied</t>
  </si>
  <si>
    <t>Incomplete TCO</t>
  </si>
  <si>
    <t>PMF-011|TCO is calculated for some initiatives, but human oversight, labeling, and governance costs are inconsistently included</t>
  </si>
  <si>
    <t>REC-PMF-011-L3</t>
  </si>
  <si>
    <t>AI TCO is calculated using a defined framework that includes software, infrastructure, data, oversight, governance, and audit costs</t>
  </si>
  <si>
    <t>PMF-011|AI TCO is calculated using a defined framework that includes software, infrastructure, data, oversight, governance, and audit costs</t>
  </si>
  <si>
    <t>REC-PMF-011-L4</t>
  </si>
  <si>
    <t>TCO is standardized, validated against actuals, integrated with portfolio governance, and used to inform sourcing, sequencing, and value decisions</t>
  </si>
  <si>
    <t>PMF-011|TCO is standardized, validated against actuals, integrated with portfolio governance, and used to inform sourcing, sequencing, and value decisions</t>
  </si>
  <si>
    <t>REC-PMF-011-L5</t>
  </si>
  <si>
    <t>PMF-011|Not sure</t>
  </si>
  <si>
    <t>REC-PMF-011-NS</t>
  </si>
  <si>
    <t>PMF-011|Not applicable</t>
  </si>
  <si>
    <t>REC-PMF-011-NA</t>
  </si>
  <si>
    <t>Energy or carbon metrics are not measured for AI workloads</t>
  </si>
  <si>
    <t>PMF-012|Energy or carbon metrics are not measured for AI workloads</t>
  </si>
  <si>
    <t>Sustainability Measurement Gap</t>
  </si>
  <si>
    <t>REC-PMF-012-L1</t>
  </si>
  <si>
    <t>Sustainability is tracked at the enterprise level but not isolated to AI workloads</t>
  </si>
  <si>
    <t>PMF-012|Sustainability is tracked at the enterprise level but not isolated to AI workloads</t>
  </si>
  <si>
    <t>Some high-scale AI workloads have sustainability measurement, but coverage and methodology are inconsistent</t>
  </si>
  <si>
    <t>PMF-012|Some high-scale AI workloads have sustainability measurement, but coverage and methodology are inconsistent</t>
  </si>
  <si>
    <t>REC-PMF-012-L3</t>
  </si>
  <si>
    <t>PMF-012|High-scale AI deployments have defined energy or carbon metrics, tracked and reported on a defined cadence</t>
  </si>
  <si>
    <t>REC-PMF-012-L4</t>
  </si>
  <si>
    <t>Sustainability metrics are integrated with architecture choices, model selection, vendor evaluation, and enterprise ESG reporting</t>
  </si>
  <si>
    <t>PMF-012|Sustainability metrics are integrated with architecture choices, model selection, vendor evaluation, and enterprise ESG reporting</t>
  </si>
  <si>
    <t>REC-PMF-012-L5</t>
  </si>
  <si>
    <t>PMF-012|Not sure</t>
  </si>
  <si>
    <t>REC-PMF-012-NS</t>
  </si>
  <si>
    <t>PMF-012|Not applicable</t>
  </si>
  <si>
    <t>REC-PMF-012-NA</t>
  </si>
  <si>
    <t>Fairness performance is not reported on a recurring basis to governance</t>
  </si>
  <si>
    <t>PMF-013|Fairness performance is not reported on a recurring basis to governance</t>
  </si>
  <si>
    <t>Fairness Reporting Gap</t>
  </si>
  <si>
    <t>REC-PMF-013-L1</t>
  </si>
  <si>
    <t>PMF-013|Some fairness data exists, but it is not aggregated into a recurring scorecard or governance review</t>
  </si>
  <si>
    <t>Unreported Fairness Data</t>
  </si>
  <si>
    <t>A fairness report exists, but cadence, scope, or governance follow-through is inconsistent</t>
  </si>
  <si>
    <t>PMF-013|A fairness report exists, but cadence, scope, or governance follow-through is inconsistent</t>
  </si>
  <si>
    <t>REC-PMF-013-L3</t>
  </si>
  <si>
    <t>A fairness scorecard is produced on a defined cadence (e.g., quarterly) covering high-risk AI models, with documented governance review</t>
  </si>
  <si>
    <t>PMF-013|A fairness scorecard is produced on a defined cadence (e.g., quarterly) covering high-risk AI models, with documented governance review</t>
  </si>
  <si>
    <t>REC-PMF-013-L4</t>
  </si>
  <si>
    <t>Fairness reporting is standardized, risk-tiered, drives documented remediation, integrated with model lifecycle and external reporting where required</t>
  </si>
  <si>
    <t>PMF-013|Fairness reporting is standardized, risk-tiered, drives documented remediation, integrated with model lifecycle and external reporting where required</t>
  </si>
  <si>
    <t>REC-PMF-013-L5</t>
  </si>
  <si>
    <t>PMF-013|Not sure</t>
  </si>
  <si>
    <t>REC-PMF-013-NS</t>
  </si>
  <si>
    <t>PMF-013|Not applicable</t>
  </si>
  <si>
    <t>REC-PMF-013-NA</t>
  </si>
  <si>
    <t>Human-AI agreement or override rates are not measured</t>
  </si>
  <si>
    <t>PMF-014|Human-AI agreement or override rates are not measured</t>
  </si>
  <si>
    <t>HITL Measurement Gap</t>
  </si>
  <si>
    <t>REC-PMF-014-L1</t>
  </si>
  <si>
    <t>Overrides are captured in logs but not analyzed as a quality signal</t>
  </si>
  <si>
    <t>PMF-014|Overrides are captured in logs but not analyzed as a quality signal</t>
  </si>
  <si>
    <t>Untriaged Override Data</t>
  </si>
  <si>
    <t>PMF-014|Some use cases analyze agreement rate, but it is not consistently used to drive model improvements</t>
  </si>
  <si>
    <t>REC-PMF-014-L3</t>
  </si>
  <si>
    <t>High-impact AI use cases measure agreement rate as a defined quality signal, with thresholds for review</t>
  </si>
  <si>
    <t>PMF-014|High-impact AI use cases measure agreement rate as a defined quality signal, with thresholds for review</t>
  </si>
  <si>
    <t>REC-PMF-014-L4</t>
  </si>
  <si>
    <t>Agreement-rate analysis is standardized, integrated with monitoring and retraining, used to refine model design and human-AI workflow, and reported through governance</t>
  </si>
  <si>
    <t>PMF-014|Agreement-rate analysis is standardized, integrated with monitoring and retraining, used to refine model design and human-AI workflow, and reported through governance</t>
  </si>
  <si>
    <t>REC-PMF-014-L5</t>
  </si>
  <si>
    <t>PMF-014|Not sure</t>
  </si>
  <si>
    <t>REC-PMF-014-NS</t>
  </si>
  <si>
    <t>PMF-014|Not applicable</t>
  </si>
  <si>
    <t>REC-PMF-014-NA</t>
  </si>
  <si>
    <t>A complete model performance history could not be produced on request</t>
  </si>
  <si>
    <t>PMF-015|A complete model performance history could not be produced on request</t>
  </si>
  <si>
    <t>Audit Readiness Gap</t>
  </si>
  <si>
    <t>REC-PMF-015-L1</t>
  </si>
  <si>
    <t>PMF-015|Producing a performance history would take weeks or months and require significant manual effort</t>
  </si>
  <si>
    <t>High-Effort Audit</t>
  </si>
  <si>
    <t>Performance histories exist for some models, but completeness, retention, and lookup are inconsistent</t>
  </si>
  <si>
    <t>PMF-015|Performance histories exist for some models, but completeness, retention, and lookup are inconsistent</t>
  </si>
  <si>
    <t>REC-PMF-015-L3</t>
  </si>
  <si>
    <t>Performance histories are maintained for in-scope AI models and can be produced within defined time targets on request</t>
  </si>
  <si>
    <t>PMF-015|Performance histories are maintained for in-scope AI models and can be produced within defined time targets on request</t>
  </si>
  <si>
    <t>REC-PMF-015-L4</t>
  </si>
  <si>
    <t>Audit readiness is automated through model registry and monitoring tooling, with retention policies aligned to regulatory requirements and rehearsed audit procedures</t>
  </si>
  <si>
    <t>PMF-015|Audit readiness is automated through model registry and monitoring tooling, with retention policies aligned to regulatory requirements and rehearsed audit procedures</t>
  </si>
  <si>
    <t>REC-PMF-015-L5</t>
  </si>
  <si>
    <t>PMF-015|Not sure</t>
  </si>
  <si>
    <t>REC-PMF-015-NS</t>
  </si>
  <si>
    <t>PMF-015|Not applicable</t>
  </si>
  <si>
    <t>REC-PMF-015-NA</t>
  </si>
  <si>
    <t>Documentation coverage is not measured</t>
  </si>
  <si>
    <t>PMF-016|Documentation coverage is not measured</t>
  </si>
  <si>
    <t>Coverage Measurement Gap</t>
  </si>
  <si>
    <t>REC-PMF-016-L1</t>
  </si>
  <si>
    <t>Coverage is estimated informally; no systematic count of documented vs. undocumented models exists</t>
  </si>
  <si>
    <t>PMF-016|Coverage is estimated informally; no systematic count of documented vs. undocumented models exists</t>
  </si>
  <si>
    <t>Estimate-Only Coverage</t>
  </si>
  <si>
    <t>Some coverage data exists, but currency (whether documentation reflects the live model) is inconsistent</t>
  </si>
  <si>
    <t>PMF-016|Some coverage data exists, but currency (whether documentation reflects the live model) is inconsistent</t>
  </si>
  <si>
    <t>REC-PMF-016-L3</t>
  </si>
  <si>
    <t>PMF-016|Documentation coverage and currency are tracked across the AI portfolio, with defined targets and remediation when coverage drops</t>
  </si>
  <si>
    <t>REC-PMF-016-L4</t>
  </si>
  <si>
    <t>Coverage measurement is automated through the model registry, tied to release gates, reported to governance, and integrated with audit readiness</t>
  </si>
  <si>
    <t>PMF-016|Coverage measurement is automated through the model registry, tied to release gates, reported to governance, and integrated with audit readiness</t>
  </si>
  <si>
    <t>REC-PMF-016-L5</t>
  </si>
  <si>
    <t>PMF-016|Not sure</t>
  </si>
  <si>
    <t>REC-PMF-016-NS</t>
  </si>
  <si>
    <t>PMF-016|Not applicable</t>
  </si>
  <si>
    <t>REC-PMF-016-NA</t>
  </si>
  <si>
    <t>AOM-001|There is no defined operating model for AI; delivery happens wherever a use case originates</t>
  </si>
  <si>
    <t>Operating Model Gap</t>
  </si>
  <si>
    <t>REC-AOM-001-L1</t>
  </si>
  <si>
    <t>AI delivery is split across teams ad-hoc, with no clear archetype (Centralized / Decentralized / Federated)</t>
  </si>
  <si>
    <t>AOM-001|AI delivery is split across teams ad-hoc, with no clear archetype (Centralized / Decentralized / Federated)</t>
  </si>
  <si>
    <t>Undefined Archetype</t>
  </si>
  <si>
    <t>An operating-model archetype is recognized in practice, but roles, standards, and decision rights are inconsistent</t>
  </si>
  <si>
    <t>AOM-001|An operating-model archetype is recognized in practice, but roles, standards, and decision rights are inconsistent</t>
  </si>
  <si>
    <t>REC-AOM-001-L3</t>
  </si>
  <si>
    <t>A documented operating-model archetype (Centralized, Decentralized, or Federated) defines how AI is delivered, with clear roles and standards</t>
  </si>
  <si>
    <t>AOM-001|A documented operating-model archetype (Centralized, Decentralized, or Federated) defines how AI is delivered, with clear roles and standards</t>
  </si>
  <si>
    <t>REC-AOM-001-L4</t>
  </si>
  <si>
    <t>The operating model is governed, periodically reviewed, integrated with talent and funding decisions, and adjusted as the AI portfolio and organizational strategy evolve</t>
  </si>
  <si>
    <t>AOM-001|The operating model is governed, periodically reviewed, integrated with talent and funding decisions, and adjusted as the AI portfolio and organizational strategy evolve</t>
  </si>
  <si>
    <t>REC-AOM-001-L5</t>
  </si>
  <si>
    <t>AOM-001|Not sure</t>
  </si>
  <si>
    <t>REC-AOM-001-NS</t>
  </si>
  <si>
    <t>AOM-001|Not applicable</t>
  </si>
  <si>
    <t>REC-AOM-001-NA</t>
  </si>
  <si>
    <t>AOM-002|Technical and business ownership are not distinguished; one role is assumed to cover both</t>
  </si>
  <si>
    <t>Ownership Gap</t>
  </si>
  <si>
    <t>REC-AOM-002-L1</t>
  </si>
  <si>
    <t>Ownership is split informally, but responsibilities for model performance vs. business outcome are unclear</t>
  </si>
  <si>
    <t>AOM-002|Ownership is split informally, but responsibilities for model performance vs. business outcome are unclear</t>
  </si>
  <si>
    <t>Unclear Split</t>
  </si>
  <si>
    <t>Some AI initiatives have defined technical and business owners, but the practice is inconsistent across the portfolio</t>
  </si>
  <si>
    <t>AOM-002|Some AI initiatives have defined technical and business owners, but the practice is inconsistent across the portfolio</t>
  </si>
  <si>
    <t>REC-AOM-002-L3</t>
  </si>
  <si>
    <t>AI initiatives have named technical owners (for model performance) and business owners (for outcome), with documented responsibilities</t>
  </si>
  <si>
    <t>AOM-002|AI initiatives have named technical owners (for model performance) and business owners (for outcome), with documented responsibilities</t>
  </si>
  <si>
    <t>REC-AOM-002-L4</t>
  </si>
  <si>
    <t>Dual ownership is standardized, supported by training and onboarding, integrated with performance management, and refreshed as initiatives evolve</t>
  </si>
  <si>
    <t>AOM-002|Dual ownership is standardized, supported by training and onboarding, integrated with performance management, and refreshed as initiatives evolve</t>
  </si>
  <si>
    <t>REC-AOM-002-L5</t>
  </si>
  <si>
    <t>AOM-002|Not sure</t>
  </si>
  <si>
    <t>REC-AOM-002-NS</t>
  </si>
  <si>
    <t>AOM-002|Not applicable</t>
  </si>
  <si>
    <t>REC-AOM-002-NA</t>
  </si>
  <si>
    <t>AOM-003|No mechanism exists to discover decentralized or shadow AI usage</t>
  </si>
  <si>
    <t>Shadow AI Discovery Gap</t>
  </si>
  <si>
    <t>REC-AOM-003-L1</t>
  </si>
  <si>
    <t>Shadow AI is detected only when it causes a problem; there is no proactive discovery</t>
  </si>
  <si>
    <t>AOM-003|Shadow AI is detected only when it causes a problem; there is no proactive discovery</t>
  </si>
  <si>
    <t>Reactive Discovery</t>
  </si>
  <si>
    <t>Some discovery activities exist (surveys, license reviews) but coverage and follow-through are inconsistent</t>
  </si>
  <si>
    <t>AOM-003|Some discovery activities exist (surveys, license reviews) but coverage and follow-through are inconsistent</t>
  </si>
  <si>
    <t>REC-AOM-003-L3</t>
  </si>
  <si>
    <t>A defined process discovers shadow AI through periodic surveys, SaaS monitoring, or expense analysis, with a path to bring tools into governance</t>
  </si>
  <si>
    <t>AOM-003|A defined process discovers shadow AI through periodic surveys, SaaS monitoring, or expense analysis, with a path to bring tools into governance</t>
  </si>
  <si>
    <t>REC-AOM-003-L4</t>
  </si>
  <si>
    <t>Shadow AI discovery is continuous, automated where possible, integrated with the AI inventory and procurement, and supported by an amnesty / onboarding workflow that encourages disclosure</t>
  </si>
  <si>
    <t>AOM-003|Shadow AI discovery is continuous, automated where possible, integrated with the AI inventory and procurement, and supported by an amnesty / onboarding workflow that encourages disclosure</t>
  </si>
  <si>
    <t>REC-AOM-003-L5</t>
  </si>
  <si>
    <t>AOM-003|Not sure</t>
  </si>
  <si>
    <t>REC-AOM-003-NS</t>
  </si>
  <si>
    <t>AOM-003|Not applicable</t>
  </si>
  <si>
    <t>REC-AOM-003-NA</t>
  </si>
  <si>
    <t>AOM-004|AI funding is unclear; teams negotiate access to AI capability case by case</t>
  </si>
  <si>
    <t>Funding Model Gap</t>
  </si>
  <si>
    <t>REC-AOM-004-L1</t>
  </si>
  <si>
    <t>A central AI team exists but funding is ad-hoc, leading to bottlenecks and inconsistent access</t>
  </si>
  <si>
    <t>AOM-004|A central AI team exists but funding is ad-hoc, leading to bottlenecks and inconsistent access</t>
  </si>
  <si>
    <t>Bottleneck Risk</t>
  </si>
  <si>
    <t>A funding model exists (e.g., chargeback or central pool), but it is not consistently applied or perceived as fair</t>
  </si>
  <si>
    <t>AOM-004|A funding model exists (e.g., chargeback or central pool), but it is not consistently applied or perceived as fair</t>
  </si>
  <si>
    <t>REC-AOM-004-L3</t>
  </si>
  <si>
    <t>AI funding is governed by a documented model (central pool, chargeback, federated, or hybrid) with clear access and prioritization rules</t>
  </si>
  <si>
    <t>AOM-004|AI funding is governed by a documented model (central pool, chargeback, federated, or hybrid) with clear access and prioritization rules</t>
  </si>
  <si>
    <t>REC-AOM-004-L4</t>
  </si>
  <si>
    <t>The funding model is reviewed annually, balanced with portfolio strategy, integrated with FinOps and value tracking, and adjusted as AI demand and value evolve</t>
  </si>
  <si>
    <t>AOM-004|The funding model is reviewed annually, balanced with portfolio strategy, integrated with FinOps and value tracking, and adjusted as AI demand and value evolve</t>
  </si>
  <si>
    <t>REC-AOM-004-L5</t>
  </si>
  <si>
    <t>AOM-004|Not sure</t>
  </si>
  <si>
    <t>REC-AOM-004-NS</t>
  </si>
  <si>
    <t>AOM-004|Not applicable</t>
  </si>
  <si>
    <t>REC-AOM-004-NA</t>
  </si>
  <si>
    <t>There is no defined intake process for new AI ideas</t>
  </si>
  <si>
    <t>AOM-005|There is no defined intake process for new AI ideas</t>
  </si>
  <si>
    <t>Intake Gap</t>
  </si>
  <si>
    <t>REC-AOM-005-L1</t>
  </si>
  <si>
    <t>Ideas reach delivery through personal networks rather than a structured intake</t>
  </si>
  <si>
    <t>AOM-005|Ideas reach delivery through personal networks rather than a structured intake</t>
  </si>
  <si>
    <t>Informal Intake</t>
  </si>
  <si>
    <t>An intake process exists, but it does not consistently cover both feasibility and risk, or it is bypassed by some teams</t>
  </si>
  <si>
    <t>AOM-005|An intake process exists, but it does not consistently cover both feasibility and risk, or it is bypassed by some teams</t>
  </si>
  <si>
    <t>REC-AOM-005-L3</t>
  </si>
  <si>
    <t>AOM-005|A single intake process vets new AI ideas for feasibility (strategy) and risk (governance), with clear ownership and timelines</t>
  </si>
  <si>
    <t>REC-AOM-005-L4</t>
  </si>
  <si>
    <t>Intake is risk-tiered, supported by tooling, integrated with portfolio prioritization and funding, and continuously refined based on throughput and outcome data</t>
  </si>
  <si>
    <t>AOM-005|Intake is risk-tiered, supported by tooling, integrated with portfolio prioritization and funding, and continuously refined based on throughput and outcome data</t>
  </si>
  <si>
    <t>REC-AOM-005-L5</t>
  </si>
  <si>
    <t>AOM-005|Not sure</t>
  </si>
  <si>
    <t>REC-AOM-005-NS</t>
  </si>
  <si>
    <t>AOM-005|Not applicable</t>
  </si>
  <si>
    <t>REC-AOM-005-NA</t>
  </si>
  <si>
    <t>AOM-006|HITL requirements are not defined in the AI delivery blueprint</t>
  </si>
  <si>
    <t>HITL Design Gap</t>
  </si>
  <si>
    <t>REC-AOM-006-L1</t>
  </si>
  <si>
    <t>Teams decide HITL on a per-project basis, with no enterprise standards</t>
  </si>
  <si>
    <t>AOM-006|Teams decide HITL on a per-project basis, with no enterprise standards</t>
  </si>
  <si>
    <t>Inconsistent HITL</t>
  </si>
  <si>
    <t>HITL guidance exists but is not consistently applied; coverage by risk tier or use-case type is incomplete</t>
  </si>
  <si>
    <t>AOM-006|HITL guidance exists but is not consistently applied; coverage by risk tier or use-case type is incomplete</t>
  </si>
  <si>
    <t>REC-AOM-006-L3</t>
  </si>
  <si>
    <t>The AI blueprint defines HITL requirements by use-case type and risk tier, with documented points of intervention, approval, and override</t>
  </si>
  <si>
    <t>AOM-006|The AI blueprint defines HITL requirements by use-case type and risk tier, with documented points of intervention, approval, and override</t>
  </si>
  <si>
    <t>REC-AOM-006-L4</t>
  </si>
  <si>
    <t>HITL is risk-tiered, integrated into delivery and monitoring, evaluated through agreement-rate metrics, and continuously improved based on outcomes</t>
  </si>
  <si>
    <t>AOM-006|HITL is risk-tiered, integrated into delivery and monitoring, evaluated through agreement-rate metrics, and continuously improved based on outcomes</t>
  </si>
  <si>
    <t>REC-AOM-006-L5</t>
  </si>
  <si>
    <t>AOM-006|Not sure</t>
  </si>
  <si>
    <t>REC-AOM-006-NS</t>
  </si>
  <si>
    <t>AOM-006|Not applicable</t>
  </si>
  <si>
    <t>REC-AOM-006-NA</t>
  </si>
  <si>
    <t>AOM-007|No process exists for decommissioning AI models; outdated models may remain in production</t>
  </si>
  <si>
    <t>Decommissioning Gap</t>
  </si>
  <si>
    <t>REC-AOM-007-L1</t>
  </si>
  <si>
    <t>Models are retired ad-hoc when problems are noticed, with no standard process</t>
  </si>
  <si>
    <t>AOM-007|Models are retired ad-hoc when problems are noticed, with no standard process</t>
  </si>
  <si>
    <t>Reactive Retirement</t>
  </si>
  <si>
    <t>A retirement process exists but is inconsistently applied; criteria, disposition, and communication vary</t>
  </si>
  <si>
    <t>AOM-007|A retirement process exists but is inconsistently applied; criteria, disposition, and communication vary</t>
  </si>
  <si>
    <t>REC-AOM-007-L3</t>
  </si>
  <si>
    <t>A documented decommissioning protocol defines retirement criteria, data and artifact disposition, user communications, and approvals</t>
  </si>
  <si>
    <t>AOM-007|A documented decommissioning protocol defines retirement criteria, data and artifact disposition, user communications, and approvals</t>
  </si>
  <si>
    <t>REC-AOM-007-L4</t>
  </si>
  <si>
    <t>Decommissioning is risk-tiered, integrated with monitoring and audit, automated where possible, and supports clean rollback and replacement</t>
  </si>
  <si>
    <t>AOM-007|Decommissioning is risk-tiered, integrated with monitoring and audit, automated where possible, and supports clean rollback and replacement</t>
  </si>
  <si>
    <t>REC-AOM-007-L5</t>
  </si>
  <si>
    <t>AOM-007|Not sure</t>
  </si>
  <si>
    <t>REC-AOM-007-NS</t>
  </si>
  <si>
    <t>AOM-007|Not applicable</t>
  </si>
  <si>
    <t>REC-AOM-007-NA</t>
  </si>
  <si>
    <t>AOM-008|When an AI issue arises, no one is sure who owns the fix; accountability has to be negotiated</t>
  </si>
  <si>
    <t>Operational RACI Gap</t>
  </si>
  <si>
    <t>REC-AOM-008-L1</t>
  </si>
  <si>
    <t>A RACI exists on paper but the team does not know it; accountability is rediscovered each incident</t>
  </si>
  <si>
    <t>AOM-008|A RACI exists on paper but the team does not know it; accountability is rediscovered each incident</t>
  </si>
  <si>
    <t>RACI on Paper Only</t>
  </si>
  <si>
    <t>Some incident types have clear accountability, but coverage and team awareness are inconsistent</t>
  </si>
  <si>
    <t>AOM-008|Some incident types have clear accountability, but coverage and team awareness are inconsistent</t>
  </si>
  <si>
    <t>REC-AOM-008-L3</t>
  </si>
  <si>
    <t>Day-to-day teams can name the accountable owner for common AI issues (bias, outage, drift) without checking a document</t>
  </si>
  <si>
    <t>AOM-008|Day-to-day teams can name the accountable owner for common AI issues (bias, outage, drift) without checking a document</t>
  </si>
  <si>
    <t>REC-AOM-008-L4</t>
  </si>
  <si>
    <t>RACI is rehearsed through tabletop exercises, embedded in onboarding, validated through incident reviews, and refreshed when roles change</t>
  </si>
  <si>
    <t>AOM-008|RACI is rehearsed through tabletop exercises, embedded in onboarding, validated through incident reviews, and refreshed when roles change</t>
  </si>
  <si>
    <t>REC-AOM-008-L5</t>
  </si>
  <si>
    <t>AOM-008|Not sure</t>
  </si>
  <si>
    <t>REC-AOM-008-NS</t>
  </si>
  <si>
    <t>AOM-008|Not applicable</t>
  </si>
  <si>
    <t>REC-AOM-008-NA</t>
  </si>
  <si>
    <t>AOM-009|There is no AI data supply chain; teams clean and curate data manually for every new project</t>
  </si>
  <si>
    <t>Data Supply Chain Gap</t>
  </si>
  <si>
    <t>REC-AOM-009-L1</t>
  </si>
  <si>
    <t>Some data pipelines are reused, but most AI projects still rebuild data prep from scratch</t>
  </si>
  <si>
    <t>AOM-009|Some data pipelines are reused, but most AI projects still rebuild data prep from scratch</t>
  </si>
  <si>
    <t>Project-by-Project Data Prep</t>
  </si>
  <si>
    <t>A data supply-chain pattern exists, but reuse, quality SLAs, and ownership are inconsistent</t>
  </si>
  <si>
    <t>AOM-009|A data supply-chain pattern exists, but reuse, quality SLAs, and ownership are inconsistent</t>
  </si>
  <si>
    <t>REC-AOM-009-L3</t>
  </si>
  <si>
    <t>A documented AI data supply chain delivers curated, quality-checked data to AI projects through reusable pipelines or a feature store</t>
  </si>
  <si>
    <t>AOM-009|A documented AI data supply chain delivers curated, quality-checked data to AI projects through reusable pipelines or a feature store</t>
  </si>
  <si>
    <t>REC-AOM-009-L4</t>
  </si>
  <si>
    <t>The data supply chain is governed, monitored for quality and freshness, integrated with data governance and observability, and continuously expanded based on AI demand</t>
  </si>
  <si>
    <t>AOM-009|The data supply chain is governed, monitored for quality and freshness, integrated with data governance and observability, and continuously expanded based on AI demand</t>
  </si>
  <si>
    <t>REC-AOM-009-L5</t>
  </si>
  <si>
    <t>AOM-009|Not sure</t>
  </si>
  <si>
    <t>REC-AOM-009-NS</t>
  </si>
  <si>
    <t>AOM-009|Not applicable</t>
  </si>
  <si>
    <t>REC-AOM-009-NA</t>
  </si>
  <si>
    <t>AOM-010|There is no live view of production AI models; assembling an inventory takes manual effort</t>
  </si>
  <si>
    <t>Live Inventory Gap</t>
  </si>
  <si>
    <t>REC-AOM-010-L1</t>
  </si>
  <si>
    <t>A model list exists but is updated manually and is often out of date</t>
  </si>
  <si>
    <t>AOM-010|A model list exists but is updated manually and is often out of date</t>
  </si>
  <si>
    <t>Stale Inventory</t>
  </si>
  <si>
    <t>Some teams maintain live inventories, but enterprise coverage and refresh cadence are inconsistent</t>
  </si>
  <si>
    <t>AOM-010|Some teams maintain live inventories, but enterprise coverage and refresh cadence are inconsistent</t>
  </si>
  <si>
    <t>REC-AOM-010-L3</t>
  </si>
  <si>
    <t>A central dashboard shows status, version, and risk tier of production AI models, refreshed on a defined cadence</t>
  </si>
  <si>
    <t>AOM-010|A central dashboard shows status, version, and risk tier of production AI models, refreshed on a defined cadence</t>
  </si>
  <si>
    <t>REC-AOM-010-L4</t>
  </si>
  <si>
    <t>The inventory dashboard is automated, integrated with monitoring, vendor AI capabilities, and governance reporting, and feeds risk and value decisions in real time</t>
  </si>
  <si>
    <t>AOM-010|The inventory dashboard is automated, integrated with monitoring, vendor AI capabilities, and governance reporting, and feeds risk and value decisions in real time</t>
  </si>
  <si>
    <t>REC-AOM-010-L5</t>
  </si>
  <si>
    <t>AOM-010|Not sure</t>
  </si>
  <si>
    <t>REC-AOM-010-NS</t>
  </si>
  <si>
    <t>AOM-010|Not applicable</t>
  </si>
  <si>
    <t>REC-AOM-010-NA</t>
  </si>
  <si>
    <t>AOM-011|There are no AI tooling standards; each team picks its own platforms, LLMs, and databases</t>
  </si>
  <si>
    <t>Tooling Standards Gap</t>
  </si>
  <si>
    <t>REC-AOM-011-L1</t>
  </si>
  <si>
    <t>Some informal preferences exist but are not enforced, leading to growing tooling debt</t>
  </si>
  <si>
    <t>AOM-011|Some informal preferences exist but are not enforced, leading to growing tooling debt</t>
  </si>
  <si>
    <t>Sprawling Stack</t>
  </si>
  <si>
    <t>A standard stack is recommended, but exceptions are common and the standards are not consistently maintained</t>
  </si>
  <si>
    <t>AOM-011|A standard stack is recommended, but exceptions are common and the standards are not consistently maintained</t>
  </si>
  <si>
    <t>REC-AOM-011-L3</t>
  </si>
  <si>
    <t>A documented AI tool stack defines preferred LLMs, vector databases, monitoring, and orchestration platforms, with an exception process</t>
  </si>
  <si>
    <t>AOM-011|A documented AI tool stack defines preferred LLMs, vector databases, monitoring, and orchestration platforms, with an exception process</t>
  </si>
  <si>
    <t>REC-AOM-011-L4</t>
  </si>
  <si>
    <t>Tooling standards are reviewed regularly, balance enterprise consistency with innovation, integrated with architecture review and procurement, and support deprecation pathways</t>
  </si>
  <si>
    <t>AOM-011|Tooling standards are reviewed regularly, balance enterprise consistency with innovation, integrated with architecture review and procurement, and support deprecation pathways</t>
  </si>
  <si>
    <t>REC-AOM-011-L5</t>
  </si>
  <si>
    <t>AOM-011|Not sure</t>
  </si>
  <si>
    <t>REC-AOM-011-NS</t>
  </si>
  <si>
    <t>AOM-011|Not applicable</t>
  </si>
  <si>
    <t>REC-AOM-011-NA</t>
  </si>
  <si>
    <t>AOM-012|Governance guardrails are not part of the AI delivery pipeline</t>
  </si>
  <si>
    <t>Pipeline Guardrails Gap</t>
  </si>
  <si>
    <t>REC-AOM-012-L1</t>
  </si>
  <si>
    <t>Guardrails exist as manual checks at the end of the cycle, often bypassed under deadline pressure</t>
  </si>
  <si>
    <t>AOM-012|Guardrails exist as manual checks at the end of the cycle, often bypassed under deadline pressure</t>
  </si>
  <si>
    <t>Manual End-of-Cycle Checks</t>
  </si>
  <si>
    <t>Some automated guardrails exist (PII filters, basic bias checks) but coverage is inconsistent across teams</t>
  </si>
  <si>
    <t>AOM-012|Some automated guardrails exist (PII filters, basic bias checks) but coverage is inconsistent across teams</t>
  </si>
  <si>
    <t>REC-AOM-012-L3</t>
  </si>
  <si>
    <t>Automated guardrails (PII, bias, safety, evaluation thresholds) are embedded in the AI CI/CD pipeline and block deployment on failure</t>
  </si>
  <si>
    <t>AOM-012|Automated guardrails (PII, bias, safety, evaluation thresholds) are embedded in the AI CI/CD pipeline and block deployment on failure</t>
  </si>
  <si>
    <t>REC-AOM-012-L4</t>
  </si>
  <si>
    <t>Guardrails are risk-tiered, continuously updated, tracked through quality metrics, integrated with monitoring, and feed back into model improvements</t>
  </si>
  <si>
    <t>AOM-012|Guardrails are risk-tiered, continuously updated, tracked through quality metrics, integrated with monitoring, and feed back into model improvements</t>
  </si>
  <si>
    <t>REC-AOM-012-L5</t>
  </si>
  <si>
    <t>AOM-012|Not sure</t>
  </si>
  <si>
    <t>REC-AOM-012-NS</t>
  </si>
  <si>
    <t>AOM-012|Not applicable</t>
  </si>
  <si>
    <t>REC-AOM-012-NA</t>
  </si>
  <si>
    <t>New AI roles required by the operating model have not been identified</t>
  </si>
  <si>
    <t>AOM-013|New AI roles required by the operating model have not been identified</t>
  </si>
  <si>
    <t>Role Definition Gap</t>
  </si>
  <si>
    <t>REC-AOM-013-L1</t>
  </si>
  <si>
    <t>Some new role titles are used informally, but job descriptions and accountabilities are not defined</t>
  </si>
  <si>
    <t>AOM-013|Some new role titles are used informally, but job descriptions and accountabilities are not defined</t>
  </si>
  <si>
    <t>Title-Only Roles</t>
  </si>
  <si>
    <t>Some roles are defined, but coverage, leveling, and integration with HR are inconsistent</t>
  </si>
  <si>
    <t>AOM-013|Some roles are defined, but coverage, leveling, and integration with HR are inconsistent</t>
  </si>
  <si>
    <t>REC-AOM-013-L3</t>
  </si>
  <si>
    <t>Required AI roles are defined with job descriptions, leveling, and ownership in the operating model</t>
  </si>
  <si>
    <t>AOM-013|Required AI roles are defined with job descriptions, leveling, and ownership in the operating model</t>
  </si>
  <si>
    <t>REC-AOM-013-L4</t>
  </si>
  <si>
    <t>AOM-013|AI role definitions are reviewed as the operating model evolves, integrated with HR systems, supported by career pathing, and aligned to workforce planning</t>
  </si>
  <si>
    <t>REC-AOM-013-L5</t>
  </si>
  <si>
    <t>AOM-013|Not sure</t>
  </si>
  <si>
    <t>REC-AOM-013-NS</t>
  </si>
  <si>
    <t>AOM-013|Not applicable</t>
  </si>
  <si>
    <t>REC-AOM-013-NA</t>
  </si>
  <si>
    <t>Delivery KPIs reward speed only; safety, value realization, and governance are not measured</t>
  </si>
  <si>
    <t>AOM-014|Delivery KPIs reward speed only; safety, value realization, and governance are not measured</t>
  </si>
  <si>
    <t>KPI Misalignment</t>
  </si>
  <si>
    <t>REC-AOM-014-L1</t>
  </si>
  <si>
    <t>AOM-014|KPIs include some non-speed measures, but they are informal and inconsistently applied</t>
  </si>
  <si>
    <t>Informal Balance</t>
  </si>
  <si>
    <t>Some teams have balanced KPIs, but practice varies across the AI portfolio</t>
  </si>
  <si>
    <t>AOM-014|Some teams have balanced KPIs, but practice varies across the AI portfolio</t>
  </si>
  <si>
    <t>REC-AOM-014-L3</t>
  </si>
  <si>
    <t>AI delivery teams have documented KPIs that include safe deployment, value realization, and governance compliance</t>
  </si>
  <si>
    <t>AOM-014|AI delivery teams have documented KPIs that include safe deployment, value realization, and governance compliance</t>
  </si>
  <si>
    <t>REC-AOM-014-L4</t>
  </si>
  <si>
    <t>KPIs are reviewed regularly, tied to incentives and performance management, supported by training, and adjusted as the operating model evolves</t>
  </si>
  <si>
    <t>AOM-014|KPIs are reviewed regularly, tied to incentives and performance management, supported by training, and adjusted as the operating model evolves</t>
  </si>
  <si>
    <t>REC-AOM-014-L5</t>
  </si>
  <si>
    <t>AOM-014|Not sure</t>
  </si>
  <si>
    <t>REC-AOM-014-NS</t>
  </si>
  <si>
    <t>AOM-014|Not applicable</t>
  </si>
  <si>
    <t>REC-AOM-014-NA</t>
  </si>
  <si>
    <t>No AI literacy program exists for non-technical stakeholders</t>
  </si>
  <si>
    <t>AOM-015|No AI literacy program exists for non-technical stakeholders</t>
  </si>
  <si>
    <t>Cross-Functional Literacy Gap</t>
  </si>
  <si>
    <t>REC-AOM-015-L1</t>
  </si>
  <si>
    <t>AOM-015|Non-technical stakeholders pick up AI knowledge ad-hoc through their own initiative</t>
  </si>
  <si>
    <t>Self-Directed Only</t>
  </si>
  <si>
    <t>Some training is offered, but coverage by function and depth of content are inconsistent</t>
  </si>
  <si>
    <t>AOM-015|Some training is offered, but coverage by function and depth of content are inconsistent</t>
  </si>
  <si>
    <t>REC-AOM-015-L3</t>
  </si>
  <si>
    <t>A literacy program covers Legal, HR, Finance, and Compliance stakeholders involved in AI approvals, with content tailored to each function</t>
  </si>
  <si>
    <t>AOM-015|A literacy program covers Legal, HR, Finance, and Compliance stakeholders involved in AI approvals, with content tailored to each function</t>
  </si>
  <si>
    <t>REC-AOM-015-L4</t>
  </si>
  <si>
    <t>Non-technical AI literacy is refreshed as capabilities evolve, integrated with HR and compliance systems, measured for impact on decision quality, and supported by office hours or expert access</t>
  </si>
  <si>
    <t>AOM-015|Non-technical AI literacy is refreshed as capabilities evolve, integrated with HR and compliance systems, measured for impact on decision quality, and supported by office hours or expert access</t>
  </si>
  <si>
    <t>REC-AOM-015-L5</t>
  </si>
  <si>
    <t>AOM-015|Not sure</t>
  </si>
  <si>
    <t>REC-AOM-015-NS</t>
  </si>
  <si>
    <t>AOM-015|Not applicable</t>
  </si>
  <si>
    <t>REC-AOM-015-NA</t>
  </si>
  <si>
    <t>UCP-001|AI use cases are prioritized informally; no scoring rubric exists</t>
  </si>
  <si>
    <t>Scoring Rubric Gap</t>
  </si>
  <si>
    <t>REC-UCP-001-L1</t>
  </si>
  <si>
    <t>Some teams score informally, but criteria and scales differ across the portfolio</t>
  </si>
  <si>
    <t>UCP-001|Some teams score informally, but criteria and scales differ across the portfolio</t>
  </si>
  <si>
    <t>Inconsistent Scoring</t>
  </si>
  <si>
    <t>A scoring rubric exists, but it is not consistently used or maintained</t>
  </si>
  <si>
    <t>UCP-001|A scoring rubric exists, but it is not consistently used or maintained</t>
  </si>
  <si>
    <t>REC-UCP-001-L3</t>
  </si>
  <si>
    <t>A documented scoring rubric (value + feasibility) is applied to every candidate use case before prioritization</t>
  </si>
  <si>
    <t>UCP-001|A documented scoring rubric (value + feasibility) is applied to every candidate use case before prioritization</t>
  </si>
  <si>
    <t>REC-UCP-001-L4</t>
  </si>
  <si>
    <t>Scoring is calibrated through periodic exercises, integrated with portfolio governance, validated against post-deployment outcomes, and refined over time</t>
  </si>
  <si>
    <t>UCP-001|Scoring is calibrated through periodic exercises, integrated with portfolio governance, validated against post-deployment outcomes, and refined over time</t>
  </si>
  <si>
    <t>REC-UCP-001-L5</t>
  </si>
  <si>
    <t>UCP-001|Not sure</t>
  </si>
  <si>
    <t>REC-UCP-001-NS</t>
  </si>
  <si>
    <t>UCP-001|Not applicable</t>
  </si>
  <si>
    <t>REC-UCP-001-NA</t>
  </si>
  <si>
    <t>UCP-002|Value is defined narrowly (cost savings only); other dimensions are ignored</t>
  </si>
  <si>
    <t>Single-Lens Value</t>
  </si>
  <si>
    <t>REC-UCP-002-L1</t>
  </si>
  <si>
    <t>Multiple value dimensions are discussed informally, but only one is used in scoring</t>
  </si>
  <si>
    <t>UCP-002|Multiple value dimensions are discussed informally, but only one is used in scoring</t>
  </si>
  <si>
    <t>Informal Multi-Value</t>
  </si>
  <si>
    <t>A multi-dimensional definition exists, but weighting is inconsistent or contested</t>
  </si>
  <si>
    <t>UCP-002|A multi-dimensional definition exists, but weighting is inconsistent or contested</t>
  </si>
  <si>
    <t>REC-UCP-002-L3</t>
  </si>
  <si>
    <t>Value is defined across multiple dimensions (cost savings, revenue, customer experience, risk mitigation) with documented weighting</t>
  </si>
  <si>
    <t>UCP-002|Value is defined across multiple dimensions (cost savings, revenue, customer experience, risk mitigation) with documented weighting</t>
  </si>
  <si>
    <t>REC-UCP-002-L4</t>
  </si>
  <si>
    <t>Value definition is reviewed against strategic priorities, refreshed annually, validated post-deployment, and used to inform funding decisions</t>
  </si>
  <si>
    <t>UCP-002|Value definition is reviewed against strategic priorities, refreshed annually, validated post-deployment, and used to inform funding decisions</t>
  </si>
  <si>
    <t>REC-UCP-002-L5</t>
  </si>
  <si>
    <t>UCP-002|Not sure</t>
  </si>
  <si>
    <t>REC-UCP-002-NS</t>
  </si>
  <si>
    <t>UCP-002|Not applicable</t>
  </si>
  <si>
    <t>REC-UCP-002-NA</t>
  </si>
  <si>
    <t>UCP-003|Feasibility is estimated as developer hours only; technical complexity factors are not considered</t>
  </si>
  <si>
    <t>Shallow Feasibility</t>
  </si>
  <si>
    <t>REC-UCP-003-L1</t>
  </si>
  <si>
    <t>Some complexity factors are considered ad-hoc, but they aren't part of a defined assessment</t>
  </si>
  <si>
    <t>UCP-003|Some complexity factors are considered ad-hoc, but they aren't part of a defined assessment</t>
  </si>
  <si>
    <t>Informal Complexity Review</t>
  </si>
  <si>
    <t>A feasibility rubric exists, but coverage of data readiness, model complexity, and integration is inconsistent</t>
  </si>
  <si>
    <t>UCP-003|A feasibility rubric exists, but coverage of data readiness, model complexity, and integration is inconsistent</t>
  </si>
  <si>
    <t>REC-UCP-003-L3</t>
  </si>
  <si>
    <t>Feasibility scoring includes data readiness, model complexity, integration burden, and run cost as documented factors</t>
  </si>
  <si>
    <t>UCP-003|Feasibility scoring includes data readiness, model complexity, integration burden, and run cost as documented factors</t>
  </si>
  <si>
    <t>REC-UCP-003-L4</t>
  </si>
  <si>
    <t>Feasibility assessment is calibrated against actual delivery effort, supported by reference patterns, and integrated with architecture and data readiness reviews</t>
  </si>
  <si>
    <t>UCP-003|Feasibility assessment is calibrated against actual delivery effort, supported by reference patterns, and integrated with architecture and data readiness reviews</t>
  </si>
  <si>
    <t>REC-UCP-003-L5</t>
  </si>
  <si>
    <t>UCP-003|Not sure</t>
  </si>
  <si>
    <t>REC-UCP-003-NS</t>
  </si>
  <si>
    <t>UCP-003|Not applicable</t>
  </si>
  <si>
    <t>REC-UCP-003-NA</t>
  </si>
  <si>
    <t>UCP-004|All "AI ideas" proceed as AI projects; non-AI alternatives are not considered</t>
  </si>
  <si>
    <t>Right-Tool Gap</t>
  </si>
  <si>
    <t>REC-UCP-004-L1</t>
  </si>
  <si>
    <t>Non-AI alternatives are sometimes considered informally, depending on the reviewer</t>
  </si>
  <si>
    <t>UCP-004|Non-AI alternatives are sometimes considered informally, depending on the reviewer</t>
  </si>
  <si>
    <t>Inconsistent Right-Tool Review</t>
  </si>
  <si>
    <t>Intake asks the question, but answers are not always rigorous or acted upon</t>
  </si>
  <si>
    <t>UCP-004|Intake asks the question, but answers are not always rigorous or acted upon</t>
  </si>
  <si>
    <t>REC-UCP-004-L3</t>
  </si>
  <si>
    <t>Intake requires an explicit non-AI-alternative check, and use cases are redirected to simpler solutions when appropriate</t>
  </si>
  <si>
    <t>UCP-004|Intake requires an explicit non-AI-alternative check, and use cases are redirected to simpler solutions when appropriate</t>
  </si>
  <si>
    <t>REC-UCP-004-L4</t>
  </si>
  <si>
    <t>The right-tool review is supported by reference patterns, integrated with architecture and automation pipelines, and measured for accuracy against post-deployment outcomes</t>
  </si>
  <si>
    <t>UCP-004|The right-tool review is supported by reference patterns, integrated with architecture and automation pipelines, and measured for accuracy against post-deployment outcomes</t>
  </si>
  <si>
    <t>REC-UCP-004-L5</t>
  </si>
  <si>
    <t>UCP-004|Not sure</t>
  </si>
  <si>
    <t>REC-UCP-004-NS</t>
  </si>
  <si>
    <t>UCP-004|Not applicable</t>
  </si>
  <si>
    <t>REC-UCP-004-NA</t>
  </si>
  <si>
    <t>UCP-005|Strategic alignment is not factored into AI use case prioritization</t>
  </si>
  <si>
    <t>Strategic Alignment Gap</t>
  </si>
  <si>
    <t>REC-UCP-005-L1</t>
  </si>
  <si>
    <t>Strategic alignment is discussed informally, but not reflected in the scoring</t>
  </si>
  <si>
    <t>UCP-005|Strategic alignment is discussed informally, but not reflected in the scoring</t>
  </si>
  <si>
    <t>Disconnected Strategy</t>
  </si>
  <si>
    <t>Some prioritization decisions reflect strategy, but the weighting is inconsistent across the portfolio</t>
  </si>
  <si>
    <t>UCP-005|Some prioritization decisions reflect strategy, but the weighting is inconsistent across the portfolio</t>
  </si>
  <si>
    <t>REC-UCP-005-L3</t>
  </si>
  <si>
    <t>The prioritization framework applies an explicit multiplier or weighting for use cases that map to top enterprise strategic priorities</t>
  </si>
  <si>
    <t>UCP-005|The prioritization framework applies an explicit multiplier or weighting for use cases that map to top enterprise strategic priorities</t>
  </si>
  <si>
    <t>REC-UCP-005-L4</t>
  </si>
  <si>
    <t>Strategic alignment is reviewed annually, updated as priorities shift, validated through portfolio outcomes, and shapes both funding and resource allocation</t>
  </si>
  <si>
    <t>UCP-005|Strategic alignment is reviewed annually, updated as priorities shift, validated through portfolio outcomes, and shapes both funding and resource allocation</t>
  </si>
  <si>
    <t>REC-UCP-005-L5</t>
  </si>
  <si>
    <t>UCP-005|Not sure</t>
  </si>
  <si>
    <t>REC-UCP-005-NS</t>
  </si>
  <si>
    <t>UCP-005|Not applicable</t>
  </si>
  <si>
    <t>REC-UCP-005-NA</t>
  </si>
  <si>
    <t>UCP-006|The AI portfolio is not segmented by horizon; everything is incremental</t>
  </si>
  <si>
    <t>Horizon Mix Gap</t>
  </si>
  <si>
    <t>REC-UCP-006-L1</t>
  </si>
  <si>
    <t>Some Horizon 2/3 ideas exist but never reach funding; the portfolio is overwhelmingly Horizon 1</t>
  </si>
  <si>
    <t>UCP-006|Some Horizon 2/3 ideas exist but never reach funding; the portfolio is overwhelmingly Horizon 1</t>
  </si>
  <si>
    <t>Horizon 1 Lock-In</t>
  </si>
  <si>
    <t>The portfolio includes multiple horizons, but the balance is unmanaged and shifts with budget cycles</t>
  </si>
  <si>
    <t>UCP-006|The portfolio includes multiple horizons, but the balance is unmanaged and shifts with budget cycles</t>
  </si>
  <si>
    <t>REC-UCP-006-L3</t>
  </si>
  <si>
    <t>The portfolio has a target mix across Horizons 1, 2, and 3, reviewed by executive leadership on a defined cadence</t>
  </si>
  <si>
    <t>UCP-006|The portfolio has a target mix across Horizons 1, 2, and 3, reviewed by executive leadership on a defined cadence</t>
  </si>
  <si>
    <t>REC-UCP-006-L4</t>
  </si>
  <si>
    <t>Horizon mix is governed, supported by separate funding for Horizon 2/3 bets, evaluated on appropriate timelines, and adjusted as portfolio outcomes mature</t>
  </si>
  <si>
    <t>UCP-006|Horizon mix is governed, supported by separate funding for Horizon 2/3 bets, evaluated on appropriate timelines, and adjusted as portfolio outcomes mature</t>
  </si>
  <si>
    <t>REC-UCP-006-L5</t>
  </si>
  <si>
    <t>UCP-006|Not sure</t>
  </si>
  <si>
    <t>REC-UCP-006-NS</t>
  </si>
  <si>
    <t>UCP-006|Not applicable</t>
  </si>
  <si>
    <t>REC-UCP-006-NA</t>
  </si>
  <si>
    <t>UCP-007|Approved projects continue to completion regardless of changes in value or context</t>
  </si>
  <si>
    <t>REC-UCP-007-L1</t>
  </si>
  <si>
    <t>Mid-flight changes are theoretically possible but rarely happen due to political dynamics</t>
  </si>
  <si>
    <t>UCP-007|Mid-flight changes are theoretically possible but rarely happen due to political dynamics</t>
  </si>
  <si>
    <t>Politically Constrained</t>
  </si>
  <si>
    <t>Some projects are reviewed mid-flight, but the practice is inconsistent and decisions take a long time</t>
  </si>
  <si>
    <t>UCP-007|Some projects are reviewed mid-flight, but the practice is inconsistent and decisions take a long time</t>
  </si>
  <si>
    <t>REC-UCP-007-L3</t>
  </si>
  <si>
    <t>A defined stage-gate or portfolio review process can de-prioritize or stop in-flight projects when their scores drop or context changes</t>
  </si>
  <si>
    <t>UCP-007|A defined stage-gate or portfolio review process can de-prioritize or stop in-flight projects when their scores drop or context changes</t>
  </si>
  <si>
    <t>REC-UCP-007-L4</t>
  </si>
  <si>
    <t>Active rebalancing is a normal portfolio discipline, supported by transparent kill criteria, executive sponsorship, and lessons-learned capture</t>
  </si>
  <si>
    <t>UCP-007|Active rebalancing is a normal portfolio discipline, supported by transparent kill criteria, executive sponsorship, and lessons-learned capture</t>
  </si>
  <si>
    <t>REC-UCP-007-L5</t>
  </si>
  <si>
    <t>UCP-007|Not sure</t>
  </si>
  <si>
    <t>REC-UCP-007-NS</t>
  </si>
  <si>
    <t>UCP-007|Not applicable</t>
  </si>
  <si>
    <t>REC-UCP-007-NA</t>
  </si>
  <si>
    <t>UCP-008|There is no defined way to resolve resource contention; "first one to ask wins" or politics decides</t>
  </si>
  <si>
    <t>Allocation Gap</t>
  </si>
  <si>
    <t>REC-UCP-008-L1</t>
  </si>
  <si>
    <t>Resource conflicts are escalated to leadership case by case, with no consistent decision framework</t>
  </si>
  <si>
    <t>UCP-008|Resource conflicts are escalated to leadership case by case, with no consistent decision framework</t>
  </si>
  <si>
    <t>Ad-Hoc Escalation</t>
  </si>
  <si>
    <t>A resource allocation process exists, but it is not consistently followed when high-pressure projects emerge</t>
  </si>
  <si>
    <t>UCP-008|A resource allocation process exists, but it is not consistently followed when high-pressure projects emerge</t>
  </si>
  <si>
    <t>REC-UCP-008-L3</t>
  </si>
  <si>
    <t>Documented criteria (value score, strategic alignment, sequencing dependencies) resolve contention between projects competing for the same resources</t>
  </si>
  <si>
    <t>UCP-008|Documented criteria (value score, strategic alignment, sequencing dependencies) resolve contention between projects competing for the same resources</t>
  </si>
  <si>
    <t>REC-UCP-008-L4</t>
  </si>
  <si>
    <t>Resource allocation is governed, supported by capacity planning data, integrated with talent strategy, and validated through portfolio throughput metrics</t>
  </si>
  <si>
    <t>UCP-008|Resource allocation is governed, supported by capacity planning data, integrated with talent strategy, and validated through portfolio throughput metrics</t>
  </si>
  <si>
    <t>REC-UCP-008-L5</t>
  </si>
  <si>
    <t>UCP-008|Not sure</t>
  </si>
  <si>
    <t>REC-UCP-008-NS</t>
  </si>
  <si>
    <t>UCP-008|Not applicable</t>
  </si>
  <si>
    <t>REC-UCP-008-NA</t>
  </si>
  <si>
    <t>UCP-009|Privacy and ethics risk is not screened before prioritization; issues are found later in delivery</t>
  </si>
  <si>
    <t>Late Risk Discovery</t>
  </si>
  <si>
    <t>REC-UCP-009-L1</t>
  </si>
  <si>
    <t>Some risk discussions happen informally at intake, but they don't influence prioritization decisions</t>
  </si>
  <si>
    <t>UCP-009|Some risk discussions happen informally at intake, but they don't influence prioritization decisions</t>
  </si>
  <si>
    <t>Risk Not Tied to Scoring</t>
  </si>
  <si>
    <t>A pre-prioritization risk screening exists but is applied inconsistently</t>
  </si>
  <si>
    <t>UCP-009|A pre-prioritization risk screening exists but is applied inconsistently</t>
  </si>
  <si>
    <t>REC-UCP-009-L3</t>
  </si>
  <si>
    <t>Privacy and ethics risk is screened at the prioritization stage, with risk levels influencing scoring and approval</t>
  </si>
  <si>
    <t>UCP-009|Privacy and ethics risk is screened at the prioritization stage, with risk levels influencing scoring and approval</t>
  </si>
  <si>
    <t>REC-UCP-009-L4</t>
  </si>
  <si>
    <t>Pre-prioritization risk screening is risk-tiered, supported by tooling, integrated with downstream governance reviews, and continuously improved based on outcomes</t>
  </si>
  <si>
    <t>UCP-009|Pre-prioritization risk screening is risk-tiered, supported by tooling, integrated with downstream governance reviews, and continuously improved based on outcomes</t>
  </si>
  <si>
    <t>REC-UCP-009-L5</t>
  </si>
  <si>
    <t>UCP-009|Not sure</t>
  </si>
  <si>
    <t>REC-UCP-009-NS</t>
  </si>
  <si>
    <t>UCP-009|Not applicable</t>
  </si>
  <si>
    <t>REC-UCP-009-NA</t>
  </si>
  <si>
    <t>UCP-010|Governance cost is not considered in AI use case scoring</t>
  </si>
  <si>
    <t>Cost-of-Governance Blind Spot</t>
  </si>
  <si>
    <t>REC-UCP-010-L1</t>
  </si>
  <si>
    <t>Governance cost is mentioned anecdotally but not part of the scoring methodology</t>
  </si>
  <si>
    <t>UCP-010|Governance cost is mentioned anecdotally but not part of the scoring methodology</t>
  </si>
  <si>
    <t>Informal Inclusion</t>
  </si>
  <si>
    <t>Governance cost is included for some use cases but not consistently estimated</t>
  </si>
  <si>
    <t>UCP-010|Governance cost is included for some use cases but not consistently estimated</t>
  </si>
  <si>
    <t>REC-UCP-010-L3</t>
  </si>
  <si>
    <t>Governance cost (audit, testing, legal review, monitoring) is included in the use case score using a documented method</t>
  </si>
  <si>
    <t>UCP-010|Governance cost (audit, testing, legal review, monitoring) is included in the use case score using a documented method</t>
  </si>
  <si>
    <t>REC-UCP-010-L4</t>
  </si>
  <si>
    <t>Governance cost estimates are calibrated against actuals, risk-tiered, integrated with TCO modeling, and refined as governance practices evolve</t>
  </si>
  <si>
    <t>UCP-010|Governance cost estimates are calibrated against actuals, risk-tiered, integrated with TCO modeling, and refined as governance practices evolve</t>
  </si>
  <si>
    <t>REC-UCP-010-L5</t>
  </si>
  <si>
    <t>UCP-010|Not sure</t>
  </si>
  <si>
    <t>REC-UCP-010-NS</t>
  </si>
  <si>
    <t>UCP-010|Not applicable</t>
  </si>
  <si>
    <t>REC-UCP-010-NA</t>
  </si>
  <si>
    <t>UCP-011|Data sovereignty and IP-leak risk are not reflected in use case scoring</t>
  </si>
  <si>
    <t>Sovereignty Risk Gap</t>
  </si>
  <si>
    <t>REC-UCP-011-L1</t>
  </si>
  <si>
    <t>These risks are discussed but not scored, often surfacing during delivery</t>
  </si>
  <si>
    <t>UCP-011|These risks are discussed but not scored, often surfacing during delivery</t>
  </si>
  <si>
    <t>Unscored Risk</t>
  </si>
  <si>
    <t>Some risk factors are scored, but coverage of third-party LLM and external data risks is uneven</t>
  </si>
  <si>
    <t>UCP-011|Some risk factors are scored, but coverage of third-party LLM and external data risks is uneven</t>
  </si>
  <si>
    <t>REC-UCP-011-L3</t>
  </si>
  <si>
    <t>Use case scoring includes data sovereignty, vendor data handling, and IP-leak risk where third-party LLMs or external data are in scope</t>
  </si>
  <si>
    <t>UCP-011|Use case scoring includes data sovereignty, vendor data handling, and IP-leak risk where third-party LLMs or external data are in scope</t>
  </si>
  <si>
    <t>REC-UCP-011-L4</t>
  </si>
  <si>
    <t>Sovereignty and vendor risk scoring is integrated with vendor risk management, contract review, architecture standards, and is refreshed as regulations change</t>
  </si>
  <si>
    <t>UCP-011|Sovereignty and vendor risk scoring is integrated with vendor risk management, contract review, architecture standards, and is refreshed as regulations change</t>
  </si>
  <si>
    <t>REC-UCP-011-L5</t>
  </si>
  <si>
    <t>UCP-011|Not sure</t>
  </si>
  <si>
    <t>REC-UCP-011-NS</t>
  </si>
  <si>
    <t>UCP-011|Not applicable</t>
  </si>
  <si>
    <t>REC-UCP-011-NA</t>
  </si>
  <si>
    <t>UCP-012|Use cases are prioritized without a named business champion responsible for adoption</t>
  </si>
  <si>
    <t>Champion Gap</t>
  </si>
  <si>
    <t>REC-UCP-012-L1</t>
  </si>
  <si>
    <t>A champion is named informally but with no accountability for adoption outcomes</t>
  </si>
  <si>
    <t>UCP-012|A champion is named informally but with no accountability for adoption outcomes</t>
  </si>
  <si>
    <t>Title-Only Champion</t>
  </si>
  <si>
    <t>Champions are named for some use cases, but their responsibility for adoption is inconsistently defined</t>
  </si>
  <si>
    <t>UCP-012|Champions are named for some use cases, but their responsibility for adoption is inconsistently defined</t>
  </si>
  <si>
    <t>REC-UCP-012-L3</t>
  </si>
  <si>
    <t>Every prioritized AI use case has a named business champion with documented responsibility for adoption</t>
  </si>
  <si>
    <t>UCP-012|Every prioritized AI use case has a named business champion with documented responsibility for adoption</t>
  </si>
  <si>
    <t>REC-UCP-012-L4</t>
  </si>
  <si>
    <t>Champion commitment is reviewed at intake, supported by training, tracked against adoption KPIs, and reinforced through performance management</t>
  </si>
  <si>
    <t>UCP-012|Champion commitment is reviewed at intake, supported by training, tracked against adoption KPIs, and reinforced through performance management</t>
  </si>
  <si>
    <t>REC-UCP-012-L5</t>
  </si>
  <si>
    <t>UCP-012|Not sure</t>
  </si>
  <si>
    <t>REC-UCP-012-NS</t>
  </si>
  <si>
    <t>UCP-012|Not applicable</t>
  </si>
  <si>
    <t>REC-UCP-012-NA</t>
  </si>
  <si>
    <t>UCP-013|Change management effort is not part of feasibility scoring</t>
  </si>
  <si>
    <t>Adoption Effort Blind Spot</t>
  </si>
  <si>
    <t>REC-UCP-013-L1</t>
  </si>
  <si>
    <t>Change management is mentioned but not scored, leading to post-launch adoption failures</t>
  </si>
  <si>
    <t>UCP-013|Change management is mentioned but not scored, leading to post-launch adoption failures</t>
  </si>
  <si>
    <t>Late Adoption Awareness</t>
  </si>
  <si>
    <t>Some scoring factors capture change management, but coverage is inconsistent</t>
  </si>
  <si>
    <t>UCP-013|Some scoring factors capture change management, but coverage is inconsistent</t>
  </si>
  <si>
    <t>REC-UCP-013-L3</t>
  </si>
  <si>
    <t>Feasibility scoring explicitly captures training need, cultural resistance, and workflow change effort</t>
  </si>
  <si>
    <t>UCP-013|Feasibility scoring explicitly captures training need, cultural resistance, and workflow change effort</t>
  </si>
  <si>
    <t>REC-UCP-013-L4</t>
  </si>
  <si>
    <t>Change management scoring is calibrated against post-deployment adoption outcomes, integrated with the change plan, and refined over time</t>
  </si>
  <si>
    <t>UCP-013|Change management scoring is calibrated against post-deployment adoption outcomes, integrated with the change plan, and refined over time</t>
  </si>
  <si>
    <t>REC-UCP-013-L5</t>
  </si>
  <si>
    <t>UCP-013|Not sure</t>
  </si>
  <si>
    <t>REC-UCP-013-NS</t>
  </si>
  <si>
    <t>UCP-013|Not applicable</t>
  </si>
  <si>
    <t>REC-UCP-013-NA</t>
  </si>
  <si>
    <t>UCP-014|Lessons from failed AI use cases are not captured or shared</t>
  </si>
  <si>
    <t>Learning Loop Gap</t>
  </si>
  <si>
    <t>REC-UCP-014-L1</t>
  </si>
  <si>
    <t>Some informal post-mortems occur, but findings don't influence future prioritization</t>
  </si>
  <si>
    <t>UCP-014|Some informal post-mortems occur, but findings don't influence future prioritization</t>
  </si>
  <si>
    <t>Lost Learnings</t>
  </si>
  <si>
    <t>Lessons are captured for some failures, but the practice is inconsistent and not always referenced during new intake</t>
  </si>
  <si>
    <t>UCP-014|Lessons are captured for some failures, but the practice is inconsistent and not always referenced during new intake</t>
  </si>
  <si>
    <t>REC-UCP-014-L3</t>
  </si>
  <si>
    <t>Failed and de-prioritized use cases are documented in a shared library and reviewed during new use case intake</t>
  </si>
  <si>
    <t>UCP-014|Failed and de-prioritized use cases are documented in a shared library and reviewed during new use case intake</t>
  </si>
  <si>
    <t>REC-UCP-014-L4</t>
  </si>
  <si>
    <t>The failed-use-case learning loop is supported by a queryable repository, integrated with intake and scoring, and contributes to evolving the prioritization rubric</t>
  </si>
  <si>
    <t>UCP-014|The failed-use-case learning loop is supported by a queryable repository, integrated with intake and scoring, and contributes to evolving the prioritization rubric</t>
  </si>
  <si>
    <t>REC-UCP-014-L5</t>
  </si>
  <si>
    <t>UCP-014|Not sure</t>
  </si>
  <si>
    <t>REC-UCP-014-NS</t>
  </si>
  <si>
    <t>UCP-014|Not applicable</t>
  </si>
  <si>
    <t>REC-UCP-014-NA</t>
  </si>
  <si>
    <t>TRN-001|Council members do not have a shared baseline of AI fluency</t>
  </si>
  <si>
    <t>Council Fluency Gap</t>
  </si>
  <si>
    <t>REC-TRN-001-L1</t>
  </si>
  <si>
    <t>Some council members are AI-literate, but knowledge varies widely</t>
  </si>
  <si>
    <t>TRN-001|Some council members are AI-literate, but knowledge varies widely</t>
  </si>
  <si>
    <t>Uneven Fluency</t>
  </si>
  <si>
    <t>Baseline AI fluency training has been delivered, but coverage of newer AI categories (generative, agentic) is incomplete</t>
  </si>
  <si>
    <t>TRN-001|Baseline AI fluency training has been delivered, but coverage of newer AI categories (generative, agentic) is incomplete</t>
  </si>
  <si>
    <t>REC-TRN-001-L3</t>
  </si>
  <si>
    <t>Council members complete fluency training covering predictive, generative, and agentic AI and their distinct risk profiles</t>
  </si>
  <si>
    <t>TRN-001|Council members complete fluency training covering predictive, generative, and agentic AI and their distinct risk profiles</t>
  </si>
  <si>
    <t>REC-TRN-001-L4</t>
  </si>
  <si>
    <t>Fluency is assessed, refreshed as capabilities evolve, validated through scenario exercises, and reinforced through periodic briefings</t>
  </si>
  <si>
    <t>TRN-001|Fluency is assessed, refreshed as capabilities evolve, validated through scenario exercises, and reinforced through periodic briefings</t>
  </si>
  <si>
    <t>REC-TRN-001-L5</t>
  </si>
  <si>
    <t>TRN-001|Not sure</t>
  </si>
  <si>
    <t>REC-TRN-001-NS</t>
  </si>
  <si>
    <t>TRN-001|Not applicable</t>
  </si>
  <si>
    <t>REC-TRN-001-NA</t>
  </si>
  <si>
    <t>TRN-002|The council has not been trained on applicable AI regulations or frameworks</t>
  </si>
  <si>
    <t>Regulatory Training Gap</t>
  </si>
  <si>
    <t>REC-TRN-002-L1</t>
  </si>
  <si>
    <t>Regulations are discussed informally, but no structured training has been delivered</t>
  </si>
  <si>
    <t>TRN-002|Regulations are discussed informally, but no structured training has been delivered</t>
  </si>
  <si>
    <t>Informal Awareness</t>
  </si>
  <si>
    <t>Some council members received regulatory training, but coverage is inconsistent across members and topics</t>
  </si>
  <si>
    <t>TRN-002|Some council members received regulatory training, but coverage is inconsistent across members and topics</t>
  </si>
  <si>
    <t>REC-TRN-002-L3</t>
  </si>
  <si>
    <t>Council members complete training on applicable AI regulations and frameworks (EU AI Act, NIST AI RMF, industry-specific)</t>
  </si>
  <si>
    <t>TRN-002|Council members complete training on applicable AI regulations and frameworks (EU AI Act, NIST AI RMF, industry-specific)</t>
  </si>
  <si>
    <t>REC-TRN-002-L4</t>
  </si>
  <si>
    <t>Regulatory training is refreshed as laws evolve, supported by external expert briefings, and applied in scenario-based decision exercises</t>
  </si>
  <si>
    <t>TRN-002|Regulatory training is refreshed as laws evolve, supported by external expert briefings, and applied in scenario-based decision exercises</t>
  </si>
  <si>
    <t>REC-TRN-002-L5</t>
  </si>
  <si>
    <t>TRN-002|Not sure</t>
  </si>
  <si>
    <t>REC-TRN-002-NS</t>
  </si>
  <si>
    <t>TRN-002|Not applicable</t>
  </si>
  <si>
    <t>REC-TRN-002-NA</t>
  </si>
  <si>
    <t>TRN-003|Council has not practiced risk-tiering decisions; calibration is untested</t>
  </si>
  <si>
    <t>Calibration Gap</t>
  </si>
  <si>
    <t>REC-TRN-003-L1</t>
  </si>
  <si>
    <t>Some informal discussions about past decisions occur, but no calibration exercises</t>
  </si>
  <si>
    <t>TRN-003|Some informal discussions about past decisions occur, but no calibration exercises</t>
  </si>
  <si>
    <t>Informal Calibration</t>
  </si>
  <si>
    <t>Calibration exercises have been run, but coverage and frequency are insufficient</t>
  </si>
  <si>
    <t>TRN-003|Calibration exercises have been run, but coverage and frequency are insufficient</t>
  </si>
  <si>
    <t>REC-TRN-003-L3</t>
  </si>
  <si>
    <t>Council members practice risk-tiering through documented scenario exercises that test consistency of judgment</t>
  </si>
  <si>
    <t>TRN-003|Council members practice risk-tiering through documented scenario exercises that test consistency of judgment</t>
  </si>
  <si>
    <t>REC-TRN-003-L4</t>
  </si>
  <si>
    <t>Calibration is run on a defined cadence, measured for inter-rater agreement, refreshed with new scenarios as AI capabilities evolve, and used to refine risk rubrics</t>
  </si>
  <si>
    <t>TRN-003|Calibration is run on a defined cadence, measured for inter-rater agreement, refreshed with new scenarios as AI capabilities evolve, and used to refine risk rubrics</t>
  </si>
  <si>
    <t>REC-TRN-003-L5</t>
  </si>
  <si>
    <t>TRN-003|Not sure</t>
  </si>
  <si>
    <t>REC-TRN-003-NS</t>
  </si>
  <si>
    <t>TRN-003|Not applicable</t>
  </si>
  <si>
    <t>REC-TRN-003-NA</t>
  </si>
  <si>
    <t>TRN-004|Council members generally accept model outputs without challenging explainability</t>
  </si>
  <si>
    <t>Black Box Acceptance</t>
  </si>
  <si>
    <t>REC-TRN-004-L1</t>
  </si>
  <si>
    <t>Some council members ask explainability questions, but skill level is uneven</t>
  </si>
  <si>
    <t>TRN-004|Some council members ask explainability questions, but skill level is uneven</t>
  </si>
  <si>
    <t>Uneven Inquiry Skills</t>
  </si>
  <si>
    <t>Council has received explainability training, but applies it inconsistently</t>
  </si>
  <si>
    <t>TRN-004|Council has received explainability training, but applies it inconsistently</t>
  </si>
  <si>
    <t>REC-TRN-004-L3</t>
  </si>
  <si>
    <t>Council members can identify when a model is opaque and ask defined questions about training data, features, and decision logic</t>
  </si>
  <si>
    <t>TRN-004|Council members can identify when a model is opaque and ask defined questions about training data, features, and decision logic</t>
  </si>
  <si>
    <t>REC-TRN-004-L4</t>
  </si>
  <si>
    <t>Explainability inquiry skills are refreshed as model types evolve, supported by reference questions per use-case type, and integrated into risk review templates</t>
  </si>
  <si>
    <t>TRN-004|Explainability inquiry skills are refreshed as model types evolve, supported by reference questions per use-case type, and integrated into risk review templates</t>
  </si>
  <si>
    <t>REC-TRN-004-L5</t>
  </si>
  <si>
    <t>TRN-004|Not sure</t>
  </si>
  <si>
    <t>REC-TRN-004-NS</t>
  </si>
  <si>
    <t>TRN-004|Not applicable</t>
  </si>
  <si>
    <t>REC-TRN-004-NA</t>
  </si>
  <si>
    <t>TRN-005|Council members rely entirely on technical team interpretation of AI reports</t>
  </si>
  <si>
    <t>Intuition Gap</t>
  </si>
  <si>
    <t>REC-TRN-005-L1</t>
  </si>
  <si>
    <t>Some members spot obvious issues, but most rely on the technical team to flag failures</t>
  </si>
  <si>
    <t>TRN-005|Some members spot obvious issues, but most rely on the technical team to flag failures</t>
  </si>
  <si>
    <t>Limited Intuition</t>
  </si>
  <si>
    <t>Council training includes failure modes, but application during reviews is inconsistent</t>
  </si>
  <si>
    <t>TRN-005|Council training includes failure modes, but application during reviews is inconsistent</t>
  </si>
  <si>
    <t>REC-TRN-005-L3</t>
  </si>
  <si>
    <t>Council members can recognize hallucinations, drift, and bias signals in AI reports without solely relying on technical team interpretation</t>
  </si>
  <si>
    <t>TRN-005|Council members can recognize hallucinations, drift, and bias signals in AI reports without solely relying on technical team interpretation</t>
  </si>
  <si>
    <t>REC-TRN-005-L4</t>
  </si>
  <si>
    <t>Failure-mode literacy is refreshed as AI capabilities evolve, supported by reference report templates, and reinforced through case studies</t>
  </si>
  <si>
    <t>TRN-005|Failure-mode literacy is refreshed as AI capabilities evolve, supported by reference report templates, and reinforced through case studies</t>
  </si>
  <si>
    <t>REC-TRN-005-L5</t>
  </si>
  <si>
    <t>TRN-005|Not sure</t>
  </si>
  <si>
    <t>REC-TRN-005-NS</t>
  </si>
  <si>
    <t>TRN-005|Not applicable</t>
  </si>
  <si>
    <t>REC-TRN-005-NA</t>
  </si>
  <si>
    <t>TRN-006|Employees do not know which AI tools are sanctioned versus prohibited</t>
  </si>
  <si>
    <t>Tool Awareness Gap</t>
  </si>
  <si>
    <t>REC-TRN-006-L1</t>
  </si>
  <si>
    <t>Guidance exists but is not widely communicated or remembered</t>
  </si>
  <si>
    <t>TRN-006|Guidance exists but is not widely communicated or remembered</t>
  </si>
  <si>
    <t>Low Recall</t>
  </si>
  <si>
    <t>Most employees know the basic rules, but data-handling specifics are not consistently understood</t>
  </si>
  <si>
    <t>TRN-006|Most employees know the basic rules, but data-handling specifics are not consistently understood</t>
  </si>
  <si>
    <t>REC-TRN-006-L3</t>
  </si>
  <si>
    <t>Employees complete training that clearly identifies sanctioned and prohibited AI tools and acceptable data uses</t>
  </si>
  <si>
    <t>TRN-006|Employees complete training that clearly identifies sanctioned and prohibited AI tools and acceptable data uses</t>
  </si>
  <si>
    <t>REC-TRN-006-L4</t>
  </si>
  <si>
    <t>Tool-awareness training is refreshed when the approved list changes, measured for retention, and reinforced through ongoing communications and just-in-time prompts</t>
  </si>
  <si>
    <t>TRN-006|Tool-awareness training is refreshed when the approved list changes, measured for retention, and reinforced through ongoing communications and just-in-time prompts</t>
  </si>
  <si>
    <t>REC-TRN-006-L5</t>
  </si>
  <si>
    <t>TRN-006|Not sure</t>
  </si>
  <si>
    <t>REC-TRN-006-NS</t>
  </si>
  <si>
    <t>TRN-006|Not applicable</t>
  </si>
  <si>
    <t>REC-TRN-006-NA</t>
  </si>
  <si>
    <t>TRN-007|No training exists for prompt engineering or output verification</t>
  </si>
  <si>
    <t>Prompt/Verify Training Gap</t>
  </si>
  <si>
    <t>REC-TRN-007-L1</t>
  </si>
  <si>
    <t>Some basic prompt training exists, but output verification and ethics are not addressed</t>
  </si>
  <si>
    <t>TRN-007|Some basic prompt training exists, but output verification and ethics are not addressed</t>
  </si>
  <si>
    <t>Prompt-Only Training</t>
  </si>
  <si>
    <t>Training covers both prompting and verification, but depth and adoption are inconsistent</t>
  </si>
  <si>
    <t>TRN-007|Training covers both prompting and verification, but depth and adoption are inconsistent</t>
  </si>
  <si>
    <t>REC-TRN-007-L3</t>
  </si>
  <si>
    <t>Training covers prompt engineering, output verification, fact-checking, and bias awareness for AI-generated content</t>
  </si>
  <si>
    <t>TRN-007|Training covers prompt engineering, output verification, fact-checking, and bias awareness for AI-generated content</t>
  </si>
  <si>
    <t>REC-TRN-007-L4</t>
  </si>
  <si>
    <t>Training is role-specific, supported by reference patterns ("Golden Prompts" and verification checklists), and refreshed as AI capabilities and risks evolve</t>
  </si>
  <si>
    <t>TRN-007|Training is role-specific, supported by reference patterns ("Golden Prompts" and verification checklists), and refreshed as AI capabilities and risks evolve</t>
  </si>
  <si>
    <t>REC-TRN-007-L5</t>
  </si>
  <si>
    <t>TRN-007|Not sure</t>
  </si>
  <si>
    <t>REC-TRN-007-NS</t>
  </si>
  <si>
    <t>TRN-007|Not applicable</t>
  </si>
  <si>
    <t>REC-TRN-007-NA</t>
  </si>
  <si>
    <t>TRN-008|Business users cannot consistently identify sensitive data; risk is high</t>
  </si>
  <si>
    <t>Sensitive Data Awareness Gap</t>
  </si>
  <si>
    <t>REC-TRN-008-L1</t>
  </si>
  <si>
    <t>General data classification exists, but AI-specific data risks are not covered</t>
  </si>
  <si>
    <t>TRN-008|General data classification exists, but AI-specific data risks are not covered</t>
  </si>
  <si>
    <t>Generic Privacy Training Only</t>
  </si>
  <si>
    <t>Some users have AI-specific data training, but coverage and freshness are inconsistent</t>
  </si>
  <si>
    <t>TRN-008|Some users have AI-specific data training, but coverage and freshness are inconsistent</t>
  </si>
  <si>
    <t>REC-TRN-008-L3</t>
  </si>
  <si>
    <t>Business users complete training on identifying sensitive data and its appropriate use in AI contexts (training, fine-tuning, grounding)</t>
  </si>
  <si>
    <t>TRN-008|Business users complete training on identifying sensitive data and its appropriate use in AI contexts (training, fine-tuning, grounding)</t>
  </si>
  <si>
    <t>REC-TRN-008-L4</t>
  </si>
  <si>
    <t>Training is role-specific, integrated with data classification systems, supported by just-in-time guidance in AI tools, and reinforced through audits</t>
  </si>
  <si>
    <t>TRN-008|Training is role-specific, integrated with data classification systems, supported by just-in-time guidance in AI tools, and reinforced through audits</t>
  </si>
  <si>
    <t>REC-TRN-008-L5</t>
  </si>
  <si>
    <t>TRN-008|Not sure</t>
  </si>
  <si>
    <t>REC-TRN-008-NS</t>
  </si>
  <si>
    <t>TRN-008|Not applicable</t>
  </si>
  <si>
    <t>REC-TRN-008-NA</t>
  </si>
  <si>
    <t>TRN-009|Users assume AI output is correct by default and do not see themselves as the final filter</t>
  </si>
  <si>
    <t>REC-TRN-009-L1</t>
  </si>
  <si>
    <t>Accountability is implied but not clearly communicated; some users defer to the AI</t>
  </si>
  <si>
    <t>TRN-009|Accountability is implied but not clearly communicated; some users defer to the AI</t>
  </si>
  <si>
    <t>Policy states human accountability, but reinforcement through training is inconsistent</t>
  </si>
  <si>
    <t>TRN-009|Policy states human accountability, but reinforcement through training is inconsistent</t>
  </si>
  <si>
    <t>REC-TRN-009-L3</t>
  </si>
  <si>
    <t>Users complete training that clearly establishes their accountability for the final work product when using AI</t>
  </si>
  <si>
    <t>TRN-009|Users complete training that clearly establishes their accountability for the final work product when using AI</t>
  </si>
  <si>
    <t>REC-TRN-009-L4</t>
  </si>
  <si>
    <t>Accountability messaging is embedded in AI tools, reinforced through periodic training, supported by examples of misuse, and reflected in performance management</t>
  </si>
  <si>
    <t>TRN-009|Accountability messaging is embedded in AI tools, reinforced through periodic training, supported by examples of misuse, and reflected in performance management</t>
  </si>
  <si>
    <t>REC-TRN-009-L5</t>
  </si>
  <si>
    <t>TRN-009|Not sure</t>
  </si>
  <si>
    <t>REC-TRN-009-NS</t>
  </si>
  <si>
    <t>TRN-009|Not applicable</t>
  </si>
  <si>
    <t>REC-TRN-009-NA</t>
  </si>
  <si>
    <t>TRN-010|Business leads cannot reliably distinguish good AI use cases from poor-fit ones; intake is noisy</t>
  </si>
  <si>
    <t>Use Case Recognition Gap</t>
  </si>
  <si>
    <t>REC-TRN-010-L1</t>
  </si>
  <si>
    <t>Some leads have good intuition, but most rely on the central AI team to filter ideas</t>
  </si>
  <si>
    <t>TRN-010|Some leads have good intuition, but most rely on the central AI team to filter ideas</t>
  </si>
  <si>
    <t>Centralized Filtering Burden</t>
  </si>
  <si>
    <t>Training exists but is inconsistently delivered or applied</t>
  </si>
  <si>
    <t>TRN-010|Training exists but is inconsistently delivered or applied</t>
  </si>
  <si>
    <t>REC-TRN-010-L3</t>
  </si>
  <si>
    <t>Business leads complete training that helps them distinguish good vs. poor-fit AI use cases before submitting them for intake</t>
  </si>
  <si>
    <t>TRN-010|Business leads complete training that helps them distinguish good vs. poor-fit AI use cases before submitting them for intake</t>
  </si>
  <si>
    <t>REC-TRN-010-L4</t>
  </si>
  <si>
    <t>Use case recognition is supported by reference patterns, integrated with intake tooling, refreshed as AI capabilities expand, and tracked through intake quality metrics</t>
  </si>
  <si>
    <t>TRN-010|Use case recognition is supported by reference patterns, integrated with intake tooling, refreshed as AI capabilities expand, and tracked through intake quality metrics</t>
  </si>
  <si>
    <t>REC-TRN-010-L5</t>
  </si>
  <si>
    <t>TRN-010|Not sure</t>
  </si>
  <si>
    <t>REC-TRN-010-NS</t>
  </si>
  <si>
    <t>TRN-010|Not applicable</t>
  </si>
  <si>
    <t>REC-TRN-010-NA</t>
  </si>
  <si>
    <t>TRN-011|Training is one-size-fits-all; no persona differentiation</t>
  </si>
  <si>
    <t>Persona Differentiation Gap</t>
  </si>
  <si>
    <t>REC-TRN-011-L1</t>
  </si>
  <si>
    <t>A few sessions are role-specific, but most content is generic</t>
  </si>
  <si>
    <t>TRN-011|A few sessions are role-specific, but most content is generic</t>
  </si>
  <si>
    <t>Mostly Generic</t>
  </si>
  <si>
    <t>Some persona-based paths exist, but coverage of all relevant roles is incomplete</t>
  </si>
  <si>
    <t>TRN-011|Some persona-based paths exist, but coverage of all relevant roles is incomplete</t>
  </si>
  <si>
    <t>REC-TRN-011-L3</t>
  </si>
  <si>
    <t>The AI training program has distinct learning paths for each major persona (general staff, managers, developers, council)</t>
  </si>
  <si>
    <t>TRN-011|The AI training program has distinct learning paths for each major persona (general staff, managers, developers, council)</t>
  </si>
  <si>
    <t>REC-TRN-011-L4</t>
  </si>
  <si>
    <t>Persona paths are reviewed for relevance, supported by certifications, integrated with the operating model, and refreshed as roles evolve</t>
  </si>
  <si>
    <t>TRN-011|Persona paths are reviewed for relevance, supported by certifications, integrated with the operating model, and refreshed as roles evolve</t>
  </si>
  <si>
    <t>REC-TRN-011-L5</t>
  </si>
  <si>
    <t>TRN-011|Not sure</t>
  </si>
  <si>
    <t>REC-TRN-011-NS</t>
  </si>
  <si>
    <t>TRN-011|Not applicable</t>
  </si>
  <si>
    <t>REC-TRN-011-NA</t>
  </si>
  <si>
    <t>TRN-012|AI training content is rarely updated; it does not reflect current AI capabilities or risks</t>
  </si>
  <si>
    <t>Stale Training</t>
  </si>
  <si>
    <t>REC-TRN-012-L1</t>
  </si>
  <si>
    <t>Annual refresh only, with no mechanism for mid-year updates when AI capabilities change rapidly</t>
  </si>
  <si>
    <t>TRN-012|Annual refresh only, with no mechanism for mid-year updates when AI capabilities change rapidly</t>
  </si>
  <si>
    <t>Annual-Only Refresh</t>
  </si>
  <si>
    <t>Updates happen, but cadence and coverage are inconsistent</t>
  </si>
  <si>
    <t>TRN-012|Updates happen, but cadence and coverage are inconsistent</t>
  </si>
  <si>
    <t>REC-TRN-012-L3</t>
  </si>
  <si>
    <t>Training content is refreshed on a defined cadence (e.g., quarterly) with an owner accountable for currency</t>
  </si>
  <si>
    <t>TRN-012|Training content is refreshed on a defined cadence (e.g., quarterly) with an owner accountable for currency</t>
  </si>
  <si>
    <t>REC-TRN-012-L4</t>
  </si>
  <si>
    <t>Refresh is event-driven (responding to new AI capabilities and regulations), supported by content version control, and tracked through learner re-engagement</t>
  </si>
  <si>
    <t>TRN-012|Refresh is event-driven (responding to new AI capabilities and regulations), supported by content version control, and tracked through learner re-engagement</t>
  </si>
  <si>
    <t>REC-TRN-012-L5</t>
  </si>
  <si>
    <t>TRN-012|Not sure</t>
  </si>
  <si>
    <t>REC-TRN-012-NS</t>
  </si>
  <si>
    <t>TRN-012|Not applicable</t>
  </si>
  <si>
    <t>REC-TRN-012-NA</t>
  </si>
  <si>
    <t>TRN-013|Training is measured only by completion rates</t>
  </si>
  <si>
    <t>Impact Measurement Gap</t>
  </si>
  <si>
    <t>REC-TRN-013-L1</t>
  </si>
  <si>
    <t>Anecdotes suggest training works, but no behavior-change metric is tracked</t>
  </si>
  <si>
    <t>TRN-013|Anecdotes suggest training works, but no behavior-change metric is tracked</t>
  </si>
  <si>
    <t>Anecdotal Impact</t>
  </si>
  <si>
    <t>Some behavior metrics are tracked, but linkage to training is inconsistent</t>
  </si>
  <si>
    <t>TRN-013|Some behavior metrics are tracked, but linkage to training is inconsistent</t>
  </si>
  <si>
    <t>REC-TRN-013-L3</t>
  </si>
  <si>
    <t>Training impact is measured through behavior-change indicators (incident rates, shadow-AI declines, adoption metrics)</t>
  </si>
  <si>
    <t>TRN-013|Training impact is measured through behavior-change indicators (incident rates, shadow-AI declines, adoption metrics)</t>
  </si>
  <si>
    <t>REC-TRN-013-L4</t>
  </si>
  <si>
    <t>Behavior-change measurement is integrated with the training program, reviewed regularly, used to refine content, and reported alongside training KPIs</t>
  </si>
  <si>
    <t>TRN-013|Behavior-change measurement is integrated with the training program, reviewed regularly, used to refine content, and reported alongside training KPIs</t>
  </si>
  <si>
    <t>REC-TRN-013-L5</t>
  </si>
  <si>
    <t>TRN-013|Not sure</t>
  </si>
  <si>
    <t>REC-TRN-013-NS</t>
  </si>
  <si>
    <t>TRN-013|Not applicable</t>
  </si>
  <si>
    <t>REC-TRN-013-NA</t>
  </si>
  <si>
    <t>TRN-014|Business users do not know how to access AI expertise for grey-area questions</t>
  </si>
  <si>
    <t>Expert Access Gap</t>
  </si>
  <si>
    <t>REC-TRN-014-L1</t>
  </si>
  <si>
    <t>Some employees know who to ask, but the path is informal and depends on relationships</t>
  </si>
  <si>
    <t>TRN-014|Some employees know who to ask, but the path is informal and depends on relationships</t>
  </si>
  <si>
    <t>Network-Dependent Access</t>
  </si>
  <si>
    <t>A path exists (help desk, office hours), but awareness or response times are inconsistent</t>
  </si>
  <si>
    <t>TRN-014|A path exists (help desk, office hours), but awareness or response times are inconsistent</t>
  </si>
  <si>
    <t>REC-TRN-014-L3</t>
  </si>
  <si>
    <t>A defined channel (help desk, office hours, named experts) is available and known to business users for AI questions</t>
  </si>
  <si>
    <t>TRN-014|A defined channel (help desk, office hours, named experts) is available and known to business users for AI questions</t>
  </si>
  <si>
    <t>REC-TRN-014-L4</t>
  </si>
  <si>
    <t>Access is integrated with AI tools (in-product help), supported by SLA, measured for use and outcomes, and continuously improved based on common question patterns</t>
  </si>
  <si>
    <t>TRN-014|Access is integrated with AI tools (in-product help), supported by SLA, measured for use and outcomes, and continuously improved based on common question patterns</t>
  </si>
  <si>
    <t>REC-TRN-014-L5</t>
  </si>
  <si>
    <t>TRN-014|Not sure</t>
  </si>
  <si>
    <t>REC-TRN-014-NS</t>
  </si>
  <si>
    <t>TRN-014|Not applicable</t>
  </si>
  <si>
    <t>REC-TRN-014-NA</t>
  </si>
  <si>
    <t>CMA-001|The AI vision is framed primarily as cost or headcount reduction, generating fear and resistance</t>
  </si>
  <si>
    <t>Vision Framing Gap</t>
  </si>
  <si>
    <t>REC-CMA-001-L1</t>
  </si>
  <si>
    <t>Leaders use both framings inconsistently, sending mixed signals to the workforce</t>
  </si>
  <si>
    <t>CMA-001|Leaders use both framings inconsistently, sending mixed signals to the workforce</t>
  </si>
  <si>
    <t>Mixed Signals</t>
  </si>
  <si>
    <t>The augmentation framing is articulated, but uneven across leaders and channels</t>
  </si>
  <si>
    <t>CMA-001|The augmentation framing is articulated, but uneven across leaders and channels</t>
  </si>
  <si>
    <t>REC-CMA-001-L3</t>
  </si>
  <si>
    <t>Leadership consistently articulates an AI vision emphasizing human augmentation, with specific examples of how AI supports work</t>
  </si>
  <si>
    <t>CMA-001|Leadership consistently articulates an AI vision emphasizing human augmentation, with specific examples of how AI supports work</t>
  </si>
  <si>
    <t>REC-CMA-001-L4</t>
  </si>
  <si>
    <t>The vision is reinforced through ongoing communications, examples, and senior leader behavior; messaging is validated through workforce sentiment data and refined</t>
  </si>
  <si>
    <t>CMA-001|The vision is reinforced through ongoing communications, examples, and senior leader behavior; messaging is validated through workforce sentiment data and refined</t>
  </si>
  <si>
    <t>REC-CMA-001-L5</t>
  </si>
  <si>
    <t>CMA-001|Not sure</t>
  </si>
  <si>
    <t>REC-CMA-001-NS</t>
  </si>
  <si>
    <t>CMA-001|Not applicable</t>
  </si>
  <si>
    <t>REC-CMA-001-NA</t>
  </si>
  <si>
    <t>CMA-002|The workforce has no visibility into the AI portfolio</t>
  </si>
  <si>
    <t>Portfolio Transparency Gap</t>
  </si>
  <si>
    <t>REC-CMA-002-L1</t>
  </si>
  <si>
    <t>Some announcements happen when projects launch, but the broader portfolio is opaque</t>
  </si>
  <si>
    <t>CMA-002|Some announcements happen when projects launch, but the broader portfolio is opaque</t>
  </si>
  <si>
    <t>Launch-Only Communications</t>
  </si>
  <si>
    <t>A communication channel exists, but updates are infrequent or incomplete</t>
  </si>
  <si>
    <t>CMA-002|A communication channel exists, but updates are infrequent or incomplete</t>
  </si>
  <si>
    <t>REC-CMA-002-L3</t>
  </si>
  <si>
    <t>A clear, accessible channel shows which AI projects are in scope, in pilot, in production, and why, with regular updates</t>
  </si>
  <si>
    <t>CMA-002|A clear, accessible channel shows which AI projects are in scope, in pilot, in production, and why, with regular updates</t>
  </si>
  <si>
    <t>REC-CMA-002-L4</t>
  </si>
  <si>
    <t>Portfolio transparency is supported by an interactive dashboard, two-way communication, integrated with governance reporting, and refreshed in near real time</t>
  </si>
  <si>
    <t>CMA-002|Portfolio transparency is supported by an interactive dashboard, two-way communication, integrated with governance reporting, and refreshed in near real time</t>
  </si>
  <si>
    <t>REC-CMA-002-L5</t>
  </si>
  <si>
    <t>CMA-002|Not sure</t>
  </si>
  <si>
    <t>REC-CMA-002-NS</t>
  </si>
  <si>
    <t>CMA-002|Not applicable</t>
  </si>
  <si>
    <t>REC-CMA-002-NA</t>
  </si>
  <si>
    <t>CMA-003|Personal value of AI is not articulated to end users</t>
  </si>
  <si>
    <t>WIIFM Gap</t>
  </si>
  <si>
    <t>REC-CMA-003-L1</t>
  </si>
  <si>
    <t>Generic productivity benefits are mentioned, but not tied to specific roles or pain points</t>
  </si>
  <si>
    <t>CMA-003|Generic productivity benefits are mentioned, but not tied to specific roles or pain points</t>
  </si>
  <si>
    <t>Generic Value Pitch</t>
  </si>
  <si>
    <t>Some use cases include WIIFM messaging, but coverage and specificity vary</t>
  </si>
  <si>
    <t>CMA-003|Some use cases include WIIFM messaging, but coverage and specificity vary</t>
  </si>
  <si>
    <t>REC-CMA-003-L3</t>
  </si>
  <si>
    <t>AI rollouts include WIIFM messaging that identifies specific pain points and estimated personal benefits for the target role</t>
  </si>
  <si>
    <t>CMA-003|AI rollouts include WIIFM messaging that identifies specific pain points and estimated personal benefits for the target role</t>
  </si>
  <si>
    <t>REC-CMA-003-L4</t>
  </si>
  <si>
    <t>WIIFM messaging is validated against actual user experience, refined over time, integrated with training, and tied to adoption metrics</t>
  </si>
  <si>
    <t>CMA-003|WIIFM messaging is validated against actual user experience, refined over time, integrated with training, and tied to adoption metrics</t>
  </si>
  <si>
    <t>REC-CMA-003-L5</t>
  </si>
  <si>
    <t>CMA-003|Not sure</t>
  </si>
  <si>
    <t>REC-CMA-003-NS</t>
  </si>
  <si>
    <t>CMA-003|Not applicable</t>
  </si>
  <si>
    <t>REC-CMA-003-NA</t>
  </si>
  <si>
    <t>CMA-004|Enterprise AI messaging frequently conflicts with what local leaders say to their teams</t>
  </si>
  <si>
    <t>Message Cascade Gap</t>
  </si>
  <si>
    <t>REC-CMA-004-L1</t>
  </si>
  <si>
    <t>Some leaders cascade enterprise messaging, but others contradict it based on local priorities</t>
  </si>
  <si>
    <t>CMA-004|Some leaders cascade enterprise messaging, but others contradict it based on local priorities</t>
  </si>
  <si>
    <t>Inconsistent Cascade</t>
  </si>
  <si>
    <t>Cascade messaging exists but is not consistently picked up by local leaders</t>
  </si>
  <si>
    <t>CMA-004|Cascade messaging exists but is not consistently picked up by local leaders</t>
  </si>
  <si>
    <t>REC-CMA-004-L3</t>
  </si>
  <si>
    <t>Enterprise and local leadership share consistent AI messaging supported by cascaded talking points</t>
  </si>
  <si>
    <t>CMA-004|Enterprise and local leadership share consistent AI messaging supported by cascaded talking points</t>
  </si>
  <si>
    <t>REC-CMA-004-L4</t>
  </si>
  <si>
    <t>Cascade messaging is supported by leader briefings, monitored through sentiment data, refreshed regularly, and reinforced through leader performance management</t>
  </si>
  <si>
    <t>CMA-004|Cascade messaging is supported by leader briefings, monitored through sentiment data, refreshed regularly, and reinforced through leader performance management</t>
  </si>
  <si>
    <t>REC-CMA-004-L5</t>
  </si>
  <si>
    <t>CMA-004|Not sure</t>
  </si>
  <si>
    <t>REC-CMA-004-NS</t>
  </si>
  <si>
    <t>CMA-004|Not applicable</t>
  </si>
  <si>
    <t>REC-CMA-004-NA</t>
  </si>
  <si>
    <t>CMA-005|No AI champion network exists; adoption depends entirely on central teams</t>
  </si>
  <si>
    <t>Champion Network Gap</t>
  </si>
  <si>
    <t>REC-CMA-005-L1</t>
  </si>
  <si>
    <t>Some informal champions exist, but no defined role or recognition</t>
  </si>
  <si>
    <t>CMA-005|Some informal champions exist, but no defined role or recognition</t>
  </si>
  <si>
    <t>Informal Champions</t>
  </si>
  <si>
    <t>A champion network exists, but coverage of business units is incomplete</t>
  </si>
  <si>
    <t>CMA-005|A champion network exists, but coverage of business units is incomplete</t>
  </si>
  <si>
    <t>REC-CMA-005-L3</t>
  </si>
  <si>
    <t>A documented AI champion network covers all major business units, with defined responsibilities and recognition</t>
  </si>
  <si>
    <t>CMA-005|A documented AI champion network covers all major business units, with defined responsibilities and recognition</t>
  </si>
  <si>
    <t>REC-CMA-005-L4</t>
  </si>
  <si>
    <t>The champion network is actively managed, regularly trained, supported by tooling and recognition, measured through adoption impact, and refreshed as the AI portfolio expands</t>
  </si>
  <si>
    <t>CMA-005|The champion network is actively managed, regularly trained, supported by tooling and recognition, measured through adoption impact, and refreshed as the AI portfolio expands</t>
  </si>
  <si>
    <t>REC-CMA-005-L5</t>
  </si>
  <si>
    <t>CMA-005|Not sure</t>
  </si>
  <si>
    <t>REC-CMA-005-NS</t>
  </si>
  <si>
    <t>CMA-005|Not applicable</t>
  </si>
  <si>
    <t>REC-CMA-005-NA</t>
  </si>
  <si>
    <t>CMA-006|Executives do not visibly use AI tools; AI is positioned as "for everyone else"</t>
  </si>
  <si>
    <t>Leadership Modeling Gap</t>
  </si>
  <si>
    <t>REC-CMA-006-L1</t>
  </si>
  <si>
    <t>A few executives use AI privately, but it is not visible to the workforce</t>
  </si>
  <si>
    <t>CMA-006|A few executives use AI privately, but it is not visible to the workforce</t>
  </si>
  <si>
    <t>Invisible Leadership Use</t>
  </si>
  <si>
    <t>Some executive AI use is visible, but it is inconsistent across the leadership team</t>
  </si>
  <si>
    <t>CMA-006|Some executive AI use is visible, but it is inconsistent across the leadership team</t>
  </si>
  <si>
    <t>REC-CMA-006-L3</t>
  </si>
  <si>
    <t>Senior executives visibly use AI tools and share examples of their own usage with the workforce</t>
  </si>
  <si>
    <t>CMA-006|Senior executives visibly use AI tools and share examples of their own usage with the workforce</t>
  </si>
  <si>
    <t>REC-CMA-006-L4</t>
  </si>
  <si>
    <t>Executive AI use is normalized, modeled in leader communications, supported by executive AI training, and measured as part of digital leadership expectations</t>
  </si>
  <si>
    <t>CMA-006|Executive AI use is normalized, modeled in leader communications, supported by executive AI training, and measured as part of digital leadership expectations</t>
  </si>
  <si>
    <t>REC-CMA-006-L5</t>
  </si>
  <si>
    <t>CMA-006|Not sure</t>
  </si>
  <si>
    <t>REC-CMA-006-NS</t>
  </si>
  <si>
    <t>CMA-006|Not applicable</t>
  </si>
  <si>
    <t>REC-CMA-006-NA</t>
  </si>
  <si>
    <t>CMA-007|Resistance is not anticipated or mapped; adoption strategies are generic</t>
  </si>
  <si>
    <t>Resistance Awareness Gap</t>
  </si>
  <si>
    <t>REC-CMA-007-L1</t>
  </si>
  <si>
    <t>Some informal recognition of resistance exists, but no targeted engagement plan</t>
  </si>
  <si>
    <t>CMA-007|Some informal recognition of resistance exists, but no targeted engagement plan</t>
  </si>
  <si>
    <t>Resistance mapping has been done once, but engagement plans are inconsistent or unfunded</t>
  </si>
  <si>
    <t>CMA-007|Resistance mapping has been done once, but engagement plans are inconsistent or unfunded</t>
  </si>
  <si>
    <t>REC-CMA-007-L3</t>
  </si>
  <si>
    <t>Resistance is mapped by function and role, with documented engagement plans for high-resistance segments</t>
  </si>
  <si>
    <t>CMA-007|Resistance is mapped by function and role, with documented engagement plans for high-resistance segments</t>
  </si>
  <si>
    <t>REC-CMA-007-L4</t>
  </si>
  <si>
    <t>Resistance mapping is refreshed, engagement plans are tracked for impact, integrated with HR and leadership planning, and informed by sentiment monitoring</t>
  </si>
  <si>
    <t>CMA-007|Resistance mapping is refreshed, engagement plans are tracked for impact, integrated with HR and leadership planning, and informed by sentiment monitoring</t>
  </si>
  <si>
    <t>REC-CMA-007-L5</t>
  </si>
  <si>
    <t>CMA-007|Not sure</t>
  </si>
  <si>
    <t>REC-CMA-007-NS</t>
  </si>
  <si>
    <t>CMA-007|Not applicable</t>
  </si>
  <si>
    <t>REC-CMA-007-NA</t>
  </si>
  <si>
    <t>CMA-008|No defined channel exists for users to report AI tool problems</t>
  </si>
  <si>
    <t>Feedback Channel Gap</t>
  </si>
  <si>
    <t>REC-CMA-008-L1</t>
  </si>
  <si>
    <t>Feedback can be raised through general channels, but users hesitate due to perceived blame</t>
  </si>
  <si>
    <t>CMA-008|Feedback can be raised through general channels, but users hesitate due to perceived blame</t>
  </si>
  <si>
    <t>Hesitant Reporting</t>
  </si>
  <si>
    <t>A channel exists, but communication, anonymity, or follow-through are inconsistent</t>
  </si>
  <si>
    <t>CMA-008|A channel exists, but communication, anonymity, or follow-through are inconsistent</t>
  </si>
  <si>
    <t>REC-CMA-008-L3</t>
  </si>
  <si>
    <t>A documented, blame-free feedback channel allows users to report AI tool issues, with a defined triage process</t>
  </si>
  <si>
    <t>CMA-008|A documented, blame-free feedback channel allows users to report AI tool issues, with a defined triage process</t>
  </si>
  <si>
    <t>REC-CMA-008-L4</t>
  </si>
  <si>
    <t>Feedback is integrated with monitoring, used to drive model and tool improvements, anonymized where appropriate, and reported on for trust transparency</t>
  </si>
  <si>
    <t>CMA-008|Feedback is integrated with monitoring, used to drive model and tool improvements, anonymized where appropriate, and reported on for trust transparency</t>
  </si>
  <si>
    <t>REC-CMA-008-L5</t>
  </si>
  <si>
    <t>CMA-008|Not sure</t>
  </si>
  <si>
    <t>REC-CMA-008-NS</t>
  </si>
  <si>
    <t>CMA-008|Not applicable</t>
  </si>
  <si>
    <t>REC-CMA-008-NA</t>
  </si>
  <si>
    <t>CMA-009|No assessment has been done; the literacy gap is unknown</t>
  </si>
  <si>
    <t>Literacy Baseline Gap</t>
  </si>
  <si>
    <t>REC-CMA-009-L1</t>
  </si>
  <si>
    <t>Some functions have informal views of their gap, but no enterprise audit</t>
  </si>
  <si>
    <t>CMA-009|Some functions have informal views of their gap, but no enterprise audit</t>
  </si>
  <si>
    <t>Pocket Awareness Only</t>
  </si>
  <si>
    <t>A literacy audit has been started, but coverage or methodology is incomplete</t>
  </si>
  <si>
    <t>CMA-009|A literacy audit has been started, but coverage or methodology is incomplete</t>
  </si>
  <si>
    <t>REC-CMA-009-L3</t>
  </si>
  <si>
    <t>A formal AI literacy audit identifies the gap between current workforce skills and the AI roadmap's requirements</t>
  </si>
  <si>
    <t>CMA-009|A formal AI literacy audit identifies the gap between current workforce skills and the AI roadmap's requirements</t>
  </si>
  <si>
    <t>REC-CMA-009-L4</t>
  </si>
  <si>
    <t>Literacy audits are refreshed on a defined cadence, integrated with workforce planning, used to drive training and hiring, and tracked over time</t>
  </si>
  <si>
    <t>CMA-009|Literacy audits are refreshed on a defined cadence, integrated with workforce planning, used to drive training and hiring, and tracked over time</t>
  </si>
  <si>
    <t>REC-CMA-009-L5</t>
  </si>
  <si>
    <t>CMA-009|Not sure</t>
  </si>
  <si>
    <t>REC-CMA-009-NS</t>
  </si>
  <si>
    <t>CMA-009|Not applicable</t>
  </si>
  <si>
    <t>REC-CMA-009-NA</t>
  </si>
  <si>
    <t>CMA-010|Adoption training is generic; functions get the same content regardless of context</t>
  </si>
  <si>
    <t>Function-Specific Training Gap</t>
  </si>
  <si>
    <t>REC-CMA-010-L1</t>
  </si>
  <si>
    <t>Some functions have tailored content, but most still use generic tool training</t>
  </si>
  <si>
    <t>CMA-010|Some functions have tailored content, but most still use generic tool training</t>
  </si>
  <si>
    <t>Function-specific paths exist for some areas, but coverage is incomplete</t>
  </si>
  <si>
    <t>CMA-010|Function-specific paths exist for some areas, but coverage is incomplete</t>
  </si>
  <si>
    <t>REC-CMA-010-L3</t>
  </si>
  <si>
    <t>Each major function has tailored AI adoption training (AI for HR, Finance, Sales, Operations, etc.)</t>
  </si>
  <si>
    <t>CMA-010|Each major function has tailored AI adoption training (AI for HR, Finance, Sales, Operations, etc.)</t>
  </si>
  <si>
    <t>REC-CMA-010-L4</t>
  </si>
  <si>
    <t>Function-specific training is refreshed as use cases evolve, integrated with function-level adoption goals, and measured against function-level outcomes</t>
  </si>
  <si>
    <t>CMA-010|Function-specific training is refreshed as use cases evolve, integrated with function-level adoption goals, and measured against function-level outcomes</t>
  </si>
  <si>
    <t>REC-CMA-010-L5</t>
  </si>
  <si>
    <t>CMA-010|Not sure</t>
  </si>
  <si>
    <t>REC-CMA-010-NS</t>
  </si>
  <si>
    <t>CMA-010|Not applicable</t>
  </si>
  <si>
    <t>REC-CMA-010-NA</t>
  </si>
  <si>
    <t>CMA-011|Employees are expected to learn AI tools on top of their existing workload; no protected time exists</t>
  </si>
  <si>
    <t>Learning Time Gap</t>
  </si>
  <si>
    <t>REC-CMA-011-L1</t>
  </si>
  <si>
    <t>Some teams informally allow time for AI learning, depending on the manager</t>
  </si>
  <si>
    <t>CMA-011|Some teams informally allow time for AI learning, depending on the manager</t>
  </si>
  <si>
    <t>Manager-Dependent</t>
  </si>
  <si>
    <t>A policy exists but is inconsistently applied across teams</t>
  </si>
  <si>
    <t>CMA-011|A policy exists but is inconsistently applied across teams</t>
  </si>
  <si>
    <t>REC-CMA-011-L3</t>
  </si>
  <si>
    <t>Employees are given protected time for AI learning and experimentation, supported by a documented policy</t>
  </si>
  <si>
    <t>CMA-011|Employees are given protected time for AI learning and experimentation, supported by a documented policy</t>
  </si>
  <si>
    <t>REC-CMA-011-L4</t>
  </si>
  <si>
    <t>Protected learning time is integrated with adoption KPIs, supported by tooling and content, measured for use, and adjusted as AI roles evolve</t>
  </si>
  <si>
    <t>CMA-011|Protected learning time is integrated with adoption KPIs, supported by tooling and content, measured for use, and adjusted as AI roles evolve</t>
  </si>
  <si>
    <t>REC-CMA-011-L5</t>
  </si>
  <si>
    <t>CMA-011|Not sure</t>
  </si>
  <si>
    <t>REC-CMA-011-NS</t>
  </si>
  <si>
    <t>CMA-011|Not applicable</t>
  </si>
  <si>
    <t>REC-CMA-011-NA</t>
  </si>
  <si>
    <t>CMA-012|No AI help desk or knowledge base exists for end users</t>
  </si>
  <si>
    <t>AI Support Gap</t>
  </si>
  <si>
    <t>REC-CMA-012-L1</t>
  </si>
  <si>
    <t>A general IT help desk handles AI questions ad-hoc, with no AI-specific content</t>
  </si>
  <si>
    <t>CMA-012|A general IT help desk handles AI questions ad-hoc, with no AI-specific content</t>
  </si>
  <si>
    <t>General-IT Only</t>
  </si>
  <si>
    <t>An AI knowledge base exists but content is sparse or out of date</t>
  </si>
  <si>
    <t>CMA-012|An AI knowledge base exists but content is sparse or out of date</t>
  </si>
  <si>
    <t>REC-CMA-012-L3</t>
  </si>
  <si>
    <t>An AI help desk and knowledge base offer use-case prompts, troubleshooting, and AI-specific support</t>
  </si>
  <si>
    <t>CMA-012|An AI help desk and knowledge base offer use-case prompts, troubleshooting, and AI-specific support</t>
  </si>
  <si>
    <t>REC-CMA-012-L4</t>
  </si>
  <si>
    <t>Support resources are continuously updated, integrated with AI tools (in-product help), measured for use and satisfaction, and refined based on common queries</t>
  </si>
  <si>
    <t>CMA-012|Support resources are continuously updated, integrated with AI tools (in-product help), measured for use and satisfaction, and refined based on common queries</t>
  </si>
  <si>
    <t>REC-CMA-012-L5</t>
  </si>
  <si>
    <t>CMA-012|Not sure</t>
  </si>
  <si>
    <t>REC-CMA-012-NS</t>
  </si>
  <si>
    <t>CMA-012|Not applicable</t>
  </si>
  <si>
    <t>REC-CMA-012-NA</t>
  </si>
  <si>
    <t>CMA-013|Adoption is tracked by licenses assigned only; real usage is unknown</t>
  </si>
  <si>
    <t>License-Only KPIs</t>
  </si>
  <si>
    <t>REC-CMA-013-L1</t>
  </si>
  <si>
    <t>Some basic usage data exists, but adoption is not defined in business outcome terms</t>
  </si>
  <si>
    <t>CMA-013|Some basic usage data exists, but adoption is not defined in business outcome terms</t>
  </si>
  <si>
    <t>Usage-Only KPIs</t>
  </si>
  <si>
    <t>A small number of adoption KPIs exist, but coverage and consistency are inconsistent</t>
  </si>
  <si>
    <t>CMA-013|A small number of adoption KPIs exist, but coverage and consistency are inconsistent</t>
  </si>
  <si>
    <t>REC-CMA-013-L3</t>
  </si>
  <si>
    <t>Adoption is measured via active users, task completion, and at least one business-outcome metric for each major AI tool</t>
  </si>
  <si>
    <t>CMA-013|Adoption is measured via active users, task completion, and at least one business-outcome metric for each major AI tool</t>
  </si>
  <si>
    <t>REC-CMA-013-L4</t>
  </si>
  <si>
    <t>Adoption KPIs are integrated with portfolio governance, reviewed by leadership, used to drive iteration of tools and training, and aligned with value realization</t>
  </si>
  <si>
    <t>CMA-013|Adoption KPIs are integrated with portfolio governance, reviewed by leadership, used to drive iteration of tools and training, and aligned with value realization</t>
  </si>
  <si>
    <t>REC-CMA-013-L5</t>
  </si>
  <si>
    <t>CMA-013|Not sure</t>
  </si>
  <si>
    <t>REC-CMA-013-NS</t>
  </si>
  <si>
    <t>CMA-013|Not applicable</t>
  </si>
  <si>
    <t>REC-CMA-013-NA</t>
  </si>
  <si>
    <t>CMA-014|Performance reviews do not recognize AI use; efficiency-only metrics dominate</t>
  </si>
  <si>
    <t>Incentive Refresh Gap</t>
  </si>
  <si>
    <t>REC-CMA-014-L1</t>
  </si>
  <si>
    <t>Some managers informally reward AI innovators, but this is not part of the review system</t>
  </si>
  <si>
    <t>CMA-014|Some managers informally reward AI innovators, but this is not part of the review system</t>
  </si>
  <si>
    <t>Manager-Discretion Only</t>
  </si>
  <si>
    <t>Performance reviews mention AI, but criteria are vague or inconsistently applied</t>
  </si>
  <si>
    <t>CMA-014|Performance reviews mention AI, but criteria are vague or inconsistently applied</t>
  </si>
  <si>
    <t>REC-CMA-014-L3</t>
  </si>
  <si>
    <t>Performance reviews include criteria recognizing safe, innovative AI use, and managers are guided to apply them consistently</t>
  </si>
  <si>
    <t>CMA-014|Performance reviews include criteria recognizing safe, innovative AI use, and managers are guided to apply them consistently</t>
  </si>
  <si>
    <t>REC-CMA-014-L4</t>
  </si>
  <si>
    <t>AI-aware performance management is supported by HR systems, validated through outcomes, refreshed as practices evolve, and reinforced through visible recognition</t>
  </si>
  <si>
    <t>CMA-014|AI-aware performance management is supported by HR systems, validated through outcomes, refreshed as practices evolve, and reinforced through visible recognition</t>
  </si>
  <si>
    <t>REC-CMA-014-L5</t>
  </si>
  <si>
    <t>CMA-014|Not sure</t>
  </si>
  <si>
    <t>REC-CMA-014-NS</t>
  </si>
  <si>
    <t>CMA-014|Not applicable</t>
  </si>
  <si>
    <t>REC-CMA-014-NA</t>
  </si>
  <si>
    <t>CMA-015|Shadow AI is met with blocking and discipline, with no path to legitimize useful tools</t>
  </si>
  <si>
    <t>Punitive Response</t>
  </si>
  <si>
    <t>REC-CMA-015-L1</t>
  </si>
  <si>
    <t>Response is inconsistent and reactive, depending on who discovers it</t>
  </si>
  <si>
    <t>CMA-015|Response is inconsistent and reactive, depending on who discovers it</t>
  </si>
  <si>
    <t>Inconsistent Response</t>
  </si>
  <si>
    <t>A "understand-and-govern" approach is the policy, but in practice teams still default to blocking</t>
  </si>
  <si>
    <t>CMA-015|A "understand-and-govern" approach is the policy, but in practice teams still default to blocking</t>
  </si>
  <si>
    <t>REC-CMA-015-L3</t>
  </si>
  <si>
    <t>Shadow AI discovery triggers a documented "understand-and-govern" workflow that triages risk, brings tools into the inventory, and offers approved alternatives</t>
  </si>
  <si>
    <t>CMA-015|Shadow AI discovery triggers a documented "understand-and-govern" workflow that triages risk, brings tools into the inventory, and offers approved alternatives</t>
  </si>
  <si>
    <t>REC-CMA-015-L4</t>
  </si>
  <si>
    <t>Shadow AI response is risk-tiered, supports an amnesty / onboarding program, integrated with discovery tooling, and used as a signal of unmet workforce demand</t>
  </si>
  <si>
    <t>CMA-015|Shadow AI response is risk-tiered, supports an amnesty / onboarding program, integrated with discovery tooling, and used as a signal of unmet workforce demand</t>
  </si>
  <si>
    <t>REC-CMA-015-L5</t>
  </si>
  <si>
    <t>CMA-015|Not sure</t>
  </si>
  <si>
    <t>REC-CMA-015-NS</t>
  </si>
  <si>
    <t>CMA-015|Not applicable</t>
  </si>
  <si>
    <t>REC-CMA-015-NA</t>
  </si>
  <si>
    <t>CMA-016|AI use cases are not revisited after launch; reverting to old processes goes unnoticed</t>
  </si>
  <si>
    <t>Post-Launch Review Gap</t>
  </si>
  <si>
    <t>REC-CMA-016-L1</t>
  </si>
  <si>
    <t>Some informal check-ins happen, but no structured review at a defined interval</t>
  </si>
  <si>
    <t>CMA-016|Some informal check-ins happen, but no structured review at a defined interval</t>
  </si>
  <si>
    <t>Anecdotal Check-Ins</t>
  </si>
  <si>
    <t>Some use cases are reviewed, but coverage and rigor are inconsistent</t>
  </si>
  <si>
    <t>CMA-016|Some use cases are reviewed, but coverage and rigor are inconsistent</t>
  </si>
  <si>
    <t>REC-CMA-016-L3</t>
  </si>
  <si>
    <t>A defined post-implementation review (e.g., at six months) confirms whether the business process changed and surfaces reversion</t>
  </si>
  <si>
    <t>CMA-016|A defined post-implementation review (e.g., at six months) confirms whether the business process changed and surfaces reversion</t>
  </si>
  <si>
    <t>REC-CMA-016-L4</t>
  </si>
  <si>
    <t>Post-launch reviews are standardized, integrated with portfolio governance and value tracking, and drive remediation, re-training, or process redesign when adoption falls short</t>
  </si>
  <si>
    <t>CMA-016|Post-launch reviews are standardized, integrated with portfolio governance and value tracking, and drive remediation, re-training, or process redesign when adoption falls short</t>
  </si>
  <si>
    <t>REC-CMA-016-L5</t>
  </si>
  <si>
    <t>CMA-016|Not sure</t>
  </si>
  <si>
    <t>REC-CMA-016-NS</t>
  </si>
  <si>
    <t>CMA-016|Not applicable</t>
  </si>
  <si>
    <t>REC-CMA-016-NA</t>
  </si>
  <si>
    <t>TAG-001|No standardized hosting strategy exists; AI workloads are deployed wherever teams choose</t>
  </si>
  <si>
    <t>Hosting Strategy Gap</t>
  </si>
  <si>
    <t>REC-TAG-001-L1</t>
  </si>
  <si>
    <t>Teams use multiple platforms ad-hoc, leading to inconsistent security and operational controls</t>
  </si>
  <si>
    <t>TAG-001|Teams use multiple platforms ad-hoc, leading to inconsistent security and operational controls</t>
  </si>
  <si>
    <t>Fragmented Hosting</t>
  </si>
  <si>
    <t>A hosting strategy is documented, but adoption is partial and exceptions are common</t>
  </si>
  <si>
    <t>TAG-001|A hosting strategy is documented, but adoption is partial and exceptions are common</t>
  </si>
  <si>
    <t>REC-TAG-001-L3</t>
  </si>
  <si>
    <t>A standardized AI hosting strategy defines approved platforms and consistent security controls across the AI portfolio</t>
  </si>
  <si>
    <t>TAG-001|A standardized AI hosting strategy defines approved platforms and consistent security controls across the AI portfolio</t>
  </si>
  <si>
    <t>REC-TAG-001-L4</t>
  </si>
  <si>
    <t>Hosting strategy is reviewed regularly, integrated with security and FinOps, supports use-case-appropriate placement (cloud / hybrid / on-prem), and balances innovation with control</t>
  </si>
  <si>
    <t>TAG-001|Hosting strategy is reviewed regularly, integrated with security and FinOps, supports use-case-appropriate placement (cloud / hybrid / on-prem), and balances innovation with control</t>
  </si>
  <si>
    <t>REC-TAG-001-L5</t>
  </si>
  <si>
    <t>TAG-001|Not sure</t>
  </si>
  <si>
    <t>REC-TAG-001-NS</t>
  </si>
  <si>
    <t>TAG-001|Not applicable</t>
  </si>
  <si>
    <t>REC-TAG-001-NA</t>
  </si>
  <si>
    <t>TAG-002|No vector database strategy exists; either there is no vector store, or every team builds its own</t>
  </si>
  <si>
    <t>Vector Strategy Gap</t>
  </si>
  <si>
    <t>REC-TAG-002-L1</t>
  </si>
  <si>
    <t>Multiple team-owned vector stores have proliferated, creating silos and duplication</t>
  </si>
  <si>
    <t>TAG-002|Multiple team-owned vector stores have proliferated, creating silos and duplication</t>
  </si>
  <si>
    <t>Vector Sprawl</t>
  </si>
  <si>
    <t>A centralized option exists, but adoption is partial and many teams still spin up their own</t>
  </si>
  <si>
    <t>TAG-002|A centralized option exists, but adoption is partial and many teams still spin up their own</t>
  </si>
  <si>
    <t>REC-TAG-002-L3</t>
  </si>
  <si>
    <t>A centralized, governed vector database is the default for RAG use cases, with documented access and ingestion patterns</t>
  </si>
  <si>
    <t>TAG-002|A centralized, governed vector database is the default for RAG use cases, with documented access and ingestion patterns</t>
  </si>
  <si>
    <t>REC-TAG-002-L4</t>
  </si>
  <si>
    <t>Vector infrastructure is integrated with data governance, observability, and access controls, with re-use metrics, performance tuning, and lifecycle management</t>
  </si>
  <si>
    <t>TAG-002|Vector infrastructure is integrated with data governance, observability, and access controls, with re-use metrics, performance tuning, and lifecycle management</t>
  </si>
  <si>
    <t>REC-TAG-002-L5</t>
  </si>
  <si>
    <t>TAG-002|Not sure</t>
  </si>
  <si>
    <t>REC-TAG-002-NS</t>
  </si>
  <si>
    <t>TAG-002|Not applicable</t>
  </si>
  <si>
    <t>REC-TAG-002-NA</t>
  </si>
  <si>
    <t>TAG-003|Architecture cannot reliably handle concurrent AI inference spikes; core systems are at risk</t>
  </si>
  <si>
    <t>Elasticity Gap</t>
  </si>
  <si>
    <t>REC-TAG-003-L1</t>
  </si>
  <si>
    <t>Some isolation exists, but spike handling is reactive and capacity is over-provisioned or under-provisioned</t>
  </si>
  <si>
    <t>TAG-003|Some isolation exists, but spike handling is reactive and capacity is over-provisioned or under-provisioned</t>
  </si>
  <si>
    <t>Reactive Capacity</t>
  </si>
  <si>
    <t>Capacity is planned for some workloads, but the architecture doesn't consistently scale or isolate AI traffic</t>
  </si>
  <si>
    <t>TAG-003|Capacity is planned for some workloads, but the architecture doesn't consistently scale or isolate AI traffic</t>
  </si>
  <si>
    <t>REC-TAG-003-L3</t>
  </si>
  <si>
    <t>The architecture supports elastic AI compute with isolation from core business systems and documented capacity planning</t>
  </si>
  <si>
    <t>TAG-003|The architecture supports elastic AI compute with isolation from core business systems and documented capacity planning</t>
  </si>
  <si>
    <t>REC-TAG-003-L4</t>
  </si>
  <si>
    <t>Elasticity is supported by autoscaling, traffic management, SLA monitoring, FinOps integration, and capacity forecasting for emerging AI workloads</t>
  </si>
  <si>
    <t>TAG-003|Elasticity is supported by autoscaling, traffic management, SLA monitoring, FinOps integration, and capacity forecasting for emerging AI workloads</t>
  </si>
  <si>
    <t>REC-TAG-003-L5</t>
  </si>
  <si>
    <t>TAG-003|Not sure</t>
  </si>
  <si>
    <t>REC-TAG-003-NS</t>
  </si>
  <si>
    <t>TAG-003|Not applicable</t>
  </si>
  <si>
    <t>REC-TAG-003-NA</t>
  </si>
  <si>
    <t>TAG-004|The architecture supports only chat-style AI; agentic patterns are not supported</t>
  </si>
  <si>
    <t>Agentic Readiness Gap</t>
  </si>
  <si>
    <t>REC-TAG-004-L1</t>
  </si>
  <si>
    <t>Some teams are experimenting with agents, but there is no architectural pattern or guardrails</t>
  </si>
  <si>
    <t>TAG-004|Some teams are experimenting with agents, but there is no architectural pattern or guardrails</t>
  </si>
  <si>
    <t>Ungoverned Agent Experiments</t>
  </si>
  <si>
    <t>An agent pattern is emerging, but governance, tool registration, and observability are incomplete</t>
  </si>
  <si>
    <t>TAG-004|An agent pattern is emerging, but governance, tool registration, and observability are incomplete</t>
  </si>
  <si>
    <t>REC-TAG-004-L3</t>
  </si>
  <si>
    <t>The architecture supports agentic patterns with documented standards for tool registration, agent governance, and observability</t>
  </si>
  <si>
    <t>TAG-004|The architecture supports agentic patterns with documented standards for tool registration, agent governance, and observability</t>
  </si>
  <si>
    <t>REC-TAG-004-L4</t>
  </si>
  <si>
    <t>Agentic AI is supported by a governed agent platform with risk-tiered tool allow-lists, integrated security and audit, and continuous evaluation of agent behavior</t>
  </si>
  <si>
    <t>TAG-004|Agentic AI is supported by a governed agent platform with risk-tiered tool allow-lists, integrated security and audit, and continuous evaluation of agent behavior</t>
  </si>
  <si>
    <t>REC-TAG-004-L5</t>
  </si>
  <si>
    <t>TAG-004|Not sure</t>
  </si>
  <si>
    <t>REC-TAG-004-NS</t>
  </si>
  <si>
    <t>TAG-004|Not applicable</t>
  </si>
  <si>
    <t>REC-TAG-004-NA</t>
  </si>
  <si>
    <t>TAG-005|There is no central model registry; models live on developer machines, notebooks, or scattered storage</t>
  </si>
  <si>
    <t>Model Registry Gap</t>
  </si>
  <si>
    <t>REC-TAG-005-L1</t>
  </si>
  <si>
    <t>Some teams maintain local registries, but there is no enterprise standard</t>
  </si>
  <si>
    <t>TAG-005|Some teams maintain local registries, but there is no enterprise standard</t>
  </si>
  <si>
    <t>Local-Only Registries</t>
  </si>
  <si>
    <t>A central registry exists, but coverage and metadata completeness are inconsistent</t>
  </si>
  <si>
    <t>TAG-005|A central registry exists, but coverage and metadata completeness are inconsistent</t>
  </si>
  <si>
    <t>REC-TAG-005-L3</t>
  </si>
  <si>
    <t>A central model registry holds every approved model version, with required metadata (owner, intended use, risk tier)</t>
  </si>
  <si>
    <t>TAG-005|A central model registry holds every approved model version, with required metadata (owner, intended use, risk tier)</t>
  </si>
  <si>
    <t>REC-TAG-005-L4</t>
  </si>
  <si>
    <t>The registry is integrated with CI/CD, monitoring, governance, and audit workflows; access is governed and changes are tracked</t>
  </si>
  <si>
    <t>TAG-005|The registry is integrated with CI/CD, monitoring, governance, and audit workflows; access is governed and changes are tracked</t>
  </si>
  <si>
    <t>REC-TAG-005-L5</t>
  </si>
  <si>
    <t>TAG-005|Not sure</t>
  </si>
  <si>
    <t>REC-TAG-005-NS</t>
  </si>
  <si>
    <t>TAG-005|Not applicable</t>
  </si>
  <si>
    <t>REC-TAG-005-NA</t>
  </si>
  <si>
    <t>TAG-006|No centralized gateway exists; AI API calls are made directly from each application</t>
  </si>
  <si>
    <t>LLM Gateway Gap</t>
  </si>
  <si>
    <t>REC-TAG-006-L1</t>
  </si>
  <si>
    <t>A partial gateway exists for some use cases, but most calls bypass it</t>
  </si>
  <si>
    <t>TAG-006|A partial gateway exists for some use cases, but most calls bypass it</t>
  </si>
  <si>
    <t>Bypassed Gateway</t>
  </si>
  <si>
    <t>A gateway is in place but lacks consistent safety filtering, cost attribution, or routing logic</t>
  </si>
  <si>
    <t>TAG-006|A gateway is in place but lacks consistent safety filtering, cost attribution, or routing logic</t>
  </si>
  <si>
    <t>REC-TAG-006-L3</t>
  </si>
  <si>
    <t>All AI model calls route through a centralized gateway that handles authentication, safety filtering, cost attribution, and observability</t>
  </si>
  <si>
    <t>TAG-006|All AI model calls route through a centralized gateway that handles authentication, safety filtering, cost attribution, and observability</t>
  </si>
  <si>
    <t>REC-TAG-006-L4</t>
  </si>
  <si>
    <t>The LLM gateway is feature-rich (multi-provider routing, prompt and output filtering, cost optimization, A/B testing), integrated with governance, and continuously improved</t>
  </si>
  <si>
    <t>TAG-006|The LLM gateway is feature-rich (multi-provider routing, prompt and output filtering, cost optimization, A/B testing), integrated with governance, and continuously improved</t>
  </si>
  <si>
    <t>REC-TAG-006-L5</t>
  </si>
  <si>
    <t>TAG-006|Not sure</t>
  </si>
  <si>
    <t>REC-TAG-006-NS</t>
  </si>
  <si>
    <t>TAG-006|Not applicable</t>
  </si>
  <si>
    <t>REC-TAG-006-NA</t>
  </si>
  <si>
    <t>TAG-007|No process exists for vetting open-source models; either none are allowed, or any model can be used</t>
  </si>
  <si>
    <t>BYOM Process Gap</t>
  </si>
  <si>
    <t>REC-TAG-007-L1</t>
  </si>
  <si>
    <t>Teams choose models informally, without consistent vetting for license, security, or quality</t>
  </si>
  <si>
    <t>TAG-007|Teams choose models informally, without consistent vetting for license, security, or quality</t>
  </si>
  <si>
    <t>Informal Vetting</t>
  </si>
  <si>
    <t>A vetting process exists, but coverage of licensing, security, performance, and lifecycle is incomplete</t>
  </si>
  <si>
    <t>TAG-007|A vetting process exists, but coverage of licensing, security, performance, and lifecycle is incomplete</t>
  </si>
  <si>
    <t>REC-TAG-007-L3</t>
  </si>
  <si>
    <t>A documented BYOM process vets open-source models for license, security, performance, and intended use before onboarding</t>
  </si>
  <si>
    <t>TAG-007|A documented BYOM process vets open-source models for license, security, performance, and intended use before onboarding</t>
  </si>
  <si>
    <t>REC-TAG-007-L4</t>
  </si>
  <si>
    <t>BYOM is risk-tiered, supported by an internal model catalog, integrated with security and procurement, and refreshed as new open-source models emerge</t>
  </si>
  <si>
    <t>TAG-007|BYOM is risk-tiered, supported by an internal model catalog, integrated with security and procurement, and refreshed as new open-source models emerge</t>
  </si>
  <si>
    <t>REC-TAG-007-L5</t>
  </si>
  <si>
    <t>TAG-007|Not sure</t>
  </si>
  <si>
    <t>REC-TAG-007-NS</t>
  </si>
  <si>
    <t>TAG-007|Not applicable</t>
  </si>
  <si>
    <t>REC-TAG-007-NA</t>
  </si>
  <si>
    <t>TAG-008|Deployment pipelines do not include continuous monitoring; decay is found only by user complaint</t>
  </si>
  <si>
    <t>Monitoring Integration Gap</t>
  </si>
  <si>
    <t>REC-TAG-008-L1</t>
  </si>
  <si>
    <t>Some models have monitoring, but it is not integrated with deployment pipelines</t>
  </si>
  <si>
    <t>TAG-008|Some models have monitoring, but it is not integrated with deployment pipelines</t>
  </si>
  <si>
    <t>Disconnected Monitoring</t>
  </si>
  <si>
    <t>Some pipelines include monitoring, but coverage and metrics are inconsistent</t>
  </si>
  <si>
    <t>TAG-008|Some pipelines include monitoring, but coverage and metrics are inconsistent</t>
  </si>
  <si>
    <t>REC-TAG-008-L3</t>
  </si>
  <si>
    <t>AI deployment pipelines include continuous monitoring with defined metrics, alerts, and ownership</t>
  </si>
  <si>
    <t>TAG-008|AI deployment pipelines include continuous monitoring with defined metrics, alerts, and ownership</t>
  </si>
  <si>
    <t>REC-TAG-008-L4</t>
  </si>
  <si>
    <t>Continuous monitoring is risk-tiered, automated where possible, integrated with retraining workflows and incident response, and supports proactive remediation</t>
  </si>
  <si>
    <t>TAG-008|Continuous monitoring is risk-tiered, automated where possible, integrated with retraining workflows and incident response, and supports proactive remediation</t>
  </si>
  <si>
    <t>REC-TAG-008-L5</t>
  </si>
  <si>
    <t>TAG-008|Not sure</t>
  </si>
  <si>
    <t>REC-TAG-008-NS</t>
  </si>
  <si>
    <t>TAG-008|Not applicable</t>
  </si>
  <si>
    <t>REC-TAG-008-NA</t>
  </si>
  <si>
    <t>TAG-009|RAG outputs cannot be traced back to their original data sources</t>
  </si>
  <si>
    <t>Lineage Gap</t>
  </si>
  <si>
    <t>REC-TAG-009-L1</t>
  </si>
  <si>
    <t>Lineage can be reconstructed manually with significant effort, but is not part of the AI architecture</t>
  </si>
  <si>
    <t>TAG-009|Lineage can be reconstructed manually with significant effort, but is not part of the AI architecture</t>
  </si>
  <si>
    <t>Manual Lineage</t>
  </si>
  <si>
    <t>Lineage exists for some AI use cases, but coverage and granularity are inconsistent</t>
  </si>
  <si>
    <t>TAG-009|Lineage exists for some AI use cases, but coverage and granularity are inconsistent</t>
  </si>
  <si>
    <t>REC-TAG-009-L3</t>
  </si>
  <si>
    <t>RAG and AI outputs include traceable lineage back to source documents or data records</t>
  </si>
  <si>
    <t>TAG-009|RAG and AI outputs include traceable lineage back to source documents or data records</t>
  </si>
  <si>
    <t>REC-TAG-009-L4</t>
  </si>
  <si>
    <t>AI lineage is automated, integrated with data governance and audit, supports user-visible citations, and is refreshed as sources change</t>
  </si>
  <si>
    <t>TAG-009|AI lineage is automated, integrated with data governance and audit, supports user-visible citations, and is refreshed as sources change</t>
  </si>
  <si>
    <t>REC-TAG-009-L5</t>
  </si>
  <si>
    <t>TAG-009|Not sure</t>
  </si>
  <si>
    <t>REC-TAG-009-NS</t>
  </si>
  <si>
    <t>TAG-009|Not applicable</t>
  </si>
  <si>
    <t>REC-TAG-009-NA</t>
  </si>
  <si>
    <t>TAG-010|AI is limited to batch data; real-time use cases cannot be supported</t>
  </si>
  <si>
    <t>Real-Time Data Gap</t>
  </si>
  <si>
    <t>REC-TAG-010-L1</t>
  </si>
  <si>
    <t>Real-time data exists for some systems, but AI consumes data primarily through batch processes</t>
  </si>
  <si>
    <t>TAG-010|Real-time data exists for some systems, but AI consumes data primarily through batch processes</t>
  </si>
  <si>
    <t>Batch-Dominant</t>
  </si>
  <si>
    <t>Some AI use cases consume real-time data, but the architecture isn't uniformly capable</t>
  </si>
  <si>
    <t>TAG-010|Some AI use cases consume real-time data, but the architecture isn't uniformly capable</t>
  </si>
  <si>
    <t>REC-TAG-010-L3</t>
  </si>
  <si>
    <t>The architecture supports real-time data streaming to AI workloads for use cases that require it</t>
  </si>
  <si>
    <t>TAG-010|The architecture supports real-time data streaming to AI workloads for use cases that require it</t>
  </si>
  <si>
    <t>REC-TAG-010-L4</t>
  </si>
  <si>
    <t>Real-time access is integrated with data governance, observability, and quality monitoring; latency SLAs are met and continuously optimized</t>
  </si>
  <si>
    <t>TAG-010|Real-time access is integrated with data governance, observability, and quality monitoring; latency SLAs are met and continuously optimized</t>
  </si>
  <si>
    <t>REC-TAG-010-L5</t>
  </si>
  <si>
    <t>TAG-010|Not sure</t>
  </si>
  <si>
    <t>REC-TAG-010-NS</t>
  </si>
  <si>
    <t>TAG-010|Not applicable</t>
  </si>
  <si>
    <t>REC-TAG-010-NA</t>
  </si>
  <si>
    <t>TAG-011|Metadata is inconsistent across data assets; AI models cannot reliably share or interpret data</t>
  </si>
  <si>
    <t>Metadata Gap</t>
  </si>
  <si>
    <t>REC-TAG-011-L1</t>
  </si>
  <si>
    <t>Some data domains have local metadata standards, but there is no enterprise schema</t>
  </si>
  <si>
    <t>TAG-011|Some data domains have local metadata standards, but there is no enterprise schema</t>
  </si>
  <si>
    <t>Local-Only Metadata</t>
  </si>
  <si>
    <t>A metadata standard exists, but coverage of in-scope AI data assets is incomplete</t>
  </si>
  <si>
    <t>TAG-011|A metadata standard exists, but coverage of in-scope AI data assets is incomplete</t>
  </si>
  <si>
    <t>REC-TAG-011-L3</t>
  </si>
  <si>
    <t>A common metadata schema enables AI models to consistently identify, share, and interpret data assets</t>
  </si>
  <si>
    <t>TAG-011|A common metadata schema enables AI models to consistently identify, share, and interpret data assets</t>
  </si>
  <si>
    <t>REC-TAG-011-L4</t>
  </si>
  <si>
    <t>Metadata is governed, automated, integrated with the data catalog and AI tooling, refreshed as schemas evolve, and powers semantic search and AI discovery</t>
  </si>
  <si>
    <t>TAG-011|Metadata is governed, automated, integrated with the data catalog and AI tooling, refreshed as schemas evolve, and powers semantic search and AI discovery</t>
  </si>
  <si>
    <t>REC-TAG-011-L5</t>
  </si>
  <si>
    <t>TAG-011|Not sure</t>
  </si>
  <si>
    <t>REC-TAG-011-NS</t>
  </si>
  <si>
    <t>TAG-011|Not applicable</t>
  </si>
  <si>
    <t>REC-TAG-011-NA</t>
  </si>
  <si>
    <t>TAG-012|No automated detection or masking of sensitive data before AI model calls; reliance is on user discretion</t>
  </si>
  <si>
    <t>Sanitization Gap</t>
  </si>
  <si>
    <t>REC-TAG-012-L1</t>
  </si>
  <si>
    <t>Some controls exist (e.g., DLP at network layer) but are not AI-specific</t>
  </si>
  <si>
    <t>TAG-012|Some controls exist (e.g., DLP at network layer) but are not AI-specific</t>
  </si>
  <si>
    <t>Generic DLP Only</t>
  </si>
  <si>
    <t>Detection and masking exist for some use cases, but coverage and accuracy are inconsistent</t>
  </si>
  <si>
    <t>TAG-012|Detection and masking exist for some use cases, but coverage and accuracy are inconsistent</t>
  </si>
  <si>
    <t>REC-TAG-012-L3</t>
  </si>
  <si>
    <t>A documented middle layer detects and masks PII/PHI before sending data to AI models</t>
  </si>
  <si>
    <t>TAG-012|A documented middle layer detects and masks PII/PHI before sending data to AI models</t>
  </si>
  <si>
    <t>REC-TAG-012-L4</t>
  </si>
  <si>
    <t>Sanitization is risk-tiered, integrated with the LLM gateway and data catalog, monitored for accuracy, and continuously improved through false-positive/negative analysis</t>
  </si>
  <si>
    <t>TAG-012|Sanitization is risk-tiered, integrated with the LLM gateway and data catalog, monitored for accuracy, and continuously improved through false-positive/negative analysis</t>
  </si>
  <si>
    <t>REC-TAG-012-L5</t>
  </si>
  <si>
    <t>TAG-012|Not sure</t>
  </si>
  <si>
    <t>REC-TAG-012-NS</t>
  </si>
  <si>
    <t>TAG-012|Not applicable</t>
  </si>
  <si>
    <t>REC-TAG-012-NA</t>
  </si>
  <si>
    <t>TAG-013|No automated AI security testing is in place</t>
  </si>
  <si>
    <t>AI Security Tooling Gap</t>
  </si>
  <si>
    <t>REC-TAG-013-L1</t>
  </si>
  <si>
    <t>Some manual testing happens occasionally, but no automated tooling</t>
  </si>
  <si>
    <t>TAG-013|Some manual testing happens occasionally, but no automated tooling</t>
  </si>
  <si>
    <t>Manual-Only Testing</t>
  </si>
  <si>
    <t>Automated tools are in place for some endpoints, but coverage and frequency are inconsistent</t>
  </si>
  <si>
    <t>TAG-013|Automated tools are in place for some endpoints, but coverage and frequency are inconsistent</t>
  </si>
  <si>
    <t>REC-TAG-013-L3</t>
  </si>
  <si>
    <t>Automated tooling scans AI endpoints for prompt injection, jailbreak attempts, and adversarial inputs on a defined cadence</t>
  </si>
  <si>
    <t>TAG-013|Automated tooling scans AI endpoints for prompt injection, jailbreak attempts, and adversarial inputs on a defined cadence</t>
  </si>
  <si>
    <t>REC-TAG-013-L4</t>
  </si>
  <si>
    <t>Automated AI security testing is integrated with CI/CD and runtime monitoring, supports continuous scanning, generates remediation tickets, and is refreshed with new attack patterns</t>
  </si>
  <si>
    <t>TAG-013|Automated AI security testing is integrated with CI/CD and runtime monitoring, supports continuous scanning, generates remediation tickets, and is refreshed with new attack patterns</t>
  </si>
  <si>
    <t>REC-TAG-013-L5</t>
  </si>
  <si>
    <t>TAG-013|Not sure</t>
  </si>
  <si>
    <t>REC-TAG-013-NS</t>
  </si>
  <si>
    <t>TAG-013|Not applicable</t>
  </si>
  <si>
    <t>REC-TAG-013-NA</t>
  </si>
  <si>
    <t>TAG-014|AI spend cannot be attributed to specific departments, projects, or use cases</t>
  </si>
  <si>
    <t>Cost Attribution Gap</t>
  </si>
  <si>
    <t>REC-TAG-014-L1</t>
  </si>
  <si>
    <t>Aggregate AI spend is visible, but breakdown by department or project is manual and incomplete</t>
  </si>
  <si>
    <t>TAG-014|Aggregate AI spend is visible, but breakdown by department or project is manual and incomplete</t>
  </si>
  <si>
    <t>Aggregate-Only Spend</t>
  </si>
  <si>
    <t>Cost attribution exists for some workloads, but accuracy and coverage are inconsistent</t>
  </si>
  <si>
    <t>TAG-014|Cost attribution exists for some workloads, but accuracy and coverage are inconsistent</t>
  </si>
  <si>
    <t>REC-TAG-014-L3</t>
  </si>
  <si>
    <t>The architecture supports AI cost attribution by department, project, or use case, used for internal rebilling and value tracking</t>
  </si>
  <si>
    <t>TAG-014|The architecture supports AI cost attribution by department, project, or use case, used for internal rebilling and value tracking</t>
  </si>
  <si>
    <t>REC-TAG-014-L4</t>
  </si>
  <si>
    <t>Cost attribution is integrated with FinOps, automated, used to drive optimization and value-tracking decisions, and refreshed as new AI services are added</t>
  </si>
  <si>
    <t>TAG-014|Cost attribution is integrated with FinOps, automated, used to drive optimization and value-tracking decisions, and refreshed as new AI services are added</t>
  </si>
  <si>
    <t>REC-TAG-014-L5</t>
  </si>
  <si>
    <t>TAG-014|Not sure</t>
  </si>
  <si>
    <t>REC-TAG-014-NS</t>
  </si>
  <si>
    <t>TAG-014|Not applicable</t>
  </si>
  <si>
    <t>REC-TAG-014-NA</t>
  </si>
  <si>
    <t>TAG-015|AI interactions are not consistently logged, or logs are mutable and unreliable for audit</t>
  </si>
  <si>
    <t>Audit Logging Gap</t>
  </si>
  <si>
    <t>REC-TAG-015-L1</t>
  </si>
  <si>
    <t>Logs exist but lack retention, immutability, or completeness for compliance purposes</t>
  </si>
  <si>
    <t>TAG-015|Logs exist but lack retention, immutability, or completeness for compliance purposes</t>
  </si>
  <si>
    <t>Insufficient Logs</t>
  </si>
  <si>
    <t>Logs are kept for some AI systems, but coverage and immutability are inconsistent</t>
  </si>
  <si>
    <t>TAG-015|Logs are kept for some AI systems, but coverage and immutability are inconsistent</t>
  </si>
  <si>
    <t>REC-TAG-015-L3</t>
  </si>
  <si>
    <t>AI interaction logs are stored with defined retention and immutability suitable for compliance and legal discovery</t>
  </si>
  <si>
    <t>TAG-015|AI interaction logs are stored with defined retention and immutability suitable for compliance and legal discovery</t>
  </si>
  <si>
    <t>REC-TAG-015-L4</t>
  </si>
  <si>
    <t>Audit logs are risk-tiered, integrated with SIEM, support fast retrieval for audit and discovery, validated through retention drills, and aligned with regulatory requirements</t>
  </si>
  <si>
    <t>TAG-015|Audit logs are risk-tiered, integrated with SIEM, support fast retrieval for audit and discovery, validated through retention drills, and aligned with regulatory requirements</t>
  </si>
  <si>
    <t>REC-TAG-015-L5</t>
  </si>
  <si>
    <t>TAG-015|Not sure</t>
  </si>
  <si>
    <t>REC-TAG-015-NS</t>
  </si>
  <si>
    <t>TAG-015|Not applicable</t>
  </si>
  <si>
    <t>REC-TAG-015-NA</t>
  </si>
  <si>
    <t>TAG-016|The architecture is hard-coupled to a single model provider; switching would require significant rebuild</t>
  </si>
  <si>
    <t>Vendor Lock-In</t>
  </si>
  <si>
    <t>REC-TAG-016-L1</t>
  </si>
  <si>
    <t>Some abstraction exists but switching providers would still require substantial work across applications</t>
  </si>
  <si>
    <t>TAG-016|Some abstraction exists but switching providers would still require substantial work across applications</t>
  </si>
  <si>
    <t>Partial Lock-In</t>
  </si>
  <si>
    <t>A model abstraction layer exists, but it has gaps for newer capabilities or evaluation/observability</t>
  </si>
  <si>
    <t>TAG-016|A model abstraction layer exists, but it has gaps for newer capabilities or evaluation/observability</t>
  </si>
  <si>
    <t>REC-TAG-016-L3</t>
  </si>
  <si>
    <t>A model abstraction layer or gateway enables switching between providers with limited application impact</t>
  </si>
  <si>
    <t>TAG-016|A model abstraction layer or gateway enables switching between providers with limited application impact</t>
  </si>
  <si>
    <t>REC-TAG-016-L4</t>
  </si>
  <si>
    <t>Provider portability is tested through periodic model-swap exercises, integrated with evaluation tooling, and informs procurement and architecture decisions</t>
  </si>
  <si>
    <t>TAG-016|Provider portability is tested through periodic model-swap exercises, integrated with evaluation tooling, and informs procurement and architecture decisions</t>
  </si>
  <si>
    <t>REC-TAG-016-L5</t>
  </si>
  <si>
    <t>TAG-016|Not sure</t>
  </si>
  <si>
    <t>REC-TAG-016-NS</t>
  </si>
  <si>
    <t>TAG-016|Not applicable</t>
  </si>
  <si>
    <t>REC-TAG-016-NA</t>
  </si>
  <si>
    <t>No single individual is accountable for any AI model's ethical and legal compliance</t>
  </si>
  <si>
    <t>RAC-001|No single individual is accountable for any AI model's ethical and legal compliance</t>
  </si>
  <si>
    <t>Individual Accountability Gap</t>
  </si>
  <si>
    <t>REC-RAC-001-L1</t>
  </si>
  <si>
    <t>Accountability is held by committees or unclear groups, with no single named individual</t>
  </si>
  <si>
    <t>RAC-001|Accountability is held by committees or unclear groups, with no single named individual</t>
  </si>
  <si>
    <t>Committee-Held Accountability</t>
  </si>
  <si>
    <t>RAC-001|Some AI models have a named accountable owner, but coverage is inconsistent</t>
  </si>
  <si>
    <t>REC-RAC-001-L3</t>
  </si>
  <si>
    <t>Every production AI model has a single named individual accountable for ethical and legal compliance</t>
  </si>
  <si>
    <t>RAC-001|Every production AI model has a single named individual accountable for ethical and legal compliance</t>
  </si>
  <si>
    <t>REC-RAC-001-L4</t>
  </si>
  <si>
    <t>Accountable owners are governed centrally, supported by training and tooling, validated at handoffs, and integrated with performance management</t>
  </si>
  <si>
    <t>RAC-001|Accountable owners are governed centrally, supported by training and tooling, validated at handoffs, and integrated with performance management</t>
  </si>
  <si>
    <t>REC-RAC-001-L5</t>
  </si>
  <si>
    <t>RAC-001|Not sure</t>
  </si>
  <si>
    <t>REC-RAC-001-NS</t>
  </si>
  <si>
    <t>RAC-001|Not applicable</t>
  </si>
  <si>
    <t>REC-RAC-001-NA</t>
  </si>
  <si>
    <t>RAC-002|The AI Council has no defined role in the RACI; the framework has no clear owner</t>
  </si>
  <si>
    <t>Framework Ownership Gap</t>
  </si>
  <si>
    <t>REC-RAC-002-L1</t>
  </si>
  <si>
    <t>The Council is marked as Consulted only; no role is Accountable for the framework</t>
  </si>
  <si>
    <t>RAC-002|The Council is marked as Consulted only; no role is Accountable for the framework</t>
  </si>
  <si>
    <t>No Framework Accountability</t>
  </si>
  <si>
    <t>Framework accountability is implied but not clearly documented in the RACI</t>
  </si>
  <si>
    <t>RAC-002|Framework accountability is implied but not clearly documented in the RACI</t>
  </si>
  <si>
    <t>REC-RAC-002-L3</t>
  </si>
  <si>
    <t>The AI Council is explicitly Accountable for the AI governance framework, with documented decision rights</t>
  </si>
  <si>
    <t>RAC-002|The AI Council is explicitly Accountable for the AI governance framework, with documented decision rights</t>
  </si>
  <si>
    <t>REC-RAC-002-L4</t>
  </si>
  <si>
    <t>Framework accountability is reviewed annually, supported by performance metrics on framework health, and integrated with strategic and audit reporting</t>
  </si>
  <si>
    <t>RAC-002|Framework accountability is reviewed annually, supported by performance metrics on framework health, and integrated with strategic and audit reporting</t>
  </si>
  <si>
    <t>REC-RAC-002-L5</t>
  </si>
  <si>
    <t>RAC-002|Not sure</t>
  </si>
  <si>
    <t>REC-RAC-002-NS</t>
  </si>
  <si>
    <t>RAC-002|Not applicable</t>
  </si>
  <si>
    <t>REC-RAC-002-NA</t>
  </si>
  <si>
    <t>RAC-003|Legal and Privacy are not consulted before AI moves to production</t>
  </si>
  <si>
    <t>Pre-Production Review Gap</t>
  </si>
  <si>
    <t>REC-RAC-003-L1</t>
  </si>
  <si>
    <t>Legal/Privacy may be consulted informally, but it is not part of the deployment gate</t>
  </si>
  <si>
    <t>RAC-003|Legal/Privacy may be consulted informally, but it is not part of the deployment gate</t>
  </si>
  <si>
    <t>Informal Consultation</t>
  </si>
  <si>
    <t>Legal/Privacy consultation is required but inconsistently applied across teams or risk tiers</t>
  </si>
  <si>
    <t>RAC-003|Legal/Privacy consultation is required but inconsistently applied across teams or risk tiers</t>
  </si>
  <si>
    <t>REC-RAC-003-L3</t>
  </si>
  <si>
    <t>The RACI explicitly requires Legal and Privacy consultation before production deployment, with documented sign-offs</t>
  </si>
  <si>
    <t>RAC-003|The RACI explicitly requires Legal and Privacy consultation before production deployment, with documented sign-offs</t>
  </si>
  <si>
    <t>REC-RAC-003-L4</t>
  </si>
  <si>
    <t>Pre-production review is risk-tiered, supported by tooling and SLA, integrated with deployment automation, and validated through audit</t>
  </si>
  <si>
    <t>RAC-003|Pre-production review is risk-tiered, supported by tooling and SLA, integrated with deployment automation, and validated through audit</t>
  </si>
  <si>
    <t>REC-RAC-003-L5</t>
  </si>
  <si>
    <t>RAC-003|Not sure</t>
  </si>
  <si>
    <t>REC-RAC-003-NS</t>
  </si>
  <si>
    <t>RAC-003|Not applicable</t>
  </si>
  <si>
    <t>REC-RAC-003-NA</t>
  </si>
  <si>
    <t>RAC-004|Run-cost accountability is unassigned; costs become a surprise to whoever notices first</t>
  </si>
  <si>
    <t>Run-Cost Ownership Gap</t>
  </si>
  <si>
    <t>REC-RAC-004-L1</t>
  </si>
  <si>
    <t>Run costs are owned by central IT by default, even when business units drive demand</t>
  </si>
  <si>
    <t>RAC-004|Run costs are owned by central IT by default, even when business units drive demand</t>
  </si>
  <si>
    <t>Misaligned Ownership</t>
  </si>
  <si>
    <t>Some AI solutions have clear run-cost ownership, but practice is inconsistent</t>
  </si>
  <si>
    <t>RAC-004|Some AI solutions have clear run-cost ownership, but practice is inconsistent</t>
  </si>
  <si>
    <t>REC-RAC-004-L3</t>
  </si>
  <si>
    <t>Run-cost accountability is defined in the RACI and assigned to the business unit (or shared) as part of the transition to production</t>
  </si>
  <si>
    <t>RAC-004|Run-cost accountability is defined in the RACI and assigned to the business unit (or shared) as part of the transition to production</t>
  </si>
  <si>
    <t>REC-RAC-004-L4</t>
  </si>
  <si>
    <t>Run-cost accountability is integrated with FinOps, value tracking, and optimization workflows, and is reviewed as part of portfolio governance</t>
  </si>
  <si>
    <t>RAC-004|Run-cost accountability is integrated with FinOps, value tracking, and optimization workflows, and is reviewed as part of portfolio governance</t>
  </si>
  <si>
    <t>REC-RAC-004-L5</t>
  </si>
  <si>
    <t>RAC-004|Not sure</t>
  </si>
  <si>
    <t>REC-RAC-004-NS</t>
  </si>
  <si>
    <t>RAC-004|Not applicable</t>
  </si>
  <si>
    <t>REC-RAC-004-NA</t>
  </si>
  <si>
    <t>RAC-005|No one is clearly responsible for verifying training data lineage or right to use</t>
  </si>
  <si>
    <t>Data Provenance Responsibility Gap</t>
  </si>
  <si>
    <t>REC-RAC-005-L1</t>
  </si>
  <si>
    <t>Responsibility is assumed by the developer with no governance oversight</t>
  </si>
  <si>
    <t>RAC-005|Responsibility is assumed by the developer with no governance oversight</t>
  </si>
  <si>
    <t>Developer-Only Review</t>
  </si>
  <si>
    <t>Responsibility exists but is split unclearly between Data Governance and Data Engineering, leading to confusion</t>
  </si>
  <si>
    <t>RAC-005|Responsibility exists but is split unclearly between Data Governance and Data Engineering, leading to confusion</t>
  </si>
  <si>
    <t>REC-RAC-005-L3</t>
  </si>
  <si>
    <t>The RACI defines clear Responsible and Accountable parties for verifying training data lineage and right to use</t>
  </si>
  <si>
    <t>RAC-005|The RACI defines clear Responsible and Accountable parties for verifying training data lineage and right to use</t>
  </si>
  <si>
    <t>REC-RAC-005-L4</t>
  </si>
  <si>
    <t>Provenance verification is integrated with the data catalog and AI delivery pipeline, supported by automation, and validated through audits</t>
  </si>
  <si>
    <t>RAC-005|Provenance verification is integrated with the data catalog and AI delivery pipeline, supported by automation, and validated through audits</t>
  </si>
  <si>
    <t>REC-RAC-005-L5</t>
  </si>
  <si>
    <t>RAC-005|Not sure</t>
  </si>
  <si>
    <t>REC-RAC-005-NS</t>
  </si>
  <si>
    <t>RAC-005|Not applicable</t>
  </si>
  <si>
    <t>REC-RAC-005-NA</t>
  </si>
  <si>
    <t>RAC-006|Model selection happens informally with no documented responsibility</t>
  </si>
  <si>
    <t>Model Selection Responsibility Gap</t>
  </si>
  <si>
    <t>REC-RAC-006-L1</t>
  </si>
  <si>
    <t>Individual developers choose models with no architecture or governance check</t>
  </si>
  <si>
    <t>RAC-006|Individual developers choose models with no architecture or governance check</t>
  </si>
  <si>
    <t>Developer-Choice Only</t>
  </si>
  <si>
    <t>A standard exists for model selection, but Responsible and Accountable parties are not consistently followed</t>
  </si>
  <si>
    <t>RAC-006|A standard exists for model selection, but Responsible and Accountable parties are not consistently followed</t>
  </si>
  <si>
    <t>REC-RAC-006-L3</t>
  </si>
  <si>
    <t>The RACI assigns Responsibility for model selection (typically Architecture or a CoE) within enterprise standards, with Accountability defined</t>
  </si>
  <si>
    <t>RAC-006|The RACI assigns Responsibility for model selection (typically Architecture or a CoE) within enterprise standards, with Accountability defined</t>
  </si>
  <si>
    <t>REC-RAC-006-L4</t>
  </si>
  <si>
    <t>Model selection is governed, supported by reference patterns and a model catalog, tracked through architecture review, and revisited as new models emerge</t>
  </si>
  <si>
    <t>RAC-006|Model selection is governed, supported by reference patterns and a model catalog, tracked through architecture review, and revisited as new models emerge</t>
  </si>
  <si>
    <t>REC-RAC-006-L5</t>
  </si>
  <si>
    <t>RAC-006|Not sure</t>
  </si>
  <si>
    <t>REC-RAC-006-NS</t>
  </si>
  <si>
    <t>RAC-006|Not applicable</t>
  </si>
  <si>
    <t>REC-RAC-006-NA</t>
  </si>
  <si>
    <t>RAC-007|No one is clearly responsible for system prompts or safety guardrails in generative AI projects</t>
  </si>
  <si>
    <t>Prompt Responsibility Gap</t>
  </si>
  <si>
    <t>REC-RAC-007-L1</t>
  </si>
  <si>
    <t>Either IT or SMEs do this in isolation, leading to either weak guardrails or weak business context</t>
  </si>
  <si>
    <t>RAC-007|Either IT or SMEs do this in isolation, leading to either weak guardrails or weak business context</t>
  </si>
  <si>
    <t>Single-Sided Ownership</t>
  </si>
  <si>
    <t>Responsibility is shared in practice, but the RACI is unclear about who has Accountability</t>
  </si>
  <si>
    <t>RAC-007|Responsibility is shared in practice, but the RACI is unclear about who has Accountability</t>
  </si>
  <si>
    <t>REC-RAC-007-L3</t>
  </si>
  <si>
    <t>The RACI defines joint Responsibility (IT + Business SME) for prompts and guardrails, with clear Accountability</t>
  </si>
  <si>
    <t>RAC-007|The RACI defines joint Responsibility (IT + Business SME) for prompts and guardrails, with clear Accountability</t>
  </si>
  <si>
    <t>REC-RAC-007-L4</t>
  </si>
  <si>
    <t>Prompt and guardrail ownership is supported by versioning, testing, evaluation, and governance review, and continuously improved through monitoring</t>
  </si>
  <si>
    <t>RAC-007|Prompt and guardrail ownership is supported by versioning, testing, evaluation, and governance review, and continuously improved through monitoring</t>
  </si>
  <si>
    <t>REC-RAC-007-L5</t>
  </si>
  <si>
    <t>RAC-007|Not sure</t>
  </si>
  <si>
    <t>REC-RAC-007-NS</t>
  </si>
  <si>
    <t>RAC-007|Not applicable</t>
  </si>
  <si>
    <t>REC-RAC-007-NA</t>
  </si>
  <si>
    <t>RAC-008|Go-live decisions happen ad-hoc, with no defined authority</t>
  </si>
  <si>
    <t>Go-Live Authority Gap</t>
  </si>
  <si>
    <t>REC-RAC-008-L1</t>
  </si>
  <si>
    <t>The developer or product team self-approves go-live without governance gate</t>
  </si>
  <si>
    <t>RAC-008|The developer or product team self-approves go-live without governance gate</t>
  </si>
  <si>
    <t>Self-Approval</t>
  </si>
  <si>
    <t>A go-live authority is defined, but the gate is inconsistently enforced</t>
  </si>
  <si>
    <t>RAC-008|A go-live authority is defined, but the gate is inconsistently enforced</t>
  </si>
  <si>
    <t>REC-RAC-008-L3</t>
  </si>
  <si>
    <t>The RACI defines a clear Responsible party for go-live decisions, with defined gate criteria (bias, safety, performance)</t>
  </si>
  <si>
    <t>RAC-008|The RACI defines a clear Responsible party for go-live decisions, with defined gate criteria (bias, safety, performance)</t>
  </si>
  <si>
    <t>REC-RAC-008-L4</t>
  </si>
  <si>
    <t>Go-live authority is risk-tiered, supported by automated gate checks, audited for consistency, and refreshed as gate criteria evolve</t>
  </si>
  <si>
    <t>RAC-008|Go-live authority is risk-tiered, supported by automated gate checks, audited for consistency, and refreshed as gate criteria evolve</t>
  </si>
  <si>
    <t>REC-RAC-008-L5</t>
  </si>
  <si>
    <t>RAC-008|Not sure</t>
  </si>
  <si>
    <t>REC-RAC-008-NS</t>
  </si>
  <si>
    <t>RAC-008|Not applicable</t>
  </si>
  <si>
    <t>REC-RAC-008-NA</t>
  </si>
  <si>
    <t>RAC-009|No one is clearly responsible for ongoing monitoring; models drift silently</t>
  </si>
  <si>
    <t>Monitoring Responsibility Gap</t>
  </si>
  <si>
    <t>REC-RAC-009-L1</t>
  </si>
  <si>
    <t>The original developer is informally responsible but lacks tooling, time, or authority to act</t>
  </si>
  <si>
    <t>RAC-009|The original developer is informally responsible but lacks tooling, time, or authority to act</t>
  </si>
  <si>
    <t>Tribal Responsibility</t>
  </si>
  <si>
    <t>Responsibility is assigned but inconsistent across teams (some MLOps-led, some developer-led)</t>
  </si>
  <si>
    <t>RAC-009|Responsibility is assigned but inconsistent across teams (some MLOps-led, some developer-led)</t>
  </si>
  <si>
    <t>REC-RAC-009-L3</t>
  </si>
  <si>
    <t>The RACI assigns clear Responsibility for production monitoring (typically MLOps/Engineering) with defined SLAs</t>
  </si>
  <si>
    <t>RAC-009|The RACI assigns clear Responsibility for production monitoring (typically MLOps/Engineering) with defined SLAs</t>
  </si>
  <si>
    <t>REC-RAC-009-L4</t>
  </si>
  <si>
    <t>Monitoring responsibility is risk-tiered, integrated with on-call processes and incident response, and supports automated remediation where appropriate</t>
  </si>
  <si>
    <t>RAC-009|Monitoring responsibility is risk-tiered, integrated with on-call processes and incident response, and supports automated remediation where appropriate</t>
  </si>
  <si>
    <t>REC-RAC-009-L5</t>
  </si>
  <si>
    <t>RAC-009|Not sure</t>
  </si>
  <si>
    <t>REC-RAC-009-NS</t>
  </si>
  <si>
    <t>RAC-009|Not applicable</t>
  </si>
  <si>
    <t>REC-RAC-009-NA</t>
  </si>
  <si>
    <t>RAC-010|Accountability for AI incident remediation is unassigned; response is chaotic</t>
  </si>
  <si>
    <t>Incident Accountability Gap</t>
  </si>
  <si>
    <t>REC-RAC-010-L1</t>
  </si>
  <si>
    <t>Accountability is debated during the incident rather than predefined</t>
  </si>
  <si>
    <t>RAC-010|Accountability is debated during the incident rather than predefined</t>
  </si>
  <si>
    <t>Real-Time Negotiation</t>
  </si>
  <si>
    <t>Accountability is defined but coverage of incident types or escalation steps is incomplete</t>
  </si>
  <si>
    <t>RAC-010|Accountability is defined but coverage of incident types or escalation steps is incomplete</t>
  </si>
  <si>
    <t>REC-RAC-010-L3</t>
  </si>
  <si>
    <t>The RACI defines a clear Accountable party for AI incident remediation and customer/regulator communication</t>
  </si>
  <si>
    <t>RAC-010|The RACI defines a clear Accountable party for AI incident remediation and customer/regulator communication</t>
  </si>
  <si>
    <t>REC-RAC-010-L4</t>
  </si>
  <si>
    <t>Incident accountability is rehearsed through tabletop exercises, integrated with enterprise incident management, supported by playbooks, and continuously improved through lessons learned</t>
  </si>
  <si>
    <t>RAC-010|Incident accountability is rehearsed through tabletop exercises, integrated with enterprise incident management, supported by playbooks, and continuously improved through lessons learned</t>
  </si>
  <si>
    <t>REC-RAC-010-L5</t>
  </si>
  <si>
    <t>RAC-010|Not sure</t>
  </si>
  <si>
    <t>REC-RAC-010-NS</t>
  </si>
  <si>
    <t>RAC-010|Not applicable</t>
  </si>
  <si>
    <t>REC-RAC-010-NA</t>
  </si>
  <si>
    <t>RAC-011|Human reviewers' role is unclear; they may approve outputs without being formally Responsible</t>
  </si>
  <si>
    <t>HITL Role Gap</t>
  </si>
  <si>
    <t>REC-RAC-011-L1</t>
  </si>
  <si>
    <t>Reviewers are marked Informed in practice, with no clear accountability for final output</t>
  </si>
  <si>
    <t>RAC-011|Reviewers are marked Informed in practice, with no clear accountability for final output</t>
  </si>
  <si>
    <t>Informed-Only Reviewers</t>
  </si>
  <si>
    <t>Reviewer role is defined but inconsistently applied across HITL use cases</t>
  </si>
  <si>
    <t>RAC-011|Reviewer role is defined but inconsistently applied across HITL use cases</t>
  </si>
  <si>
    <t>REC-RAC-011-L3</t>
  </si>
  <si>
    <t>The RACI clearly marks human reviewers as Responsible for the final output in HITL use cases</t>
  </si>
  <si>
    <t>RAC-011|The RACI clearly marks human reviewers as Responsible for the final output in HITL use cases</t>
  </si>
  <si>
    <t>REC-RAC-011-L4</t>
  </si>
  <si>
    <t>Reviewer role is reinforced through training, supported by reviewer agreement metrics, integrated with feedback into model improvements, and audited for quality</t>
  </si>
  <si>
    <t>RAC-011|Reviewer role is reinforced through training, supported by reviewer agreement metrics, integrated with feedback into model improvements, and audited for quality</t>
  </si>
  <si>
    <t>REC-RAC-011-L5</t>
  </si>
  <si>
    <t>RAC-011|Not sure</t>
  </si>
  <si>
    <t>REC-RAC-011-NS</t>
  </si>
  <si>
    <t>RAC-011|Not applicable</t>
  </si>
  <si>
    <t>REC-RAC-011-NA</t>
  </si>
  <si>
    <t>RAC-012|No one is responsible for deciding when AI models are stale; outdated models persist</t>
  </si>
  <si>
    <t>Decommissioning Authority Gap</t>
  </si>
  <si>
    <t>REC-RAC-012-L1</t>
  </si>
  <si>
    <t>Decommissioning happens only when problems are escalated; there is no defined authority</t>
  </si>
  <si>
    <t>RAC-012|Decommissioning happens only when problems are escalated; there is no defined authority</t>
  </si>
  <si>
    <t>Issue-Driven Retirement</t>
  </si>
  <si>
    <t>Authority is defined but inconsistently applied across the AI portfolio</t>
  </si>
  <si>
    <t>RAC-012|Authority is defined but inconsistently applied across the AI portfolio</t>
  </si>
  <si>
    <t>REC-RAC-012-L3</t>
  </si>
  <si>
    <t>The RACI assigns Responsibility for decommissioning decisions with defined staleness criteria</t>
  </si>
  <si>
    <t>RAC-012|The RACI assigns Responsibility for decommissioning decisions with defined staleness criteria</t>
  </si>
  <si>
    <t>REC-RAC-012-L4</t>
  </si>
  <si>
    <t>Decommissioning authority is integrated with monitoring signals, supported by tooling, reviewed through portfolio governance, and validated through audits</t>
  </si>
  <si>
    <t>RAC-012|Decommissioning authority is integrated with monitoring signals, supported by tooling, reviewed through portfolio governance, and validated through audits</t>
  </si>
  <si>
    <t>REC-RAC-012-L5</t>
  </si>
  <si>
    <t>RAC-012|Not sure</t>
  </si>
  <si>
    <t>REC-RAC-012-NS</t>
  </si>
  <si>
    <t>RAC-012|Not applicable</t>
  </si>
  <si>
    <t>REC-RAC-012-NA</t>
  </si>
  <si>
    <t>RAC-013|Executives receive no structured updates on AI deployments; awareness is anecdotal</t>
  </si>
  <si>
    <t>Executive Communication Gap</t>
  </si>
  <si>
    <t>REC-RAC-013-L1</t>
  </si>
  <si>
    <t>All AI deployments are reported the same way regardless of risk, leading to noise or blind spots</t>
  </si>
  <si>
    <t>RAC-013|All AI deployments are reported the same way regardless of risk, leading to noise or blind spots</t>
  </si>
  <si>
    <t>Untiered Reporting</t>
  </si>
  <si>
    <t>Risk-tier-based reporting exists but is inconsistent or doesn't reach the right leaders</t>
  </si>
  <si>
    <t>RAC-013|Risk-tier-based reporting exists but is inconsistent or doesn't reach the right leaders</t>
  </si>
  <si>
    <t>REC-RAC-013-L3</t>
  </si>
  <si>
    <t>Executive leaders are informed of AI deployments at a cadence and depth tied to risk tier (e.g., immediate for high-risk, periodic for low-risk)</t>
  </si>
  <si>
    <t>RAC-013|Executive leaders are informed of AI deployments at a cadence and depth tied to risk tier (e.g., immediate for high-risk, periodic for low-risk)</t>
  </si>
  <si>
    <t>REC-RAC-013-L4</t>
  </si>
  <si>
    <t>Executive communication is integrated with governance reporting, supports board-level oversight where appropriate, and is refreshed as risk tiers and regulatory expectations change</t>
  </si>
  <si>
    <t>RAC-013|Executive communication is integrated with governance reporting, supports board-level oversight where appropriate, and is refreshed as risk tiers and regulatory expectations change</t>
  </si>
  <si>
    <t>REC-RAC-013-L5</t>
  </si>
  <si>
    <t>RAC-013|Not sure</t>
  </si>
  <si>
    <t>REC-RAC-013-NS</t>
  </si>
  <si>
    <t>RAC-013|Not applicable</t>
  </si>
  <si>
    <t>REC-RAC-013-NA</t>
  </si>
  <si>
    <t>RAC-014|Responsibility for disclosing AI use to end users is not assigned; disclosure may not happen</t>
  </si>
  <si>
    <t>Disclosure Responsibility Gap</t>
  </si>
  <si>
    <t>REC-RAC-014-L1</t>
  </si>
  <si>
    <t>Disclosure happens informally on a project-by-project basis, with no consistent standard</t>
  </si>
  <si>
    <t>RAC-014|Disclosure happens informally on a project-by-project basis, with no consistent standard</t>
  </si>
  <si>
    <t>Inconsistent Disclosure</t>
  </si>
  <si>
    <t>Disclosure is required but ownership is unclear or coverage is incomplete</t>
  </si>
  <si>
    <t>RAC-014|Disclosure is required but ownership is unclear or coverage is incomplete</t>
  </si>
  <si>
    <t>REC-RAC-014-L3</t>
  </si>
  <si>
    <t>The RACI assigns clear Responsibility for AI disclosure to end users, with required language or notice formats</t>
  </si>
  <si>
    <t>RAC-014|The RACI assigns clear Responsibility for AI disclosure to end users, with required language or notice formats</t>
  </si>
  <si>
    <t>REC-RAC-014-L4</t>
  </si>
  <si>
    <t>Disclosure is risk-tiered, integrated with AI tools and customer-facing systems, validated through audit, and aligned with applicable regulations</t>
  </si>
  <si>
    <t>RAC-014|Disclosure is risk-tiered, integrated with AI tools and customer-facing systems, validated through audit, and aligned with applicable regulations</t>
  </si>
  <si>
    <t>REC-RAC-014-L5</t>
  </si>
  <si>
    <t>RAC-014|Not sure</t>
  </si>
  <si>
    <t>REC-RAC-014-NS</t>
  </si>
  <si>
    <t>RAC-014|Not applicable</t>
  </si>
  <si>
    <t>REC-RAC-014-NA</t>
  </si>
  <si>
    <t>No one is notified or responsible when vendor models change; breaking changes are discovered after impact</t>
  </si>
  <si>
    <t>RAC-015|No one is notified or responsible when vendor models change; breaking changes are discovered after impact</t>
  </si>
  <si>
    <t>Vendor Change Awareness Gap</t>
  </si>
  <si>
    <t>REC-RAC-015-L1</t>
  </si>
  <si>
    <t>Some informal monitoring of vendor changes happens, but no defined RACI</t>
  </si>
  <si>
    <t>RAC-015|Some informal monitoring of vendor changes happens, but no defined RACI</t>
  </si>
  <si>
    <t>Informal Monitoring</t>
  </si>
  <si>
    <t>A process exists but coverage of vendors or response time is inconsistent</t>
  </si>
  <si>
    <t>RAC-015|A process exists but coverage of vendors or response time is inconsistent</t>
  </si>
  <si>
    <t>REC-RAC-015-L3</t>
  </si>
  <si>
    <t>The RACI defines who is Informed and Responsible for vendor model changes, with a documented process for evaluating impact</t>
  </si>
  <si>
    <t>RAC-015|The RACI defines who is Informed and Responsible for vendor model changes, with a documented process for evaluating impact</t>
  </si>
  <si>
    <t>REC-RAC-015-L4</t>
  </si>
  <si>
    <t>RAC-015|Vendor change awareness is automated, integrated with regression testing, supports rapid response to breaking changes, and feeds vendor risk management</t>
  </si>
  <si>
    <t>REC-RAC-015-L5</t>
  </si>
  <si>
    <t>RAC-015|Not sure</t>
  </si>
  <si>
    <t>REC-RAC-015-NS</t>
  </si>
  <si>
    <t>RAC-015|Not applicable</t>
  </si>
  <si>
    <t>REC-RAC-015-NA</t>
  </si>
  <si>
    <t>Trigger Band</t>
  </si>
  <si>
    <t>Recommendation Title</t>
  </si>
  <si>
    <t>Recommended Action</t>
  </si>
  <si>
    <t>Priority</t>
  </si>
  <si>
    <t>Roadmap Horizon</t>
  </si>
  <si>
    <t>L1</t>
  </si>
  <si>
    <t>Establish baseline AI Executive Accountability</t>
  </si>
  <si>
    <t>AI Executive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</si>
  <si>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High</t>
  </si>
  <si>
    <t>0-3 months</t>
  </si>
  <si>
    <t>L3</t>
  </si>
  <si>
    <t>Formalize and standardize AI Executive Accountability</t>
  </si>
  <si>
    <t>AI Executive Accountability exists in partial form. Document standards, decision rights, and review cadence; ensure consistent application across the AI portfolio and close coverage gaps for in-scope use cases or teams.</t>
  </si>
  <si>
    <t>Medium</t>
  </si>
  <si>
    <t>3-6 months</t>
  </si>
  <si>
    <t>L4</t>
  </si>
  <si>
    <t>Integrate AI Executive Accountability into the operating model</t>
  </si>
  <si>
    <t>AI Executive Accountability is mature. Strengthen by embedding it into delivery, monitoring, and governance processes; tie outcomes to measurable KPIs and assigned owners; align with the AI risk tier and regulatory context.</t>
  </si>
  <si>
    <t>6-12 months</t>
  </si>
  <si>
    <t>L5</t>
  </si>
  <si>
    <t>Sustain and continuously improve AI Executive Accountability</t>
  </si>
  <si>
    <t>AI Executive Accountability is optimized. Maintain through scheduled review, internal/external benchmarking, and refinement based on incidents, audit findings, and emerging practices. Re-evaluate as the AI portfolio, regulations, and capabilities evolve.</t>
  </si>
  <si>
    <t>Low</t>
  </si>
  <si>
    <t>12+ months</t>
  </si>
  <si>
    <t>NS</t>
  </si>
  <si>
    <t>Close awareness gap on AI Executive Accountability</t>
  </si>
  <si>
    <t>The respondent is unsure of the current state. Engage relevant stakeholders (governance, delivery, business sponsors) to confirm, document, and communicate the current state of AI Executive Accountability; treat as an awareness gap to address before scoring this capability.</t>
  </si>
  <si>
    <t>NA</t>
  </si>
  <si>
    <t>Validate applicability of AI Executive Accountability</t>
  </si>
  <si>
    <t>The respondent indicated AI Executive Accountability is not applicable. Validate with the consultant whether scope, context, or question wording should be adjusted; confirm there are no risk implications of treating this capability as out of scope.</t>
  </si>
  <si>
    <t>Out of band</t>
  </si>
  <si>
    <t>Establish baseline Cross-Functional AI Governance</t>
  </si>
  <si>
    <t>Cross-Functional AI Governance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</si>
  <si>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Cross-Functional AI Governance</t>
  </si>
  <si>
    <t>Cross-Functional AI Governance exists in partial form. Document standards, decision rights, and review cadence; ensure consistent application across the AI portfolio and close coverage gaps for in-scope use cases or teams.</t>
  </si>
  <si>
    <t>Integrate Cross-Functional AI Governance into the operating model</t>
  </si>
  <si>
    <t>Cross-Functional AI Governance is mature. Strengthen by embedding it into delivery, monitoring, and governance processes; tie outcomes to measurable KPIs and assigned owners; align with the AI risk tier and regulatory context.</t>
  </si>
  <si>
    <t>Sustain and continuously improve Cross-Functional AI Governance</t>
  </si>
  <si>
    <t>Cross-Functional AI Governance is optimized. Maintain through scheduled review, internal/external benchmarking, and refinement based on incidents, audit findings, and emerging practices. Re-evaluate as the AI portfolio, regulations, and capabilities evolve.</t>
  </si>
  <si>
    <t>Close awareness gap on Cross-Functional AI Governance</t>
  </si>
  <si>
    <t>The respondent is unsure of the current state. Engage relevant stakeholders (governance, delivery, business sponsors) to confirm, document, and communicate the current state of Cross-Functional AI Governance; treat as an awareness gap to address before scoring this capability.</t>
  </si>
  <si>
    <t>Validate applicability of Cross-Functional AI Governance</t>
  </si>
  <si>
    <t>The respondent indicated Cross-Functional AI Governance is not applicable. Validate with the consultant whether scope, context, or question wording should be adjusted; confirm there are no risk implications of treating this capability as out of scope.</t>
  </si>
  <si>
    <t>Establish baseline Governance Authority and Decision Rights</t>
  </si>
  <si>
    <t>Governance Authority and Decision Rights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</si>
  <si>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Governance Authority and Decision Rights</t>
  </si>
  <si>
    <t>Governance Authority and Decision Rights exists in partial form. Document standards, decision rights, and review cadence; ensure consistent application across the AI portfolio and close coverage gaps for in-scope use cases or teams.</t>
  </si>
  <si>
    <t>Integrate Governance Authority and Decision Rights into the operating model</t>
  </si>
  <si>
    <t>Governance Authority and Decision Rights is mature. Strengthen by embedding it into delivery, monitoring, and governance processes; tie outcomes to measurable KPIs and assigned owners; align with the AI risk tier and regulatory context.</t>
  </si>
  <si>
    <t>Sustain and continuously improve Governance Authority and Decision Rights</t>
  </si>
  <si>
    <t>Governance Authority and Decision Rights is optimized. Maintain through scheduled review, internal/external benchmarking, and refinement based on incidents, audit findings, and emerging practices. Re-evaluate as the AI portfolio, regulations, and capabilities evolve.</t>
  </si>
  <si>
    <t>Close awareness gap on Governance Authority and Decision Rights</t>
  </si>
  <si>
    <t>The respondent is unsure of the current state. Engage relevant stakeholders (governance, delivery, business sponsors) to confirm, document, and communicate the current state of Governance Authority and Decision Rights; treat as an awareness gap to address before scoring this capability.</t>
  </si>
  <si>
    <t>Validate applicability of Governance Authority and Decision Rights</t>
  </si>
  <si>
    <t>The respondent indicated Governance Authority and Decision Rights is not applicable. Validate with the consultant whether scope, context, or question wording should be adjusted; confirm there are no risk implications of treating this capability as out of scope.</t>
  </si>
  <si>
    <t>Establish baseline Governance Cadence and Responsiveness</t>
  </si>
  <si>
    <t>Governance Cadence and Responsiveness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</si>
  <si>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Governance Cadence and Responsiveness</t>
  </si>
  <si>
    <t>Governance Cadence and Responsiveness exists in partial form. Document standards, decision rights, and review cadence; ensure consistent application across the AI portfolio and close coverage gaps for in-scope use cases or teams.</t>
  </si>
  <si>
    <t>Integrate Governance Cadence and Responsiveness into the operating model</t>
  </si>
  <si>
    <t>Governance Cadence and Responsiveness is mature. Strengthen by embedding it into delivery, monitoring, and governance processes; tie outcomes to measurable KPIs and assigned owners; align with the AI risk tier and regulatory context.</t>
  </si>
  <si>
    <t>Sustain and continuously improve Governance Cadence and Responsiveness</t>
  </si>
  <si>
    <t>Governance Cadence and Responsiveness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</si>
  <si>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Governance Cadence and Responsiveness</t>
  </si>
  <si>
    <t>The respondent is unsure of the current state. Engage relevant stakeholders (governance, delivery, business sponsors) to confirm, document, and communicate the current state of Governance Cadence and Responsiveness; treat as an awareness gap to address before scoring this capability.</t>
  </si>
  <si>
    <t>Validate applicability of Governance Cadence and Responsiveness</t>
  </si>
  <si>
    <t>The respondent indicated Governance Cadence and Responsiveness is not applicable. Validate with the consultant whether scope, context, or question wording should be adjusted; confirm there are no risk implications of treating this capability as out of scope.</t>
  </si>
  <si>
    <t>Establish baseline AI Risk Escalation and Tie-Breaking</t>
  </si>
  <si>
    <t>AI Risk Escalation and Tie-Breaking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</si>
  <si>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Risk Escalation and Tie-Breaking</t>
  </si>
  <si>
    <t>AI Risk Escalation and Tie-Breaking exists in partial form. Document standards, decision rights, and review cadence; ensure consistent application across the AI portfolio and close coverage gaps for in-scope use cases or teams.</t>
  </si>
  <si>
    <t>Integrate AI Risk Escalation and Tie-Breaking into the operating model</t>
  </si>
  <si>
    <t>AI Risk Escalation and Tie-Breaking is mature. Strengthen by embedding it into delivery, monitoring, and governance processes; tie outcomes to measurable KPIs and assigned owners; align with the AI risk tier and regulatory context.</t>
  </si>
  <si>
    <t>Sustain and continuously improve AI Risk Escalation and Tie-Breaking</t>
  </si>
  <si>
    <t>AI Risk Escalation and Tie-Breaking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</si>
  <si>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Risk Escalation and Tie-Breaking</t>
  </si>
  <si>
    <t>The respondent is unsure of the current state. Engage relevant stakeholders (governance, delivery, business sponsors) to confirm, document, and communicate the current state of AI Risk Escalation and Tie-Breaking; treat as an awareness gap to address before scoring this capability.</t>
  </si>
  <si>
    <t>Validate applicability of AI Risk Escalation and Tie-Breaking</t>
  </si>
  <si>
    <t>The respondent indicated AI Risk Escalation and Tie-Breaking is not applicable. Validate with the consultant whether scope, context, or question wording should be adjusted; confirm there are no risk implications of treating this capability as out of scope.</t>
  </si>
  <si>
    <t>Establish baseline AI Risk Classification</t>
  </si>
  <si>
    <t>AI Risk Classification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</si>
  <si>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Risk Classification</t>
  </si>
  <si>
    <t>AI Risk Classification exists in partial form. Document standards, decision rights, and review cadence; ensure consistent application across the AI portfolio and close coverage gaps for in-scope use cases or teams.</t>
  </si>
  <si>
    <t>Integrate AI Risk Classification into the operating model</t>
  </si>
  <si>
    <t>AI Risk Classification is mature. Strengthen by embedding it into delivery, monitoring, and governance processes; tie outcomes to measurable KPIs and assigned owners; align with the AI risk tier and regulatory context.</t>
  </si>
  <si>
    <t>Sustain and continuously improve AI Risk Classification</t>
  </si>
  <si>
    <t>AI Risk Classification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</si>
  <si>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Risk Classification</t>
  </si>
  <si>
    <t>The respondent is unsure of the current state. Engage relevant stakeholders (governance, delivery, business sponsors) to confirm, document, and communicate the current state of AI Risk Classification; treat as an awareness gap to address before scoring this capability.</t>
  </si>
  <si>
    <t>Validate applicability of AI Risk Classification</t>
  </si>
  <si>
    <t>The respondent indicated AI Risk Classification is not applicable. Validate with the consultant whether scope, context, or question wording should be adjusted; confirm there are no risk implications of treating this capability as out of scope.</t>
  </si>
  <si>
    <t>Establish baseline Responsible AI Standards and Metrics</t>
  </si>
  <si>
    <t>Responsible AI Standards and Metrics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</si>
  <si>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Responsible AI Standards and Metrics</t>
  </si>
  <si>
    <t>Responsible AI Standards and Metrics exists in partial form. Document standards, decision rights, and review cadence; ensure consistent application across the AI portfolio and close coverage gaps for in-scope use cases or teams.</t>
  </si>
  <si>
    <t>Integrate Responsible AI Standards and Metrics into the operating model</t>
  </si>
  <si>
    <t>Responsible AI Standards and Metrics is mature. Strengthen by embedding it into delivery, monitoring, and governance processes; tie outcomes to measurable KPIs and assigned owners; align with the AI risk tier and regulatory context.</t>
  </si>
  <si>
    <t>Sustain and continuously improve Responsible AI Standards and Metrics</t>
  </si>
  <si>
    <t>Responsible AI Standards and Metrics is optimized. Maintain through scheduled review, internal/external benchmarking, and refinement based on incidents, audit findings, and emerging practices. Re-evaluate as the AI portfolio, regulations, and capabilities evolve.</t>
  </si>
  <si>
    <t>Close awareness gap on Responsible AI Standards and Metrics</t>
  </si>
  <si>
    <t>The respondent is unsure of the current state. Engage relevant stakeholders (governance, delivery, business sponsors) to confirm, document, and communicate the current state of Responsible AI Standards and Metrics; treat as an awareness gap to address before scoring this capability.</t>
  </si>
  <si>
    <t>Validate applicability of Responsible AI Standards and Metrics</t>
  </si>
  <si>
    <t>The respondent indicated Responsible AI Standards and Metrics is not applicable. Validate with the consultant whether scope, context, or question wording should be adjusted; confirm there are no risk implications of treating this capability as out of scope.</t>
  </si>
  <si>
    <t>Establish baseline Shadow AI Management</t>
  </si>
  <si>
    <t>Shadow AI Management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</si>
  <si>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Shadow AI Management</t>
  </si>
  <si>
    <t>Shadow AI Management exists in partial form. Document standards, decision rights, and review cadence; ensure consistent application across the AI portfolio and close coverage gaps for in-scope use cases or teams.</t>
  </si>
  <si>
    <t>Integrate Shadow AI Management into the operating model</t>
  </si>
  <si>
    <t>Shadow AI Management is mature. Strengthen by embedding it into delivery, monitoring, and governance processes; tie outcomes to measurable KPIs and assigned owners; align with the AI risk tier and regulatory context.</t>
  </si>
  <si>
    <t>Sustain and continuously improve Shadow AI Management</t>
  </si>
  <si>
    <t>Shadow AI Management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</si>
  <si>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Shadow AI Management</t>
  </si>
  <si>
    <t>The respondent is unsure of the current state. Engage relevant stakeholders (governance, delivery, business sponsors) to confirm, document, and communicate the current state of Shadow AI Management; treat as an awareness gap to address before scoring this capability.</t>
  </si>
  <si>
    <t>Validate applicability of Shadow AI Management</t>
  </si>
  <si>
    <t>The respondent indicated Shadow AI Management is not applicable. Validate with the consultant whether scope, context, or question wording should be adjusted; confirm there are no risk implications of treating this capability as out of scope.</t>
  </si>
  <si>
    <t>Establish baseline AI Documentation and Deployment Readiness</t>
  </si>
  <si>
    <t>AI Documentation and Deployment Readiness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</si>
  <si>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Documentation and Deployment Readiness</t>
  </si>
  <si>
    <t>AI Documentation and Deployment Readiness exists in partial form. Document standards, decision rights, and review cadence; ensure consistent application across the AI portfolio and close coverage gaps for in-scope use cases or teams.</t>
  </si>
  <si>
    <t>Integrate AI Documentation and Deployment Readiness into the operating model</t>
  </si>
  <si>
    <t>AI Documentation and Deployment Readiness is mature. Strengthen by embedding it into delivery, monitoring, and governance processes; tie outcomes to measurable KPIs and assigned owners; align with the AI risk tier and regulatory context.</t>
  </si>
  <si>
    <t>Sustain and continuously improve AI Documentation and Deployment Readiness</t>
  </si>
  <si>
    <t>AI Documentation and Deployment Readiness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</si>
  <si>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Documentation and Deployment Readiness</t>
  </si>
  <si>
    <t>The respondent is unsure of the current state. Engage relevant stakeholders (governance, delivery, business sponsors) to confirm, document, and communicate the current state of AI Documentation and Deployment Readiness; treat as an awareness gap to address before scoring this capability.</t>
  </si>
  <si>
    <t>Validate applicability of AI Documentation and Deployment Readiness</t>
  </si>
  <si>
    <t>The respondent indicated AI Documentation and Deployment Readiness is not applicable. Validate with the consultant whether scope, context, or question wording should be adjusted; confirm there are no risk implications of treating this capability as out of scope.</t>
  </si>
  <si>
    <t>Establish baseline Regulatory and Standards Alignment</t>
  </si>
  <si>
    <t>Regulatory and Standards Alignment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</si>
  <si>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Regulatory and Standards Alignment</t>
  </si>
  <si>
    <t>Regulatory and Standards Alignment exists in partial form. Document standards, decision rights, and review cadence; ensure consistent application across the AI portfolio and close coverage gaps for in-scope use cases or teams.</t>
  </si>
  <si>
    <t>Integrate Regulatory and Standards Alignment into the operating model</t>
  </si>
  <si>
    <t>Regulatory and Standards Alignment is mature. Strengthen by embedding it into delivery, monitoring, and governance processes; tie outcomes to measurable KPIs and assigned owners; align with the AI risk tier and regulatory context.</t>
  </si>
  <si>
    <t>Sustain and continuously improve Regulatory and Standards Alignment</t>
  </si>
  <si>
    <t>Regulatory and Standards Alignment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</si>
  <si>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Regulatory and Standards Alignment</t>
  </si>
  <si>
    <t>The respondent is unsure of the current state. Engage relevant stakeholders (governance, delivery, business sponsors) to confirm, document, and communicate the current state of Regulatory and Standards Alignment; treat as an awareness gap to address before scoring this capability.</t>
  </si>
  <si>
    <t>Validate applicability of Regulatory and Standards Alignment</t>
  </si>
  <si>
    <t>The respondent indicated Regulatory and Standards Alignment is not applicable. Validate with the consultant whether scope, context, or question wording should be adjusted; confirm there are no risk implications of treating this capability as out of scope.</t>
  </si>
  <si>
    <t>Establish baseline AI Asset Inventory</t>
  </si>
  <si>
    <t>AI Asset Inventory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</si>
  <si>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Asset Inventory</t>
  </si>
  <si>
    <t>AI Asset Inventory exists in partial form. Document standards, decision rights, and review cadence; ensure consistent application across the AI portfolio and close coverage gaps for in-scope use cases or teams.</t>
  </si>
  <si>
    <t>Integrate AI Asset Inventory into the operating model</t>
  </si>
  <si>
    <t>AI Asset Inventory is mature. Strengthen by embedding it into delivery, monitoring, and governance processes; tie outcomes to measurable KPIs and assigned owners; align with the AI risk tier and regulatory context.</t>
  </si>
  <si>
    <t>Sustain and continuously improve AI Asset Inventory</t>
  </si>
  <si>
    <t>AI Asset Inventory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</si>
  <si>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Asset Inventory</t>
  </si>
  <si>
    <t>The respondent is unsure of the current state. Engage relevant stakeholders (governance, delivery, business sponsors) to confirm, document, and communicate the current state of AI Asset Inventory; treat as an awareness gap to address before scoring this capability.</t>
  </si>
  <si>
    <t>Validate applicability of AI Asset Inventory</t>
  </si>
  <si>
    <t>The respondent indicated AI Asset Inventory is not applicable. Validate with the consultant whether scope, context, or question wording should be adjusted; confirm there are no risk implications of treating this capability as out of scope.</t>
  </si>
  <si>
    <t>Establish baseline Third-Party AI Risk</t>
  </si>
  <si>
    <t>Third-Party AI Risk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</si>
  <si>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Third-Party AI Risk</t>
  </si>
  <si>
    <t>Third-Party AI Risk exists in partial form. Document standards, decision rights, and review cadence; ensure consistent application across the AI portfolio and close coverage gaps for in-scope use cases or teams.</t>
  </si>
  <si>
    <t>Integrate Third-Party AI Risk into the operating model</t>
  </si>
  <si>
    <t>Third-Party AI Risk is mature. Strengthen by embedding it into delivery, monitoring, and governance processes; tie outcomes to measurable KPIs and assigned owners; align with the AI risk tier and regulatory context.</t>
  </si>
  <si>
    <t>Sustain and continuously improve Third-Party AI Risk</t>
  </si>
  <si>
    <t>Third-Party AI Risk is optimized. Maintain through scheduled review, internal/external benchmarking, and refinement based on incidents, audit findings, and emerging practices. Re-evaluate as the AI portfolio, regulations, and capabilities evolve.</t>
  </si>
  <si>
    <t>Close awareness gap on Third-Party AI Risk</t>
  </si>
  <si>
    <t>The respondent is unsure of the current state. Engage relevant stakeholders (governance, delivery, business sponsors) to confirm, document, and communicate the current state of Third-Party AI Risk; treat as an awareness gap to address before scoring this capability.</t>
  </si>
  <si>
    <t>Validate applicability of Third-Party AI Risk</t>
  </si>
  <si>
    <t>The respondent indicated Third-Party AI Risk is not applicable. Validate with the consultant whether scope, context, or question wording should be adjusted; confirm there are no risk implications of treating this capability as out of scope.</t>
  </si>
  <si>
    <t>Establish baseline Post-Deployment Monitoring</t>
  </si>
  <si>
    <t>Post-Deployment Monitoring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</si>
  <si>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Post-Deployment Monitoring</t>
  </si>
  <si>
    <t>Post-Deployment Monitoring exists in partial form. Document standards, decision rights, and review cadence; ensure consistent application across the AI portfolio and close coverage gaps for in-scope use cases or teams.</t>
  </si>
  <si>
    <t>Integrate Post-Deployment Monitoring into the operating model</t>
  </si>
  <si>
    <t>Post-Deployment Monitoring is mature. Strengthen by embedding it into delivery, monitoring, and governance processes; tie outcomes to measurable KPIs and assigned owners; align with the AI risk tier and regulatory context.</t>
  </si>
  <si>
    <t>Sustain and continuously improve Post-Deployment Monitoring</t>
  </si>
  <si>
    <t>Post-Deployment Monitoring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</si>
  <si>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Post-Deployment Monitoring</t>
  </si>
  <si>
    <t>The respondent is unsure of the current state. Engage relevant stakeholders (governance, delivery, business sponsors) to confirm, document, and communicate the current state of Post-Deployment Monitoring; treat as an awareness gap to address before scoring this capability.</t>
  </si>
  <si>
    <t>Validate applicability of Post-Deployment Monitoring</t>
  </si>
  <si>
    <t>The respondent indicated Post-Deployment Monitoring is not applicable. Validate with the consultant whether scope, context, or question wording should be adjusted; confirm there are no risk implications of treating this capability as out of scope.</t>
  </si>
  <si>
    <t>Establish baseline AI Incident Response and Containment</t>
  </si>
  <si>
    <t>AI Incident Response and Containment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</si>
  <si>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Incident Response and Containment</t>
  </si>
  <si>
    <t>AI Incident Response and Containment exists in partial form. Document standards, decision rights, and review cadence; ensure consistent application across the AI portfolio and close coverage gaps for in-scope use cases or teams.</t>
  </si>
  <si>
    <t>Integrate AI Incident Response and Containment into the operating model</t>
  </si>
  <si>
    <t>AI Incident Response and Containment is mature. Strengthen by embedding it into delivery, monitoring, and governance processes; tie outcomes to measurable KPIs and assigned owners; align with the AI risk tier and regulatory context.</t>
  </si>
  <si>
    <t>Sustain and continuously improve AI Incident Response and Containment</t>
  </si>
  <si>
    <t>AI Incident Response and Containment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</si>
  <si>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Incident Response and Containment</t>
  </si>
  <si>
    <t>The respondent is unsure of the current state. Engage relevant stakeholders (governance, delivery, business sponsors) to confirm, document, and communicate the current state of AI Incident Response and Containment; treat as an awareness gap to address before scoring this capability.</t>
  </si>
  <si>
    <t>Validate applicability of AI Incident Response and Containment</t>
  </si>
  <si>
    <t>The respondent indicated AI Incident Response and Containment is not applicable. Validate with the consultant whether scope, context, or question wording should be adjusted; confirm there are no risk implications of treating this capability as out of scope.</t>
  </si>
  <si>
    <t>Establish baseline Governance Funding and Capacity</t>
  </si>
  <si>
    <t>Governance Funding and Capacity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</si>
  <si>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Governance Funding and Capacity</t>
  </si>
  <si>
    <t>Governance Funding and Capacity exists in partial form. Document standards, decision rights, and review cadence; ensure consistent application across the AI portfolio and close coverage gaps for in-scope use cases or teams.</t>
  </si>
  <si>
    <t>Integrate Governance Funding and Capacity into the operating model</t>
  </si>
  <si>
    <t>Governance Funding and Capacity is mature. Strengthen by embedding it into delivery, monitoring, and governance processes; tie outcomes to measurable KPIs and assigned owners; align with the AI risk tier and regulatory context.</t>
  </si>
  <si>
    <t>Sustain and continuously improve Governance Funding and Capacity</t>
  </si>
  <si>
    <t>Governance Funding and Capacity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</si>
  <si>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Governance Funding and Capacity</t>
  </si>
  <si>
    <t>The respondent is unsure of the current state. Engage relevant stakeholders (governance, delivery, business sponsors) to confirm, document, and communicate the current state of Governance Funding and Capacity; treat as an awareness gap to address before scoring this capability.</t>
  </si>
  <si>
    <t>Validate applicability of Governance Funding and Capacity</t>
  </si>
  <si>
    <t>The respondent indicated Governance Funding and Capacity is not applicable. Validate with the consultant whether scope, context, or question wording should be adjusted; confirm there are no risk implications of treating this capability as out of scope.</t>
  </si>
  <si>
    <t>Establish baseline Executive AI Literacy</t>
  </si>
  <si>
    <t>Executive AI Literacy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</si>
  <si>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Executive AI Literacy</t>
  </si>
  <si>
    <t>Executive AI Literacy exists in partial form. Document standards, decision rights, and review cadence; ensure consistent application across the AI portfolio and close coverage gaps for in-scope use cases or teams.</t>
  </si>
  <si>
    <t>Integrate Executive AI Literacy into the operating model</t>
  </si>
  <si>
    <t>Executive AI Literacy is mature. Strengthen by embedding it into delivery, monitoring, and governance processes; tie outcomes to measurable KPIs and assigned owners; align with the AI risk tier and regulatory context.</t>
  </si>
  <si>
    <t>Sustain and continuously improve Executive AI Literacy</t>
  </si>
  <si>
    <t>Executive AI Literacy is optimized. Maintain through scheduled review, internal/external benchmarking, and refinement based on incidents, audit findings, and emerging practices. Re-evaluate as the AI portfolio, regulations, and capabilities evolve.</t>
  </si>
  <si>
    <t>Close awareness gap on Executive AI Literacy</t>
  </si>
  <si>
    <t>The respondent is unsure of the current state. Engage relevant stakeholders (governance, delivery, business sponsors) to confirm, document, and communicate the current state of Executive AI Literacy; treat as an awareness gap to address before scoring this capability.</t>
  </si>
  <si>
    <t>Validate applicability of Executive AI Literacy</t>
  </si>
  <si>
    <t>The respondent indicated Executive AI Literacy is not applicable. Validate with the consultant whether scope, context, or question wording should be adjusted; confirm there are no risk implications of treating this capability as out of scope.</t>
  </si>
  <si>
    <t>Establish baseline Incentives and Performance Management</t>
  </si>
  <si>
    <t>Incentives and Performance Management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</si>
  <si>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Incentives and Performance Management</t>
  </si>
  <si>
    <t>Incentives and Performance Management exists in partial form. Document standards, decision rights, and review cadence; ensure consistent application across the AI portfolio and close coverage gaps for in-scope use cases or teams.</t>
  </si>
  <si>
    <t>Integrate Incentives and Performance Management into the operating model</t>
  </si>
  <si>
    <t>Incentives and Performance Management is mature. Strengthen by embedding it into delivery, monitoring, and governance processes; tie outcomes to measurable KPIs and assigned owners; align with the AI risk tier and regulatory context.</t>
  </si>
  <si>
    <t>Sustain and continuously improve Incentives and Performance Management</t>
  </si>
  <si>
    <t>Incentives and Performance Management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</si>
  <si>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Incentives and Performance Management</t>
  </si>
  <si>
    <t>The respondent is unsure of the current state. Engage relevant stakeholders (governance, delivery, business sponsors) to confirm, document, and communicate the current state of Incentives and Performance Management; treat as an awareness gap to address before scoring this capability.</t>
  </si>
  <si>
    <t>Validate applicability of Incentives and Performance Management</t>
  </si>
  <si>
    <t>The respondent indicated Incentives and Performance Management is not applicable. Validate with the consultant whether scope, context, or question wording should be adjusted; confirm there are no risk implications of treating this capability as out of scope.</t>
  </si>
  <si>
    <t>Establish baseline Speak-Up Culture for AI Risk</t>
  </si>
  <si>
    <t>Speak-Up Culture for AI Risk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</si>
  <si>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Speak-Up Culture for AI Risk</t>
  </si>
  <si>
    <t>Speak-Up Culture for AI Risk exists in partial form. Document standards, decision rights, and review cadence; ensure consistent application across the AI portfolio and close coverage gaps for in-scope use cases or teams.</t>
  </si>
  <si>
    <t>Integrate Speak-Up Culture for AI Risk into the operating model</t>
  </si>
  <si>
    <t>Speak-Up Culture for AI Risk is mature. Strengthen by embedding it into delivery, monitoring, and governance processes; tie outcomes to measurable KPIs and assigned owners; align with the AI risk tier and regulatory context.</t>
  </si>
  <si>
    <t>Sustain and continuously improve Speak-Up Culture for AI Risk</t>
  </si>
  <si>
    <t>Speak-Up Culture for AI Risk is optimized. Maintain through scheduled review, internal/external benchmarking, and refinement based on incidents, audit findings, and emerging practices. Re-evaluate as the AI portfolio, regulations, and capabilities evolve.</t>
  </si>
  <si>
    <t>Close awareness gap on Speak-Up Culture for AI Risk</t>
  </si>
  <si>
    <t>The respondent is unsure of the current state. Engage relevant stakeholders (governance, delivery, business sponsors) to confirm, document, and communicate the current state of Speak-Up Culture for AI Risk; treat as an awareness gap to address before scoring this capability.</t>
  </si>
  <si>
    <t>Validate applicability of Speak-Up Culture for AI Risk</t>
  </si>
  <si>
    <t>The respondent indicated Speak-Up Culture for AI Risk is not applicable. Validate with the consultant whether scope, context, or question wording should be adjusted; confirm there are no risk implications of treating this capability as out of scope.</t>
  </si>
  <si>
    <t>Establish baseline AI Business Value Articulation</t>
  </si>
  <si>
    <t>AI Business Value Articulation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</si>
  <si>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Business Value Articulation</t>
  </si>
  <si>
    <t>AI Business Value Articulation exists in partial form. Document standards, decision rights, and review cadence; ensure consistent application across the AI portfolio and close coverage gaps for in-scope use cases or teams.</t>
  </si>
  <si>
    <t>Integrate AI Business Value Articulation into the operating model</t>
  </si>
  <si>
    <t>AI Business Value Articulation is mature. Strengthen by embedding it into delivery, monitoring, and governance processes; tie outcomes to measurable KPIs and assigned owners; align with the AI risk tier and regulatory context.</t>
  </si>
  <si>
    <t>Sustain and continuously improve AI Business Value Articulation</t>
  </si>
  <si>
    <t>AI Business Value Articulation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</si>
  <si>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Business Value Articulation</t>
  </si>
  <si>
    <t>The respondent is unsure of the current state. Engage relevant stakeholders (governance, delivery, business sponsors) to confirm, document, and communicate the current state of AI Business Value Articulation; treat as an awareness gap to address before scoring this capability.</t>
  </si>
  <si>
    <t>Validate applicability of AI Business Value Articulation</t>
  </si>
  <si>
    <t>The respondent indicated AI Business Value Articulation is not applicable. Validate with the consultant whether scope, context, or question wording should be adjusted; confirm there are no risk implications of treating this capability as out of scope.</t>
  </si>
  <si>
    <t>Establish baseline AI Sourcing Strategy</t>
  </si>
  <si>
    <t>AI Sourcing Strategy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</si>
  <si>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Sourcing Strategy</t>
  </si>
  <si>
    <t>AI Sourcing Strategy exists in partial form. Document standards, decision rights, and review cadence; ensure consistent application across the AI portfolio and close coverage gaps for in-scope use cases or teams.</t>
  </si>
  <si>
    <t>Integrate AI Sourcing Strategy into the operating model</t>
  </si>
  <si>
    <t>AI Sourcing Strategy is mature. Strengthen by embedding it into delivery, monitoring, and governance processes; tie outcomes to measurable KPIs and assigned owners; align with the AI risk tier and regulatory context.</t>
  </si>
  <si>
    <t>Sustain and continuously improve AI Sourcing Strategy</t>
  </si>
  <si>
    <t>AI Sourcing Strategy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</si>
  <si>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Sourcing Strategy</t>
  </si>
  <si>
    <t>The respondent is unsure of the current state. Engage relevant stakeholders (governance, delivery, business sponsors) to confirm, document, and communicate the current state of AI Sourcing Strategy; treat as an awareness gap to address before scoring this capability.</t>
  </si>
  <si>
    <t>Validate applicability of AI Sourcing Strategy</t>
  </si>
  <si>
    <t>The respondent indicated AI Sourcing Strategy is not applicable. Validate with the consultant whether scope, context, or question wording should be adjusted; confirm there are no risk implications of treating this capability as out of scope.</t>
  </si>
  <si>
    <t>Establish baseline AI Competitive Strategy</t>
  </si>
  <si>
    <t>AI Competitive Strategy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</si>
  <si>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Competitive Strategy</t>
  </si>
  <si>
    <t>AI Competitive Strategy exists in partial form. Document standards, decision rights, and review cadence; ensure consistent application across the AI portfolio and close coverage gaps for in-scope use cases or teams.</t>
  </si>
  <si>
    <t>Integrate AI Competitive Strategy into the operating model</t>
  </si>
  <si>
    <t>AI Competitive Strategy is mature. Strengthen by embedding it into delivery, monitoring, and governance processes; tie outcomes to measurable KPIs and assigned owners; align with the AI risk tier and regulatory context.</t>
  </si>
  <si>
    <t>Sustain and continuously improve AI Competitive Strategy</t>
  </si>
  <si>
    <t>AI Competitive Strategy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</si>
  <si>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Competitive Strategy</t>
  </si>
  <si>
    <t>The respondent is unsure of the current state. Engage relevant stakeholders (governance, delivery, business sponsors) to confirm, document, and communicate the current state of AI Competitive Strategy; treat as an awareness gap to address before scoring this capability.</t>
  </si>
  <si>
    <t>Validate applicability of AI Competitive Strategy</t>
  </si>
  <si>
    <t>The respondent indicated AI Competitive Strategy is not applicable. Validate with the consultant whether scope, context, or question wording should be adjusted; confirm there are no risk implications of treating this capability as out of scope.</t>
  </si>
  <si>
    <t>Establish baseline AI Portfolio Balance</t>
  </si>
  <si>
    <t>AI Portfolio Balance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</si>
  <si>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Portfolio Balance</t>
  </si>
  <si>
    <t>AI Portfolio Balance exists in partial form. Document standards, decision rights, and review cadence; ensure consistent application across the AI portfolio and close coverage gaps for in-scope use cases or teams.</t>
  </si>
  <si>
    <t>Integrate AI Portfolio Balance into the operating model</t>
  </si>
  <si>
    <t>AI Portfolio Balance is mature. Strengthen by embedding it into delivery, monitoring, and governance processes; tie outcomes to measurable KPIs and assigned owners; align with the AI risk tier and regulatory context.</t>
  </si>
  <si>
    <t>Sustain and continuously improve AI Portfolio Balance</t>
  </si>
  <si>
    <t>AI Portfolio Balance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</si>
  <si>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Portfolio Balance</t>
  </si>
  <si>
    <t>The respondent is unsure of the current state. Engage relevant stakeholders (governance, delivery, business sponsors) to confirm, document, and communicate the current state of AI Portfolio Balance; treat as an awareness gap to address before scoring this capability.</t>
  </si>
  <si>
    <t>Validate applicability of AI Portfolio Balance</t>
  </si>
  <si>
    <t>The respondent indicated AI Portfolio Balance is not applicable. Validate with the consultant whether scope, context, or question wording should be adjusted; confirm there are no risk implications of treating this capability as out of scope.</t>
  </si>
  <si>
    <t>Establish baseline Foundational Data Readiness</t>
  </si>
  <si>
    <t>Foundational Data Readiness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</si>
  <si>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Foundational Data Readiness</t>
  </si>
  <si>
    <t>Foundational Data Readiness exists in partial form. Document standards, decision rights, and review cadence; ensure consistent application across the AI portfolio and close coverage gaps for in-scope use cases or teams.</t>
  </si>
  <si>
    <t>Integrate Foundational Data Readiness into the operating model</t>
  </si>
  <si>
    <t>Foundational Data Readiness is mature. Strengthen by embedding it into delivery, monitoring, and governance processes; tie outcomes to measurable KPIs and assigned owners; align with the AI risk tier and regulatory context.</t>
  </si>
  <si>
    <t>Sustain and continuously improve Foundational Data Readiness</t>
  </si>
  <si>
    <t>Foundational Data Readiness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</si>
  <si>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Foundational Data Readiness</t>
  </si>
  <si>
    <t>The respondent is unsure of the current state. Engage relevant stakeholders (governance, delivery, business sponsors) to confirm, document, and communicate the current state of Foundational Data Readiness; treat as an awareness gap to address before scoring this capability.</t>
  </si>
  <si>
    <t>Validate applicability of Foundational Data Readiness</t>
  </si>
  <si>
    <t>The respondent indicated Foundational Data Readiness is not applicable. Validate with the consultant whether scope, context, or question wording should be adjusted; confirm there are no risk implications of treating this capability as out of scope.</t>
  </si>
  <si>
    <t>Establish baseline Portfolio Horizon Balance</t>
  </si>
  <si>
    <t>Portfolio Horizon Balance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</si>
  <si>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Portfolio Horizon Balance</t>
  </si>
  <si>
    <t>Portfolio Horizon Balance exists in partial form. Document standards, decision rights, and review cadence; ensure consistent application across the AI portfolio and close coverage gaps for in-scope use cases or teams.</t>
  </si>
  <si>
    <t>Integrate Portfolio Horizon Balance into the operating model</t>
  </si>
  <si>
    <t>Portfolio Horizon Balance is mature. Strengthen by embedding it into delivery, monitoring, and governance processes; tie outcomes to measurable KPIs and assigned owners; align with the AI risk tier and regulatory context.</t>
  </si>
  <si>
    <t>Sustain and continuously improve Portfolio Horizon Balance</t>
  </si>
  <si>
    <t>Portfolio Horizon Balance is optimized. Maintain through scheduled review, internal/external benchmarking, and refinement based on incidents, audit findings, and emerging practices. Re-evaluate as the AI portfolio, regulations, and capabilities evolve.</t>
  </si>
  <si>
    <t>Close awareness gap on Portfolio Horizon Balance</t>
  </si>
  <si>
    <t>The respondent is unsure of the current state. Engage relevant stakeholders (governance, delivery, business sponsors) to confirm, document, and communicate the current state of Portfolio Horizon Balance; treat as an awareness gap to address before scoring this capability.</t>
  </si>
  <si>
    <t>Validate applicability of Portfolio Horizon Balance</t>
  </si>
  <si>
    <t>The respondent indicated Portfolio Horizon Balance is not applicable. Validate with the consultant whether scope, context, or question wording should be adjusted; confirm there are no risk implications of treating this capability as out of scope.</t>
  </si>
  <si>
    <t>Establish baseline Roadmap Dependency Management</t>
  </si>
  <si>
    <t>Roadmap Dependency Management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</si>
  <si>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Roadmap Dependency Management</t>
  </si>
  <si>
    <t>Roadmap Dependency Management exists in partial form. Document standards, decision rights, and review cadence; ensure consistent application across the AI portfolio and close coverage gaps for in-scope use cases or teams.</t>
  </si>
  <si>
    <t>Integrate Roadmap Dependency Management into the operating model</t>
  </si>
  <si>
    <t>Roadmap Dependency Management is mature. Strengthen by embedding it into delivery, monitoring, and governance processes; tie outcomes to measurable KPIs and assigned owners; align with the AI risk tier and regulatory context.</t>
  </si>
  <si>
    <t>Sustain and continuously improve Roadmap Dependency Management</t>
  </si>
  <si>
    <t>Roadmap Dependency Management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</si>
  <si>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Roadmap Dependency Management</t>
  </si>
  <si>
    <t>The respondent is unsure of the current state. Engage relevant stakeholders (governance, delivery, business sponsors) to confirm, document, and communicate the current state of Roadmap Dependency Management; treat as an awareness gap to address before scoring this capability.</t>
  </si>
  <si>
    <t>Validate applicability of Roadmap Dependency Management</t>
  </si>
  <si>
    <t>The respondent indicated Roadmap Dependency Management is not applicable. Validate with the consultant whether scope, context, or question wording should be adjusted; confirm there are no risk implications of treating this capability as out of scope.</t>
  </si>
  <si>
    <t>Establish baseline Roadmap Refresh and Project Termination</t>
  </si>
  <si>
    <t>Roadmap Refresh and Project Termination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</si>
  <si>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Roadmap Refresh and Project Termination</t>
  </si>
  <si>
    <t>Roadmap Refresh and Project Termination exists in partial form. Document standards, decision rights, and review cadence; ensure consistent application across the AI portfolio and close coverage gaps for in-scope use cases or teams.</t>
  </si>
  <si>
    <t>Integrate Roadmap Refresh and Project Termination into the operating model</t>
  </si>
  <si>
    <t>Roadmap Refresh and Project Termination is mature. Strengthen by embedding it into delivery, monitoring, and governance processes; tie outcomes to measurable KPIs and assigned owners; align with the AI risk tier and regulatory context.</t>
  </si>
  <si>
    <t>Sustain and continuously improve Roadmap Refresh and Project Termination</t>
  </si>
  <si>
    <t>Roadmap Refresh and Project Termination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</si>
  <si>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Roadmap Refresh and Project Termination</t>
  </si>
  <si>
    <t>The respondent is unsure of the current state. Engage relevant stakeholders (governance, delivery, business sponsors) to confirm, document, and communicate the current state of Roadmap Refresh and Project Termination; treat as an awareness gap to address before scoring this capability.</t>
  </si>
  <si>
    <t>Validate applicability of Roadmap Refresh and Project Termination</t>
  </si>
  <si>
    <t>The respondent indicated Roadmap Refresh and Project Termination is not applicable. Validate with the consultant whether scope, context, or question wording should be adjusted; confirm there are no risk implications of treating this capability as out of scope.</t>
  </si>
  <si>
    <t>Establish baseline AI Talent Strategy</t>
  </si>
  <si>
    <t>AI Talent Strategy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</si>
  <si>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Talent Strategy</t>
  </si>
  <si>
    <t>AI Talent Strategy exists in partial form. Document standards, decision rights, and review cadence; ensure consistent application across the AI portfolio and close coverage gaps for in-scope use cases or teams.</t>
  </si>
  <si>
    <t>Integrate AI Talent Strategy into the operating model</t>
  </si>
  <si>
    <t>AI Talent Strategy is mature. Strengthen by embedding it into delivery, monitoring, and governance processes; tie outcomes to measurable KPIs and assigned owners; align with the AI risk tier and regulatory context.</t>
  </si>
  <si>
    <t>Sustain and continuously improve AI Talent Strategy</t>
  </si>
  <si>
    <t>AI Talent Strategy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</si>
  <si>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Talent Strategy</t>
  </si>
  <si>
    <t>The respondent is unsure of the current state. Engage relevant stakeholders (governance, delivery, business sponsors) to confirm, document, and communicate the current state of AI Talent Strategy; treat as an awareness gap to address before scoring this capability.</t>
  </si>
  <si>
    <t>Validate applicability of AI Talent Strategy</t>
  </si>
  <si>
    <t>The respondent indicated AI Talent Strategy is not applicable. Validate with the consultant whether scope, context, or question wording should be adjusted; confirm there are no risk implications of treating this capability as out of scope.</t>
  </si>
  <si>
    <t>Establish baseline AI Cost Forecasting</t>
  </si>
  <si>
    <t>AI Cost Forecasting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</si>
  <si>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Cost Forecasting</t>
  </si>
  <si>
    <t>AI Cost Forecasting exists in partial form. Document standards, decision rights, and review cadence; ensure consistent application across the AI portfolio and close coverage gaps for in-scope use cases or teams.</t>
  </si>
  <si>
    <t>Integrate AI Cost Forecasting into the operating model</t>
  </si>
  <si>
    <t>AI Cost Forecasting is mature. Strengthen by embedding it into delivery, monitoring, and governance processes; tie outcomes to measurable KPIs and assigned owners; align with the AI risk tier and regulatory context.</t>
  </si>
  <si>
    <t>Sustain and continuously improve AI Cost Forecasting</t>
  </si>
  <si>
    <t>AI Cost Forecasting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</si>
  <si>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Cost Forecasting</t>
  </si>
  <si>
    <t>The respondent is unsure of the current state. Engage relevant stakeholders (governance, delivery, business sponsors) to confirm, document, and communicate the current state of AI Cost Forecasting; treat as an awareness gap to address before scoring this capability.</t>
  </si>
  <si>
    <t>Validate applicability of AI Cost Forecasting</t>
  </si>
  <si>
    <t>The respondent indicated AI Cost Forecasting is not applicable. Validate with the consultant whether scope, context, or question wording should be adjusted; confirm there are no risk implications of treating this capability as out of scope.</t>
  </si>
  <si>
    <t>Establish baseline Subject-Matter Expert Engagement</t>
  </si>
  <si>
    <t>Subject-Matter Expert Engagement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</si>
  <si>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Subject-Matter Expert Engagement</t>
  </si>
  <si>
    <t>Subject-Matter Expert Engagement exists in partial form. Document standards, decision rights, and review cadence; ensure consistent application across the AI portfolio and close coverage gaps for in-scope use cases or teams.</t>
  </si>
  <si>
    <t>Integrate Subject-Matter Expert Engagement into the operating model</t>
  </si>
  <si>
    <t>Subject-Matter Expert Engagement is mature. Strengthen by embedding it into delivery, monitoring, and governance processes; tie outcomes to measurable KPIs and assigned owners; align with the AI risk tier and regulatory context.</t>
  </si>
  <si>
    <t>Sustain and continuously improve Subject-Matter Expert Engagement</t>
  </si>
  <si>
    <t>Subject-Matter Expert Engagement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</si>
  <si>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Subject-Matter Expert Engagement</t>
  </si>
  <si>
    <t>The respondent is unsure of the current state. Engage relevant stakeholders (governance, delivery, business sponsors) to confirm, document, and communicate the current state of Subject-Matter Expert Engagement; treat as an awareness gap to address before scoring this capability.</t>
  </si>
  <si>
    <t>Validate applicability of Subject-Matter Expert Engagement</t>
  </si>
  <si>
    <t>The respondent indicated Subject-Matter Expert Engagement is not applicable. Validate with the consultant whether scope, context, or question wording should be adjusted; confirm there are no risk implications of treating this capability as out of scope.</t>
  </si>
  <si>
    <t>Establish baseline End-User AI Enablement</t>
  </si>
  <si>
    <t>End-User AI Enablement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</si>
  <si>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End-User AI Enablement</t>
  </si>
  <si>
    <t>End-User AI Enablement exists in partial form. Document standards, decision rights, and review cadence; ensure consistent application across the AI portfolio and close coverage gaps for in-scope use cases or teams.</t>
  </si>
  <si>
    <t>Integrate End-User AI Enablement into the operating model</t>
  </si>
  <si>
    <t>End-User AI Enablement is mature. Strengthen by embedding it into delivery, monitoring, and governance processes; tie outcomes to measurable KPIs and assigned owners; align with the AI risk tier and regulatory context.</t>
  </si>
  <si>
    <t>Sustain and continuously improve End-User AI Enablement</t>
  </si>
  <si>
    <t>End-User AI Enablement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</si>
  <si>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End-User AI Enablement</t>
  </si>
  <si>
    <t>The respondent is unsure of the current state. Engage relevant stakeholders (governance, delivery, business sponsors) to confirm, document, and communicate the current state of End-User AI Enablement; treat as an awareness gap to address before scoring this capability.</t>
  </si>
  <si>
    <t>Validate applicability of End-User AI Enablement</t>
  </si>
  <si>
    <t>The respondent indicated End-User AI Enablement is not applicable. Validate with the consultant whether scope, context, or question wording should be adjusted; confirm there are no risk implications of treating this capability as out of scope.</t>
  </si>
  <si>
    <t>Establish baseline AI Success Definition</t>
  </si>
  <si>
    <t>AI Success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</si>
  <si>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Success Definition</t>
  </si>
  <si>
    <t>AI Success Definition exists in partial form. Document standards, decision rights, and review cadence; ensure consistent application across the AI portfolio and close coverage gaps for in-scope use cases or teams.</t>
  </si>
  <si>
    <t>Integrate AI Success Definition into the operating model</t>
  </si>
  <si>
    <t>AI Success Definition is mature. Strengthen by embedding it into delivery, monitoring, and governance processes; tie outcomes to measurable KPIs and assigned owners; align with the AI risk tier and regulatory context.</t>
  </si>
  <si>
    <t>Sustain and continuously improve AI Success Definition</t>
  </si>
  <si>
    <t>AI Success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</si>
  <si>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Success Definition</t>
  </si>
  <si>
    <t>The respondent is unsure of the current state. Engage relevant stakeholders (governance, delivery, business sponsors) to confirm, document, and communicate the current state of AI Success Definition; treat as an awareness gap to address before scoring this capability.</t>
  </si>
  <si>
    <t>Validate applicability of AI Success Definition</t>
  </si>
  <si>
    <t>The respondent indicated AI Success Definition is not applicable. Validate with the consultant whether scope, context, or question wording should be adjusted; confirm there are no risk implications of treating this capability as out of scope.</t>
  </si>
  <si>
    <t>Establish baseline AI Investment Time Horizon</t>
  </si>
  <si>
    <t>AI Investment Time Horizon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</si>
  <si>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Investment Time Horizon</t>
  </si>
  <si>
    <t>AI Investment Time Horizon exists in partial form. Document standards, decision rights, and review cadence; ensure consistent application across the AI portfolio and close coverage gaps for in-scope use cases or teams.</t>
  </si>
  <si>
    <t>Integrate AI Investment Time Horizon into the operating model</t>
  </si>
  <si>
    <t>AI Investment Time Horizon is mature. Strengthen by embedding it into delivery, monitoring, and governance processes; tie outcomes to measurable KPIs and assigned owners; align with the AI risk tier and regulatory context.</t>
  </si>
  <si>
    <t>Sustain and continuously improve AI Investment Time Horizon</t>
  </si>
  <si>
    <t>AI Investment Time Horizon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</si>
  <si>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Investment Time Horizon</t>
  </si>
  <si>
    <t>The respondent is unsure of the current state. Engage relevant stakeholders (governance, delivery, business sponsors) to confirm, document, and communicate the current state of AI Investment Time Horizon; treat as an awareness gap to address before scoring this capability.</t>
  </si>
  <si>
    <t>Validate applicability of AI Investment Time Horizon</t>
  </si>
  <si>
    <t>The respondent indicated AI Investment Time Horizon is not applicable. Validate with the consultant whether scope, context, or question wording should be adjusted; confirm there are no risk implications of treating this capability as out of scope.</t>
  </si>
  <si>
    <t>Establish baseline Causal Attribution of AI Impact</t>
  </si>
  <si>
    <t>Causal Attribution of AI Impact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</si>
  <si>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Causal Attribution of AI Impact</t>
  </si>
  <si>
    <t>Causal Attribution of AI Impact exists in partial form. Document standards, decision rights, and review cadence; ensure consistent application across the AI portfolio and close coverage gaps for in-scope use cases or teams.</t>
  </si>
  <si>
    <t>Integrate Causal Attribution of AI Impact into the operating model</t>
  </si>
  <si>
    <t>Causal Attribution of AI Impact is mature. Strengthen by embedding it into delivery, monitoring, and governance processes; tie outcomes to measurable KPIs and assigned owners; align with the AI risk tier and regulatory context.</t>
  </si>
  <si>
    <t>Sustain and continuously improve Causal Attribution of AI Impact</t>
  </si>
  <si>
    <t>Causal Attribution of AI Impact is optimized. Maintain through scheduled review, internal/external benchmarking, and refinement based on incidents, audit findings, and emerging practices. Re-evaluate as the AI portfolio, regulations, and capabilities evolve.</t>
  </si>
  <si>
    <t>Close awareness gap on Causal Attribution of AI Impact</t>
  </si>
  <si>
    <t>The respondent is unsure of the current state. Engage relevant stakeholders (governance, delivery, business sponsors) to confirm, document, and communicate the current state of Causal Attribution of AI Impact; treat as an awareness gap to address before scoring this capability.</t>
  </si>
  <si>
    <t>Validate applicability of Causal Attribution of AI Impact</t>
  </si>
  <si>
    <t>The respondent indicated Causal Attribution of AI Impact is not applicable. Validate with the consultant whether scope, context, or question wording should be adjusted; confirm there are no risk implications of treating this capability as out of scope.</t>
  </si>
  <si>
    <t>Establish baseline Fairness Definition</t>
  </si>
  <si>
    <t>Fairness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</si>
  <si>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Fairness Definition</t>
  </si>
  <si>
    <t>Fairness Definition exists in partial form. Document standards, decision rights, and review cadence; ensure consistent application across the AI portfolio and close coverage gaps for in-scope use cases or teams.</t>
  </si>
  <si>
    <t>Integrate Fairness Definition into the operating model</t>
  </si>
  <si>
    <t>Fairness Definition is mature. Strengthen by embedding it into delivery, monitoring, and governance processes; tie outcomes to measurable KPIs and assigned owners; align with the AI risk tier and regulatory context.</t>
  </si>
  <si>
    <t>Sustain and continuously improve Fairness Definition</t>
  </si>
  <si>
    <t>Fairness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</si>
  <si>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Fairness Definition</t>
  </si>
  <si>
    <t>The respondent is unsure of the current state. Engage relevant stakeholders (governance, delivery, business sponsors) to confirm, document, and communicate the current state of Fairness Definition; treat as an awareness gap to address before scoring this capability.</t>
  </si>
  <si>
    <t>Validate applicability of Fairness Definition</t>
  </si>
  <si>
    <t>The respondent indicated Fairness Definition is not applicable. Validate with the consultant whether scope, context, or question wording should be adjusted; confirm there are no risk implications of treating this capability as out of scope.</t>
  </si>
  <si>
    <t>Establish baseline Training Data Quality and Representativeness</t>
  </si>
  <si>
    <t>Training Data Quality and Representativeness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</si>
  <si>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Training Data Quality and Representativeness</t>
  </si>
  <si>
    <t>Training Data Quality and Representativeness exists in partial form. Document standards, decision rights, and review cadence; ensure consistent application across the AI portfolio and close coverage gaps for in-scope use cases or teams.</t>
  </si>
  <si>
    <t>Integrate Training Data Quality and Representativeness into the operating model</t>
  </si>
  <si>
    <t>Training Data Quality and Representativeness is mature. Strengthen by embedding it into delivery, monitoring, and governance processes; tie outcomes to measurable KPIs and assigned owners; align with the AI risk tier and regulatory context.</t>
  </si>
  <si>
    <t>Sustain and continuously improve Training Data Quality and Representativeness</t>
  </si>
  <si>
    <t>Training Data Quality and Representativeness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</si>
  <si>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Training Data Quality and Representativeness</t>
  </si>
  <si>
    <t>The respondent is unsure of the current state. Engage relevant stakeholders (governance, delivery, business sponsors) to confirm, document, and communicate the current state of Training Data Quality and Representativeness; treat as an awareness gap to address before scoring this capability.</t>
  </si>
  <si>
    <t>Validate applicability of Training Data Quality and Representativeness</t>
  </si>
  <si>
    <t>The respondent indicated Training Data Quality and Representativeness is not applicable. Validate with the consultant whether scope, context, or question wording should be adjusted; confirm there are no risk implications of treating this capability as out of scope.</t>
  </si>
  <si>
    <t>Establish baseline Production Bias Auditing</t>
  </si>
  <si>
    <t>Production Bias Auditing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</si>
  <si>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Production Bias Auditing</t>
  </si>
  <si>
    <t>Production Bias Auditing exists in partial form. Document standards, decision rights, and review cadence; ensure consistent application across the AI portfolio and close coverage gaps for in-scope use cases or teams.</t>
  </si>
  <si>
    <t>Integrate Production Bias Auditing into the operating model</t>
  </si>
  <si>
    <t>Production Bias Auditing is mature. Strengthen by embedding it into delivery, monitoring, and governance processes; tie outcomes to measurable KPIs and assigned owners; align with the AI risk tier and regulatory context.</t>
  </si>
  <si>
    <t>Sustain and continuously improve Production Bias Auditing</t>
  </si>
  <si>
    <t>Production Bias Auditing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</si>
  <si>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Production Bias Auditing</t>
  </si>
  <si>
    <t>The respondent is unsure of the current state. Engage relevant stakeholders (governance, delivery, business sponsors) to confirm, document, and communicate the current state of Production Bias Auditing; treat as an awareness gap to address before scoring this capability.</t>
  </si>
  <si>
    <t>Validate applicability of Production Bias Auditing</t>
  </si>
  <si>
    <t>The respondent indicated Production Bias Auditing is not applicable. Validate with the consultant whether scope, context, or question wording should be adjusted; confirm there are no risk implications of treating this capability as out of scope.</t>
  </si>
  <si>
    <t>Establish baseline Bias Remediation</t>
  </si>
  <si>
    <t>Bias Remediation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</si>
  <si>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Bias Remediation</t>
  </si>
  <si>
    <t>Bias Remediation exists in partial form. Document standards, decision rights, and review cadence; ensure consistent application across the AI portfolio and close coverage gaps for in-scope use cases or teams.</t>
  </si>
  <si>
    <t>Integrate Bias Remediation into the operating model</t>
  </si>
  <si>
    <t>Bias Remediation is mature. Strengthen by embedding it into delivery, monitoring, and governance processes; tie outcomes to measurable KPIs and assigned owners; align with the AI risk tier and regulatory context.</t>
  </si>
  <si>
    <t>Sustain and continuously improve Bias Remediation</t>
  </si>
  <si>
    <t>Bias Remediation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</si>
  <si>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Bias Remediation</t>
  </si>
  <si>
    <t>The respondent is unsure of the current state. Engage relevant stakeholders (governance, delivery, business sponsors) to confirm, document, and communicate the current state of Bias Remediation; treat as an awareness gap to address before scoring this capability.</t>
  </si>
  <si>
    <t>Validate applicability of Bias Remediation</t>
  </si>
  <si>
    <t>The respondent indicated Bias Remediation is not applicable. Validate with the consultant whether scope, context, or question wording should be adjusted; confirm there are no risk implications of treating this capability as out of scope.</t>
  </si>
  <si>
    <t>Establish baseline AI Transparency Documentation</t>
  </si>
  <si>
    <t>AI Transparency Documentation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</si>
  <si>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Transparency Documentation</t>
  </si>
  <si>
    <t>AI Transparency Documentation exists in partial form. Document standards, decision rights, and review cadence; ensure consistent application across the AI portfolio and close coverage gaps for in-scope use cases or teams.</t>
  </si>
  <si>
    <t>Integrate AI Transparency Documentation into the operating model</t>
  </si>
  <si>
    <t>AI Transparency Documentation is mature. Strengthen by embedding it into delivery, monitoring, and governance processes; tie outcomes to measurable KPIs and assigned owners; align with the AI risk tier and regulatory context.</t>
  </si>
  <si>
    <t>Sustain and continuously improve AI Transparency Documentation</t>
  </si>
  <si>
    <t>AI Transparency Documentation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</si>
  <si>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Transparency Documentation</t>
  </si>
  <si>
    <t>The respondent is unsure of the current state. Engage relevant stakeholders (governance, delivery, business sponsors) to confirm, document, and communicate the current state of AI Transparency Documentation; treat as an awareness gap to address before scoring this capability.</t>
  </si>
  <si>
    <t>Validate applicability of AI Transparency Documentation</t>
  </si>
  <si>
    <t>The respondent indicated AI Transparency Documentation is not applicable. Validate with the consultant whether scope, context, or question wording should be adjusted; confirm there are no risk implications of treating this capability as out of scope.</t>
  </si>
  <si>
    <t>Establish baseline Plain-Language Explanation of AI Decisions</t>
  </si>
  <si>
    <t>Plain-Language Explanation of AI Decisions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</si>
  <si>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Plain-Language Explanation of AI Decisions</t>
  </si>
  <si>
    <t>Plain-Language Explanation of AI Decisions exists in partial form. Document standards, decision rights, and review cadence; ensure consistent application across the AI portfolio and close coverage gaps for in-scope use cases or teams.</t>
  </si>
  <si>
    <t>Integrate Plain-Language Explanation of AI Decisions into the operating model</t>
  </si>
  <si>
    <t>Plain-Language Explanation of AI Decisions is mature. Strengthen by embedding it into delivery, monitoring, and governance processes; tie outcomes to measurable KPIs and assigned owners; align with the AI risk tier and regulatory context.</t>
  </si>
  <si>
    <t>Sustain and continuously improve Plain-Language Explanation of AI Decisions</t>
  </si>
  <si>
    <t>Plain-Language Explanation of AI Decisions is optimized. Maintain through scheduled review, internal/external benchmarking, and refinement based on incidents, audit findings, and emerging practices. Re-evaluate as the AI portfolio, regulations, and capabilities evolve.</t>
  </si>
  <si>
    <t>Close awareness gap on Plain-Language Explanation of AI Decisions</t>
  </si>
  <si>
    <t>The respondent is unsure of the current state. Engage relevant stakeholders (governance, delivery, business sponsors) to confirm, document, and communicate the current state of Plain-Language Explanation of AI Decisions; treat as an awareness gap to address before scoring this capability.</t>
  </si>
  <si>
    <t>Validate applicability of Plain-Language Explanation of AI Decisions</t>
  </si>
  <si>
    <t>The respondent indicated Plain-Language Explanation of AI Decisions is not applicable. Validate with the consultant whether scope, context, or question wording should be adjusted; confirm there are no risk implications of treating this capability as out of scope.</t>
  </si>
  <si>
    <t>Establish baseline Human Appeal Process</t>
  </si>
  <si>
    <t>Human Appeal Process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</si>
  <si>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 Appeal Process</t>
  </si>
  <si>
    <t>Human Appeal Process exists in partial form. Document standards, decision rights, and review cadence; ensure consistent application across the AI portfolio and close coverage gaps for in-scope use cases or teams.</t>
  </si>
  <si>
    <t>Integrate Human Appeal Process into the operating model</t>
  </si>
  <si>
    <t>Human Appeal Process is mature. Strengthen by embedding it into delivery, monitoring, and governance processes; tie outcomes to measurable KPIs and assigned owners; align with the AI risk tier and regulatory context.</t>
  </si>
  <si>
    <t>Sustain and continuously improve Human Appeal Process</t>
  </si>
  <si>
    <t>Human Appeal Process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</si>
  <si>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 Appeal Process</t>
  </si>
  <si>
    <t>The respondent is unsure of the current state. Engage relevant stakeholders (governance, delivery, business sponsors) to confirm, document, and communicate the current state of Human Appeal Process; treat as an awareness gap to address before scoring this capability.</t>
  </si>
  <si>
    <t>Validate applicability of Human Appeal Process</t>
  </si>
  <si>
    <t>The respondent indicated Human Appeal Process is not applicable. Validate with the consultant whether scope, context, or question wording should be adjusted; confirm there are no risk implications of treating this capability as out of scope.</t>
  </si>
  <si>
    <t>Establish baseline Vendor Explainability Disclosure</t>
  </si>
  <si>
    <t>Vendor Explainability Disclosure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</si>
  <si>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Vendor Explainability Disclosure</t>
  </si>
  <si>
    <t>Vendor Explainability Disclosure exists in partial form. Document standards, decision rights, and review cadence; ensure consistent application across the AI portfolio and close coverage gaps for in-scope use cases or teams.</t>
  </si>
  <si>
    <t>Integrate Vendor Explainability Disclosure into the operating model</t>
  </si>
  <si>
    <t>Vendor Explainability Disclosure is mature. Strengthen by embedding it into delivery, monitoring, and governance processes; tie outcomes to measurable KPIs and assigned owners; align with the AI risk tier and regulatory context.</t>
  </si>
  <si>
    <t>Sustain and continuously improve Vendor Explainability Disclosure</t>
  </si>
  <si>
    <t>Vendor Explainability Disclosure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</si>
  <si>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Vendor Explainability Disclosure</t>
  </si>
  <si>
    <t>The respondent is unsure of the current state. Engage relevant stakeholders (governance, delivery, business sponsors) to confirm, document, and communicate the current state of Vendor Explainability Disclosure; treat as an awareness gap to address before scoring this capability.</t>
  </si>
  <si>
    <t>Validate applicability of Vendor Explainability Disclosure</t>
  </si>
  <si>
    <t>The respondent indicated Vendor Explainability Disclosure is not applicable. Validate with the consultant whether scope, context, or question wording should be adjusted; confirm there are no risk implications of treating this capability as out of scope.</t>
  </si>
  <si>
    <t>Establish baseline AI Red-Teaming and Adversarial Testing</t>
  </si>
  <si>
    <t>AI Red-Teaming and Adversarial Testing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</si>
  <si>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Red-Teaming and Adversarial Testing</t>
  </si>
  <si>
    <t>AI Red-Teaming and Adversarial Testing exists in partial form. Document standards, decision rights, and review cadence; ensure consistent application across the AI portfolio and close coverage gaps for in-scope use cases or teams.</t>
  </si>
  <si>
    <t>Integrate AI Red-Teaming and Adversarial Testing into the operating model</t>
  </si>
  <si>
    <t>AI Red-Teaming and Adversarial Testing is mature. Strengthen by embedding it into delivery, monitoring, and governance processes; tie outcomes to measurable KPIs and assigned owners; align with the AI risk tier and regulatory context.</t>
  </si>
  <si>
    <t>Sustain and continuously improve AI Red-Teaming and Adversarial Testing</t>
  </si>
  <si>
    <t>AI Red-Teaming and Adversarial Testing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</si>
  <si>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Red-Teaming and Adversarial Testing</t>
  </si>
  <si>
    <t>The respondent is unsure of the current state. Engage relevant stakeholders (governance, delivery, business sponsors) to confirm, document, and communicate the current state of AI Red-Teaming and Adversarial Testing; treat as an awareness gap to address before scoring this capability.</t>
  </si>
  <si>
    <t>Validate applicability of AI Red-Teaming and Adversarial Testing</t>
  </si>
  <si>
    <t>The respondent indicated AI Red-Teaming and Adversarial Testing is not applicable. Validate with the consultant whether scope, context, or question wording should be adjusted; confirm there are no risk implications of treating this capability as out of scope.</t>
  </si>
  <si>
    <t>Establish baseline Automated Drift Detection</t>
  </si>
  <si>
    <t>Automated Drift Detection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</si>
  <si>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Automated Drift Detection</t>
  </si>
  <si>
    <t>Automated Drift Detection exists in partial form. Document standards, decision rights, and review cadence; ensure consistent application across the AI portfolio and close coverage gaps for in-scope use cases or teams.</t>
  </si>
  <si>
    <t>Integrate Automated Drift Detection into the operating model</t>
  </si>
  <si>
    <t>Automated Drift Detection is mature. Strengthen by embedding it into delivery, monitoring, and governance processes; tie outcomes to measurable KPIs and assigned owners; align with the AI risk tier and regulatory context.</t>
  </si>
  <si>
    <t>Sustain and continuously improve Automated Drift Detection</t>
  </si>
  <si>
    <t>Automated Drift Detection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</si>
  <si>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Automated Drift Detection</t>
  </si>
  <si>
    <t>The respondent is unsure of the current state. Engage relevant stakeholders (governance, delivery, business sponsors) to confirm, document, and communicate the current state of Automated Drift Detection; treat as an awareness gap to address before scoring this capability.</t>
  </si>
  <si>
    <t>Validate applicability of Automated Drift Detection</t>
  </si>
  <si>
    <t>The respondent indicated Automated Drift Detection is not applicable. Validate with the consultant whether scope, context, or question wording should be adjusted; confirm there are no risk implications of treating this capability as out of scope.</t>
  </si>
  <si>
    <t>Establish baseline AI-Specific Security Controls</t>
  </si>
  <si>
    <t>AI-Specific Security Controls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</si>
  <si>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AI-Specific Security Controls</t>
  </si>
  <si>
    <t>AI-Specific Security Controls exists in partial form. Document standards, decision rights, and review cadence; ensure consistent application across the AI portfolio and close coverage gaps for in-scope use cases or teams.</t>
  </si>
  <si>
    <t>Integrate AI-Specific Security Controls into the operating model</t>
  </si>
  <si>
    <t>AI-Specific Security Controls is mature. Strengthen by embedding it into delivery, monitoring, and governance processes; tie outcomes to measurable KPIs and assigned owners; align with the AI risk tier and regulatory context.</t>
  </si>
  <si>
    <t>Sustain and continuously improve AI-Specific Security Controls</t>
  </si>
  <si>
    <t>AI-Specific Security Controls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</si>
  <si>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AI-Specific Security Controls</t>
  </si>
  <si>
    <t>The respondent is unsure of the current state. Engage relevant stakeholders (governance, delivery, business sponsors) to confirm, document, and communicate the current state of AI-Specific Security Controls; treat as an awareness gap to address before scoring this capability.</t>
  </si>
  <si>
    <t>Validate applicability of AI-Specific Security Controls</t>
  </si>
  <si>
    <t>The respondent indicated AI-Specific Security Controls is not applicable. Validate with the consultant whether scope, context, or question wording should be adjusted; confirm there are no risk implications of treating this capability as out of scope.</t>
  </si>
  <si>
    <t>Establish baseline Emergency Model Disablement</t>
  </si>
  <si>
    <t>Emergency Model Disablement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</si>
  <si>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Emergency Model Disablement</t>
  </si>
  <si>
    <t>Emergency Model Disablement exists in partial form. Document standards, decision rights, and review cadence; ensure consistent application across the AI portfolio and close coverage gaps for in-scope use cases or teams.</t>
  </si>
  <si>
    <t>Integrate Emergency Model Disablement into the operating model</t>
  </si>
  <si>
    <t>Emergency Model Disablement is mature. Strengthen by embedding it into delivery, monitoring, and governance processes; tie outcomes to measurable KPIs and assigned owners; align with the AI risk tier and regulatory context.</t>
  </si>
  <si>
    <t>Sustain and continuously improve Emergency Model Disablement</t>
  </si>
  <si>
    <t>Emergency Model Disablement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</si>
  <si>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Emergency Model Disablement</t>
  </si>
  <si>
    <t>The respondent is unsure of the current state. Engage relevant stakeholders (governance, delivery, business sponsors) to confirm, document, and communicate the current state of Emergency Model Disablement; treat as an awareness gap to address before scoring this capability.</t>
  </si>
  <si>
    <t>Validate applicability of Emergency Model Disablement</t>
  </si>
  <si>
    <t>The respondent indicated Emergency Model Disablement is not applicable. Validate with the consultant whether scope, context, or question wording should be adjusted; confirm there are no risk implications of treating this capability as out of scope.</t>
  </si>
  <si>
    <t>Establish baseline AI System Accountability</t>
  </si>
  <si>
    <t>AI System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</si>
  <si>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System Accountability</t>
  </si>
  <si>
    <t>AI System Accountability exists in partial form. Document standards, decision rights, and review cadence; ensure consistent application across the AI portfolio and close coverage gaps for in-scope use cases or teams.</t>
  </si>
  <si>
    <t>Integrate AI System Accountability into the operating model</t>
  </si>
  <si>
    <t>AI System Accountability is mature. Strengthen by embedding it into delivery, monitoring, and governance processes; tie outcomes to measurable KPIs and assigned owners; align with the AI risk tier and regulatory context.</t>
  </si>
  <si>
    <t>Sustain and continuously improve AI System Accountability</t>
  </si>
  <si>
    <t>AI System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</si>
  <si>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System Accountability</t>
  </si>
  <si>
    <t>The respondent is unsure of the current state. Engage relevant stakeholders (governance, delivery, business sponsors) to confirm, document, and communicate the current state of AI System Accountability; treat as an awareness gap to address before scoring this capability.</t>
  </si>
  <si>
    <t>Validate applicability of AI System Accountability</t>
  </si>
  <si>
    <t>The respondent indicated AI System Accountability is not applicable. Validate with the consultant whether scope, context, or question wording should be adjusted; confirm there are no risk implications of treating this capability as out of scope.</t>
  </si>
  <si>
    <t>Establish baseline Data Minimization Practice</t>
  </si>
  <si>
    <t>Data Minimization Practice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</si>
  <si>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Data Minimization Practice</t>
  </si>
  <si>
    <t>Data Minimization Practice exists in partial form. Document standards, decision rights, and review cadence; ensure consistent application across the AI portfolio and close coverage gaps for in-scope use cases or teams.</t>
  </si>
  <si>
    <t>Integrate Data Minimization Practice into the operating model</t>
  </si>
  <si>
    <t>Data Minimization Practice is mature. Strengthen by embedding it into delivery, monitoring, and governance processes; tie outcomes to measurable KPIs and assigned owners; align with the AI risk tier and regulatory context.</t>
  </si>
  <si>
    <t>Sustain and continuously improve Data Minimization Practice</t>
  </si>
  <si>
    <t>Data Minimization Practice is optimized. Maintain through scheduled review, internal/external benchmarking, and refinement based on incidents, audit findings, and emerging practices. Re-evaluate as the AI portfolio, regulations, and capabilities evolve.</t>
  </si>
  <si>
    <t>Close awareness gap on Data Minimization Practice</t>
  </si>
  <si>
    <t>The respondent is unsure of the current state. Engage relevant stakeholders (governance, delivery, business sponsors) to confirm, document, and communicate the current state of Data Minimization Practice; treat as an awareness gap to address before scoring this capability.</t>
  </si>
  <si>
    <t>Validate applicability of Data Minimization Practice</t>
  </si>
  <si>
    <t>The respondent indicated Data Minimization Practice is not applicable. Validate with the consultant whether scope, context, or question wording should be adjusted; confirm there are no risk implications of treating this capability as out of scope.</t>
  </si>
  <si>
    <t>Establish baseline Consent-Based Data Use</t>
  </si>
  <si>
    <t>Consent-Based Data Use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</si>
  <si>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Consent-Based Data Use</t>
  </si>
  <si>
    <t>Consent-Based Data Use exists in partial form. Document standards, decision rights, and review cadence; ensure consistent application across the AI portfolio and close coverage gaps for in-scope use cases or teams.</t>
  </si>
  <si>
    <t>Integrate Consent-Based Data Use into the operating model</t>
  </si>
  <si>
    <t>Consent-Based Data Use is mature. Strengthen by embedding it into delivery, monitoring, and governance processes; tie outcomes to measurable KPIs and assigned owners; align with the AI risk tier and regulatory context.</t>
  </si>
  <si>
    <t>Sustain and continuously improve Consent-Based Data Use</t>
  </si>
  <si>
    <t>Consent-Based Data Use is optimized. Maintain through scheduled review, internal/external benchmarking, and refinement based on incidents, audit findings, and emerging practices. Re-evaluate as the AI portfolio, regulations, and capabilities evolve.</t>
  </si>
  <si>
    <t>Close awareness gap on Consent-Based Data Use</t>
  </si>
  <si>
    <t>The respondent is unsure of the current state. Engage relevant stakeholders (governance, delivery, business sponsors) to confirm, document, and communicate the current state of Consent-Based Data Use; treat as an awareness gap to address before scoring this capability.</t>
  </si>
  <si>
    <t>Validate applicability of Consent-Based Data Use</t>
  </si>
  <si>
    <t>The respondent indicated Consent-Based Data Use is not applicable. Validate with the consultant whether scope, context, or question wording should be adjusted; confirm there are no risk implications of treating this capability as out of scope.</t>
  </si>
  <si>
    <t>Establish baseline AI Sustainability Reporting</t>
  </si>
  <si>
    <t>AI Sustainability Reporting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</si>
  <si>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Sustainability Reporting</t>
  </si>
  <si>
    <t>AI Sustainability Reporting exists in partial form. Document standards, decision rights, and review cadence; ensure consistent application across the AI portfolio and close coverage gaps for in-scope use cases or teams.</t>
  </si>
  <si>
    <t>Integrate AI Sustainability Reporting into the operating model</t>
  </si>
  <si>
    <t>AI Sustainability Reporting is mature. Strengthen by embedding it into delivery, monitoring, and governance processes; tie outcomes to measurable KPIs and assigned owners; align with the AI risk tier and regulatory context.</t>
  </si>
  <si>
    <t>Sustain and continuously improve AI Sustainability Reporting</t>
  </si>
  <si>
    <t>AI Sustainability Reporting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</si>
  <si>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Sustainability Reporting</t>
  </si>
  <si>
    <t>The respondent is unsure of the current state. Engage relevant stakeholders (governance, delivery, business sponsors) to confirm, document, and communicate the current state of AI Sustainability Reporting; treat as an awareness gap to address before scoring this capability.</t>
  </si>
  <si>
    <t>Validate applicability of AI Sustainability Reporting</t>
  </si>
  <si>
    <t>The respondent indicated AI Sustainability Reporting is not applicable. Validate with the consultant whether scope, context, or question wording should be adjusted; confirm there are no risk implications of treating this capability as out of scope.</t>
  </si>
  <si>
    <t>Establish baseline AI ROI Calculation</t>
  </si>
  <si>
    <t>AI ROI Calculation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</si>
  <si>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ROI Calculation</t>
  </si>
  <si>
    <t>AI ROI Calculation exists in partial form. Document standards, decision rights, and review cadence; ensure consistent application across the AI portfolio and close coverage gaps for in-scope use cases or teams.</t>
  </si>
  <si>
    <t>Integrate AI ROI Calculation into the operating model</t>
  </si>
  <si>
    <t>AI ROI Calculation is mature. Strengthen by embedding it into delivery, monitoring, and governance processes; tie outcomes to measurable KPIs and assigned owners; align with the AI risk tier and regulatory context.</t>
  </si>
  <si>
    <t>Sustain and continuously improve AI ROI Calculation</t>
  </si>
  <si>
    <t>AI ROI Calculation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</si>
  <si>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ROI Calculation</t>
  </si>
  <si>
    <t>The respondent is unsure of the current state. Engage relevant stakeholders (governance, delivery, business sponsors) to confirm, document, and communicate the current state of AI ROI Calculation; treat as an awareness gap to address before scoring this capability.</t>
  </si>
  <si>
    <t>Validate applicability of AI ROI Calculation</t>
  </si>
  <si>
    <t>The respondent indicated AI ROI Calculation is not applicable. Validate with the consultant whether scope, context, or question wording should be adjusted; confirm there are no risk implications of treating this capability as out of scope.</t>
  </si>
  <si>
    <t>Establish baseline Time-to-Value Measurement</t>
  </si>
  <si>
    <t>Time-to-Value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</si>
  <si>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Time-to-Value Measurement</t>
  </si>
  <si>
    <t>Time-to-Value Measurement exists in partial form. Document standards, decision rights, and review cadence; ensure consistent application across the AI portfolio and close coverage gaps for in-scope use cases or teams.</t>
  </si>
  <si>
    <t>Integrate Time-to-Value Measurement into the operating model</t>
  </si>
  <si>
    <t>Time-to-Value Measurement is mature. Strengthen by embedding it into delivery, monitoring, and governance processes; tie outcomes to measurable KPIs and assigned owners; align with the AI risk tier and regulatory context.</t>
  </si>
  <si>
    <t>Sustain and continuously improve Time-to-Value Measurement</t>
  </si>
  <si>
    <t>Time-to-Value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</si>
  <si>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Time-to-Value Measurement</t>
  </si>
  <si>
    <t>The respondent is unsure of the current state. Engage relevant stakeholders (governance, delivery, business sponsors) to confirm, document, and communicate the current state of Time-to-Value Measurement; treat as an awareness gap to address before scoring this capability.</t>
  </si>
  <si>
    <t>Validate applicability of Time-to-Value Measurement</t>
  </si>
  <si>
    <t>The respondent indicated Time-to-Value Measurement is not applicable. Validate with the consultant whether scope, context, or question wording should be adjusted; confirm there are no risk implications of treating this capability as out of scope.</t>
  </si>
  <si>
    <t>Establish baseline Workforce Productivity Tracking</t>
  </si>
  <si>
    <t>Workforce Productivity Tracking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</si>
  <si>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Workforce Productivity Tracking</t>
  </si>
  <si>
    <t>Workforce Productivity Tracking exists in partial form. Document standards, decision rights, and review cadence; ensure consistent application across the AI portfolio and close coverage gaps for in-scope use cases or teams.</t>
  </si>
  <si>
    <t>Integrate Workforce Productivity Tracking into the operating model</t>
  </si>
  <si>
    <t>Workforce Productivity Tracking is mature. Strengthen by embedding it into delivery, monitoring, and governance processes; tie outcomes to measurable KPIs and assigned owners; align with the AI risk tier and regulatory context.</t>
  </si>
  <si>
    <t>Sustain and continuously improve Workforce Productivity Tracking</t>
  </si>
  <si>
    <t>Workforce Productivity Tracking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</si>
  <si>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Workforce Productivity Tracking</t>
  </si>
  <si>
    <t>The respondent is unsure of the current state. Engage relevant stakeholders (governance, delivery, business sponsors) to confirm, document, and communicate the current state of Workforce Productivity Tracking; treat as an awareness gap to address before scoring this capability.</t>
  </si>
  <si>
    <t>Validate applicability of Workforce Productivity Tracking</t>
  </si>
  <si>
    <t>The respondent indicated Workforce Productivity Tracking is not applicable. Validate with the consultant whether scope, context, or question wording should be adjusted; confirm there are no risk implications of treating this capability as out of scope.</t>
  </si>
  <si>
    <t>Establish baseline Customer Experience Impact Measurement</t>
  </si>
  <si>
    <t>Customer Experience Impact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</si>
  <si>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Customer Experience Impact Measurement</t>
  </si>
  <si>
    <t>Customer Experience Impact Measurement exists in partial form. Document standards, decision rights, and review cadence; ensure consistent application across the AI portfolio and close coverage gaps for in-scope use cases or teams.</t>
  </si>
  <si>
    <t>Integrate Customer Experience Impact Measurement into the operating model</t>
  </si>
  <si>
    <t>Customer Experience Impact Measurement is mature. Strengthen by embedding it into delivery, monitoring, and governance processes; tie outcomes to measurable KPIs and assigned owners; align with the AI risk tier and regulatory context.</t>
  </si>
  <si>
    <t>Sustain and continuously improve Customer Experience Impact Measurement</t>
  </si>
  <si>
    <t>Customer Experience Impact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</si>
  <si>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Customer Experience Impact Measurement</t>
  </si>
  <si>
    <t>The respondent is unsure of the current state. Engage relevant stakeholders (governance, delivery, business sponsors) to confirm, document, and communicate the current state of Customer Experience Impact Measurement; treat as an awareness gap to address before scoring this capability.</t>
  </si>
  <si>
    <t>Validate applicability of Customer Experience Impact Measurement</t>
  </si>
  <si>
    <t>The respondent indicated Customer Experience Impact Measurement is not applicable. Validate with the consultant whether scope, context, or question wording should be adjusted; confirm there are no risk implications of treating this capability as out of scope.</t>
  </si>
  <si>
    <t>Establish baseline Domain-Specific Accuracy Measurement</t>
  </si>
  <si>
    <t>Domain-Specific Accuracy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</si>
  <si>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Domain-Specific Accuracy Measurement</t>
  </si>
  <si>
    <t>Domain-Specific Accuracy Measurement exists in partial form. Document standards, decision rights, and review cadence; ensure consistent application across the AI portfolio and close coverage gaps for in-scope use cases or teams.</t>
  </si>
  <si>
    <t>Integrate Domain-Specific Accuracy Measurement into the operating model</t>
  </si>
  <si>
    <t>Domain-Specific Accuracy Measurement is mature. Strengthen by embedding it into delivery, monitoring, and governance processes; tie outcomes to measurable KPIs and assigned owners; align with the AI risk tier and regulatory context.</t>
  </si>
  <si>
    <t>Sustain and continuously improve Domain-Specific Accuracy Measurement</t>
  </si>
  <si>
    <t>Domain-Specific Accuracy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</si>
  <si>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Domain-Specific Accuracy Measurement</t>
  </si>
  <si>
    <t>The respondent is unsure of the current state. Engage relevant stakeholders (governance, delivery, business sponsors) to confirm, document, and communicate the current state of Domain-Specific Accuracy Measurement; treat as an awareness gap to address before scoring this capability.</t>
  </si>
  <si>
    <t>Validate applicability of Domain-Specific Accuracy Measurement</t>
  </si>
  <si>
    <t>The respondent indicated Domain-Specific Accuracy Measurement is not applicable. Validate with the consultant whether scope, context, or question wording should be adjusted; confirm there are no risk implications of treating this capability as out of scope.</t>
  </si>
  <si>
    <t>Establish baseline AI Performance SLAs</t>
  </si>
  <si>
    <t>AI Performance SLAs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</si>
  <si>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Performance SLAs</t>
  </si>
  <si>
    <t>AI Performance SLAs exists in partial form. Document standards, decision rights, and review cadence; ensure consistent application across the AI portfolio and close coverage gaps for in-scope use cases or teams.</t>
  </si>
  <si>
    <t>Integrate AI Performance SLAs into the operating model</t>
  </si>
  <si>
    <t>AI Performance SLAs is mature. Strengthen by embedding it into delivery, monitoring, and governance processes; tie outcomes to measurable KPIs and assigned owners; align with the AI risk tier and regulatory context.</t>
  </si>
  <si>
    <t>Sustain and continuously improve AI Performance SLAs</t>
  </si>
  <si>
    <t>AI Performance SLAs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</si>
  <si>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Performance SLAs</t>
  </si>
  <si>
    <t>The respondent is unsure of the current state. Engage relevant stakeholders (governance, delivery, business sponsors) to confirm, document, and communicate the current state of AI Performance SLAs; treat as an awareness gap to address before scoring this capability.</t>
  </si>
  <si>
    <t>Validate applicability of AI Performance SLAs</t>
  </si>
  <si>
    <t>The respondent indicated AI Performance SLAs is not applicable. Validate with the consultant whether scope, context, or question wording should be adjusted; confirm there are no risk implications of treating this capability as out of scope.</t>
  </si>
  <si>
    <t>Establish baseline Generative AI Output Quality Measurement</t>
  </si>
  <si>
    <t>Generative AI Output Quality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</si>
  <si>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Generative AI Output Quality Measurement</t>
  </si>
  <si>
    <t>Generative AI Output Quality Measurement exists in partial form. Document standards, decision rights, and review cadence; ensure consistent application across the AI portfolio and close coverage gaps for in-scope use cases or teams.</t>
  </si>
  <si>
    <t>Integrate Generative AI Output Quality Measurement into the operating model</t>
  </si>
  <si>
    <t>Generative AI Output Quality Measurement is mature. Strengthen by embedding it into delivery, monitoring, and governance processes; tie outcomes to measurable KPIs and assigned owners; align with the AI risk tier and regulatory context.</t>
  </si>
  <si>
    <t>Sustain and continuously improve Generative AI Output Quality Measurement</t>
  </si>
  <si>
    <t>Generative AI Output Quality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</si>
  <si>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Generative AI Output Quality Measurement</t>
  </si>
  <si>
    <t>The respondent is unsure of the current state. Engage relevant stakeholders (governance, delivery, business sponsors) to confirm, document, and communicate the current state of Generative AI Output Quality Measurement; treat as an awareness gap to address before scoring this capability.</t>
  </si>
  <si>
    <t>Validate applicability of Generative AI Output Quality Measurement</t>
  </si>
  <si>
    <t>The respondent indicated Generative AI Output Quality Measurement is not applicable. Validate with the consultant whether scope, context, or question wording should be adjusted; confirm there are no risk implications of treating this capability as out of scope.</t>
  </si>
  <si>
    <t>Establish baseline Concept Drift Measurement</t>
  </si>
  <si>
    <t>Concept Drift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</si>
  <si>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Concept Drift Measurement</t>
  </si>
  <si>
    <t>Concept Drift Measurement exists in partial form. Document standards, decision rights, and review cadence; ensure consistent application across the AI portfolio and close coverage gaps for in-scope use cases or teams.</t>
  </si>
  <si>
    <t>Integrate Concept Drift Measurement into the operating model</t>
  </si>
  <si>
    <t>Concept Drift Measurement is mature. Strengthen by embedding it into delivery, monitoring, and governance processes; tie outcomes to measurable KPIs and assigned owners; align with the AI risk tier and regulatory context.</t>
  </si>
  <si>
    <t>Sustain and continuously improve Concept Drift Measurement</t>
  </si>
  <si>
    <t>Concept Drift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</si>
  <si>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Concept Drift Measurement</t>
  </si>
  <si>
    <t>The respondent is unsure of the current state. Engage relevant stakeholders (governance, delivery, business sponsors) to confirm, document, and communicate the current state of Concept Drift Measurement; treat as an awareness gap to address before scoring this capability.</t>
  </si>
  <si>
    <t>Validate applicability of Concept Drift Measurement</t>
  </si>
  <si>
    <t>The respondent indicated Concept Drift Measurement is not applicable. Validate with the consultant whether scope, context, or question wording should be adjusted; confirm there are no risk implications of treating this capability as out of scope.</t>
  </si>
  <si>
    <t>Establish baseline AI Unit-Cost Visibility</t>
  </si>
  <si>
    <t>AI Unit-Cost Visibility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</si>
  <si>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Unit-Cost Visibility</t>
  </si>
  <si>
    <t>AI Unit-Cost Visibility exists in partial form. Document standards, decision rights, and review cadence; ensure consistent application across the AI portfolio and close coverage gaps for in-scope use cases or teams.</t>
  </si>
  <si>
    <t>Integrate AI Unit-Cost Visibility into the operating model</t>
  </si>
  <si>
    <t>AI Unit-Cost Visibility is mature. Strengthen by embedding it into delivery, monitoring, and governance processes; tie outcomes to measurable KPIs and assigned owners; align with the AI risk tier and regulatory context.</t>
  </si>
  <si>
    <t>Sustain and continuously improve AI Unit-Cost Visibility</t>
  </si>
  <si>
    <t>AI Unit-Cost Visibility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</si>
  <si>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Unit-Cost Visibility</t>
  </si>
  <si>
    <t>The respondent is unsure of the current state. Engage relevant stakeholders (governance, delivery, business sponsors) to confirm, document, and communicate the current state of AI Unit-Cost Visibility; treat as an awareness gap to address before scoring this capability.</t>
  </si>
  <si>
    <t>Validate applicability of AI Unit-Cost Visibility</t>
  </si>
  <si>
    <t>The respondent indicated AI Unit-Cost Visibility is not applicable. Validate with the consultant whether scope, context, or question wording should be adjusted; confirm there are no risk implications of treating this capability as out of scope.</t>
  </si>
  <si>
    <t>Establish baseline Compute Resource Optimization</t>
  </si>
  <si>
    <t>Compute Resource Optimization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</si>
  <si>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Compute Resource Optimization</t>
  </si>
  <si>
    <t>Compute Resource Optimization exists in partial form. Document standards, decision rights, and review cadence; ensure consistent application across the AI portfolio and close coverage gaps for in-scope use cases or teams.</t>
  </si>
  <si>
    <t>Integrate Compute Resource Optimization into the operating model</t>
  </si>
  <si>
    <t>Compute Resource Optimization is mature. Strengthen by embedding it into delivery, monitoring, and governance processes; tie outcomes to measurable KPIs and assigned owners; align with the AI risk tier and regulatory context.</t>
  </si>
  <si>
    <t>Sustain and continuously improve Compute Resource Optimization</t>
  </si>
  <si>
    <t>Compute Resource Optimization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</si>
  <si>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Compute Resource Optimization</t>
  </si>
  <si>
    <t>The respondent is unsure of the current state. Engage relevant stakeholders (governance, delivery, business sponsors) to confirm, document, and communicate the current state of Compute Resource Optimization; treat as an awareness gap to address before scoring this capability.</t>
  </si>
  <si>
    <t>Validate applicability of Compute Resource Optimization</t>
  </si>
  <si>
    <t>The respondent indicated Compute Resource Optimization is not applicable. Validate with the consultant whether scope, context, or question wording should be adjusted; confirm there are no risk implications of treating this capability as out of scope.</t>
  </si>
  <si>
    <t>Establish baseline AI Total Cost of Ownership</t>
  </si>
  <si>
    <t>AI Total Cost of Ownership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</si>
  <si>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Total Cost of Ownership</t>
  </si>
  <si>
    <t>AI Total Cost of Ownership exists in partial form. Document standards, decision rights, and review cadence; ensure consistent application across the AI portfolio and close coverage gaps for in-scope use cases or teams.</t>
  </si>
  <si>
    <t>Integrate AI Total Cost of Ownership into the operating model</t>
  </si>
  <si>
    <t>AI Total Cost of Ownership is mature. Strengthen by embedding it into delivery, monitoring, and governance processes; tie outcomes to measurable KPIs and assigned owners; align with the AI risk tier and regulatory context.</t>
  </si>
  <si>
    <t>Sustain and continuously improve AI Total Cost of Ownership</t>
  </si>
  <si>
    <t>AI Total Cost of Ownership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</si>
  <si>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Total Cost of Ownership</t>
  </si>
  <si>
    <t>The respondent is unsure of the current state. Engage relevant stakeholders (governance, delivery, business sponsors) to confirm, document, and communicate the current state of AI Total Cost of Ownership; treat as an awareness gap to address before scoring this capability.</t>
  </si>
  <si>
    <t>Validate applicability of AI Total Cost of Ownership</t>
  </si>
  <si>
    <t>The respondent indicated AI Total Cost of Ownership is not applicable. Validate with the consultant whether scope, context, or question wording should be adjusted; confirm there are no risk implications of treating this capability as out of scope.</t>
  </si>
  <si>
    <t>Establish baseline AI Sustainability Measurement</t>
  </si>
  <si>
    <t>AI Sustainability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</si>
  <si>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Sustainability Measurement</t>
  </si>
  <si>
    <t>AI Sustainability Measurement exists in partial form. Document standards, decision rights, and review cadence; ensure consistent application across the AI portfolio and close coverage gaps for in-scope use cases or teams.</t>
  </si>
  <si>
    <t>Integrate AI Sustainability Measurement into the operating model</t>
  </si>
  <si>
    <t>AI Sustainability Measurement is mature. Strengthen by embedding it into delivery, monitoring, and governance processes; tie outcomes to measurable KPIs and assigned owners; align with the AI risk tier and regulatory context.</t>
  </si>
  <si>
    <t>Sustain and continuously improve AI Sustainability Measurement</t>
  </si>
  <si>
    <t>AI Sustainability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</si>
  <si>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Sustainability Measurement</t>
  </si>
  <si>
    <t>The respondent is unsure of the current state. Engage relevant stakeholders (governance, delivery, business sponsors) to confirm, document, and communicate the current state of AI Sustainability Measurement; treat as an awareness gap to address before scoring this capability.</t>
  </si>
  <si>
    <t>Validate applicability of AI Sustainability Measurement</t>
  </si>
  <si>
    <t>The respondent indicated AI Sustainability Measurement is not applicable. Validate with the consultant whether scope, context, or question wording should be adjusted; confirm there are no risk implications of treating this capability as out of scope.</t>
  </si>
  <si>
    <t>Establish baseline Fairness Performance Reporting</t>
  </si>
  <si>
    <t>Fairness Performance Reporting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</si>
  <si>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Fairness Performance Reporting</t>
  </si>
  <si>
    <t>Fairness Performance Reporting exists in partial form. Document standards, decision rights, and review cadence; ensure consistent application across the AI portfolio and close coverage gaps for in-scope use cases or teams.</t>
  </si>
  <si>
    <t>Integrate Fairness Performance Reporting into the operating model</t>
  </si>
  <si>
    <t>Fairness Performance Reporting is mature. Strengthen by embedding it into delivery, monitoring, and governance processes; tie outcomes to measurable KPIs and assigned owners; align with the AI risk tier and regulatory context.</t>
  </si>
  <si>
    <t>Sustain and continuously improve Fairness Performance Reporting</t>
  </si>
  <si>
    <t>Fairness Performance Reporting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</si>
  <si>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Fairness Performance Reporting</t>
  </si>
  <si>
    <t>The respondent is unsure of the current state. Engage relevant stakeholders (governance, delivery, business sponsors) to confirm, document, and communicate the current state of Fairness Performance Reporting; treat as an awareness gap to address before scoring this capability.</t>
  </si>
  <si>
    <t>Validate applicability of Fairness Performance Reporting</t>
  </si>
  <si>
    <t>The respondent indicated Fairness Performance Reporting is not applicable. Validate with the consultant whether scope, context, or question wording should be adjusted; confirm there are no risk implications of treating this capability as out of scope.</t>
  </si>
  <si>
    <t>Establish baseline Human Oversight Measurement</t>
  </si>
  <si>
    <t>Human Oversight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</si>
  <si>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 Oversight Measurement</t>
  </si>
  <si>
    <t>Human Oversight Measurement exists in partial form. Document standards, decision rights, and review cadence; ensure consistent application across the AI portfolio and close coverage gaps for in-scope use cases or teams.</t>
  </si>
  <si>
    <t>Integrate Human Oversight Measurement into the operating model</t>
  </si>
  <si>
    <t>Human Oversight Measurement is mature. Strengthen by embedding it into delivery, monitoring, and governance processes; tie outcomes to measurable KPIs and assigned owners; align with the AI risk tier and regulatory context.</t>
  </si>
  <si>
    <t>Sustain and continuously improve Human Oversight Measurement</t>
  </si>
  <si>
    <t>Human Oversight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</si>
  <si>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 Oversight Measurement</t>
  </si>
  <si>
    <t>The respondent is unsure of the current state. Engage relevant stakeholders (governance, delivery, business sponsors) to confirm, document, and communicate the current state of Human Oversight Measurement; treat as an awareness gap to address before scoring this capability.</t>
  </si>
  <si>
    <t>Validate applicability of Human Oversight Measurement</t>
  </si>
  <si>
    <t>The respondent indicated Human Oversight Measurement is not applicable. Validate with the consultant whether scope, context, or question wording should be adjusted; confirm there are no risk implications of treating this capability as out of scope.</t>
  </si>
  <si>
    <t>Establish baseline AI Audit Readiness</t>
  </si>
  <si>
    <t>AI Audit Readiness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</si>
  <si>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Audit Readiness</t>
  </si>
  <si>
    <t>AI Audit Readiness exists in partial form. Document standards, decision rights, and review cadence; ensure consistent application across the AI portfolio and close coverage gaps for in-scope use cases or teams.</t>
  </si>
  <si>
    <t>Integrate AI Audit Readiness into the operating model</t>
  </si>
  <si>
    <t>AI Audit Readiness is mature. Strengthen by embedding it into delivery, monitoring, and governance processes; tie outcomes to measurable KPIs and assigned owners; align with the AI risk tier and regulatory context.</t>
  </si>
  <si>
    <t>Sustain and continuously improve AI Audit Readiness</t>
  </si>
  <si>
    <t>AI Audit Readiness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</si>
  <si>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Audit Readiness</t>
  </si>
  <si>
    <t>The respondent is unsure of the current state. Engage relevant stakeholders (governance, delivery, business sponsors) to confirm, document, and communicate the current state of AI Audit Readiness; treat as an awareness gap to address before scoring this capability.</t>
  </si>
  <si>
    <t>Validate applicability of AI Audit Readiness</t>
  </si>
  <si>
    <t>The respondent indicated AI Audit Readiness is not applicable. Validate with the consultant whether scope, context, or question wording should be adjusted; confirm there are no risk implications of treating this capability as out of scope.</t>
  </si>
  <si>
    <t>Establish baseline Documentation Coverage Metric</t>
  </si>
  <si>
    <t>Documentation Coverage Metric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</si>
  <si>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Documentation Coverage Metric</t>
  </si>
  <si>
    <t>Documentation Coverage Metric exists in partial form. Document standards, decision rights, and review cadence; ensure consistent application across the AI portfolio and close coverage gaps for in-scope use cases or teams.</t>
  </si>
  <si>
    <t>Integrate Documentation Coverage Metric into the operating model</t>
  </si>
  <si>
    <t>Documentation Coverage Metric is mature. Strengthen by embedding it into delivery, monitoring, and governance processes; tie outcomes to measurable KPIs and assigned owners; align with the AI risk tier and regulatory context.</t>
  </si>
  <si>
    <t>Sustain and continuously improve Documentation Coverage Metric</t>
  </si>
  <si>
    <t>Documentation Coverage Metric is optimized. Maintain through scheduled review, internal/external benchmarking, and refinement based on incidents, audit findings, and emerging practices. Re-evaluate as the AI portfolio, regulations, and capabilities evolve.</t>
  </si>
  <si>
    <t>Close awareness gap on Documentation Coverage Metric</t>
  </si>
  <si>
    <t>The respondent is unsure of the current state. Engage relevant stakeholders (governance, delivery, business sponsors) to confirm, document, and communicate the current state of Documentation Coverage Metric; treat as an awareness gap to address before scoring this capability.</t>
  </si>
  <si>
    <t>Validate applicability of Documentation Coverage Metric</t>
  </si>
  <si>
    <t>The respondent indicated Documentation Coverage Metric is not applicable. Validate with the consultant whether scope, context, or question wording should be adjusted; confirm there are no risk implications of treating this capability as out of scope.</t>
  </si>
  <si>
    <t>Establish baseline AI Organizational Archetype</t>
  </si>
  <si>
    <t>AI Organizational Archetype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</si>
  <si>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Organizational Archetype</t>
  </si>
  <si>
    <t>AI Organizational Archetype exists in partial form. Document standards, decision rights, and review cadence; ensure consistent application across the AI portfolio and close coverage gaps for in-scope use cases or teams.</t>
  </si>
  <si>
    <t>Integrate AI Organizational Archetype into the operating model</t>
  </si>
  <si>
    <t>AI Organizational Archetype is mature. Strengthen by embedding it into delivery, monitoring, and governance processes; tie outcomes to measurable KPIs and assigned owners; align with the AI risk tier and regulatory context.</t>
  </si>
  <si>
    <t>Sustain and continuously improve AI Organizational Archetype</t>
  </si>
  <si>
    <t>AI Organizational Archetype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</si>
  <si>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Organizational Archetype</t>
  </si>
  <si>
    <t>The respondent is unsure of the current state. Engage relevant stakeholders (governance, delivery, business sponsors) to confirm, document, and communicate the current state of AI Organizational Archetype; treat as an awareness gap to address before scoring this capability.</t>
  </si>
  <si>
    <t>Validate applicability of AI Organizational Archetype</t>
  </si>
  <si>
    <t>The respondent indicated AI Organizational Archetype is not applicable. Validate with the consultant whether scope, context, or question wording should be adjusted; confirm there are no risk implications of treating this capability as out of scope.</t>
  </si>
  <si>
    <t>Establish baseline Dual Ownership Model</t>
  </si>
  <si>
    <t>Dual Ownership Model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</si>
  <si>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Dual Ownership Model</t>
  </si>
  <si>
    <t>Dual Ownership Model exists in partial form. Document standards, decision rights, and review cadence; ensure consistent application across the AI portfolio and close coverage gaps for in-scope use cases or teams.</t>
  </si>
  <si>
    <t>Integrate Dual Ownership Model into the operating model</t>
  </si>
  <si>
    <t>Dual Ownership Model is mature. Strengthen by embedding it into delivery, monitoring, and governance processes; tie outcomes to measurable KPIs and assigned owners; align with the AI risk tier and regulatory context.</t>
  </si>
  <si>
    <t>Sustain and continuously improve Dual Ownership Model</t>
  </si>
  <si>
    <t>Dual Ownership Model is optimized. Maintain through scheduled review, internal/external benchmarking, and refinement based on incidents, audit findings, and emerging practices. Re-evaluate as the AI portfolio, regulations, and capabilities evolve.</t>
  </si>
  <si>
    <t>Close awareness gap on Dual Ownership Model</t>
  </si>
  <si>
    <t>The respondent is unsure of the current state. Engage relevant stakeholders (governance, delivery, business sponsors) to confirm, document, and communicate the current state of Dual Ownership Model; treat as an awareness gap to address before scoring this capability.</t>
  </si>
  <si>
    <t>Validate applicability of Dual Ownership Model</t>
  </si>
  <si>
    <t>The respondent indicated Dual Ownership Model is not applicable. Validate with the consultant whether scope, context, or question wording should be adjusted; confirm there are no risk implications of treating this capability as out of scope.</t>
  </si>
  <si>
    <t>Establish baseline Shadow AI Discovery</t>
  </si>
  <si>
    <t>Shadow AI Discovery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</si>
  <si>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Shadow AI Discovery</t>
  </si>
  <si>
    <t>Shadow AI Discovery exists in partial form. Document standards, decision rights, and review cadence; ensure consistent application across the AI portfolio and close coverage gaps for in-scope use cases or teams.</t>
  </si>
  <si>
    <t>Integrate Shadow AI Discovery into the operating model</t>
  </si>
  <si>
    <t>Shadow AI Discovery is mature. Strengthen by embedding it into delivery, monitoring, and governance processes; tie outcomes to measurable KPIs and assigned owners; align with the AI risk tier and regulatory context.</t>
  </si>
  <si>
    <t>Sustain and continuously improve Shadow AI Discovery</t>
  </si>
  <si>
    <t>Shadow AI Discovery is optimized. Maintain through scheduled review, internal/external benchmarking, and refinement based on incidents, audit findings, and emerging practices. Re-evaluate as the AI portfolio, regulations, and capabilities evolve.</t>
  </si>
  <si>
    <t>Close awareness gap on Shadow AI Discovery</t>
  </si>
  <si>
    <t>The respondent is unsure of the current state. Engage relevant stakeholders (governance, delivery, business sponsors) to confirm, document, and communicate the current state of Shadow AI Discovery; treat as an awareness gap to address before scoring this capability.</t>
  </si>
  <si>
    <t>Validate applicability of Shadow AI Discovery</t>
  </si>
  <si>
    <t>The respondent indicated Shadow AI Discovery is not applicable. Validate with the consultant whether scope, context, or question wording should be adjusted; confirm there are no risk implications of treating this capability as out of scope.</t>
  </si>
  <si>
    <t>Establish baseline AI Funding Model</t>
  </si>
  <si>
    <t>AI Funding Model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</si>
  <si>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Funding Model</t>
  </si>
  <si>
    <t>AI Funding Model exists in partial form. Document standards, decision rights, and review cadence; ensure consistent application across the AI portfolio and close coverage gaps for in-scope use cases or teams.</t>
  </si>
  <si>
    <t>Integrate AI Funding Model into the operating model</t>
  </si>
  <si>
    <t>AI Funding Model is mature. Strengthen by embedding it into delivery, monitoring, and governance processes; tie outcomes to measurable KPIs and assigned owners; align with the AI risk tier and regulatory context.</t>
  </si>
  <si>
    <t>Sustain and continuously improve AI Funding Model</t>
  </si>
  <si>
    <t>AI Funding Model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</si>
  <si>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Funding Model</t>
  </si>
  <si>
    <t>The respondent is unsure of the current state. Engage relevant stakeholders (governance, delivery, business sponsors) to confirm, document, and communicate the current state of AI Funding Model; treat as an awareness gap to address before scoring this capability.</t>
  </si>
  <si>
    <t>Validate applicability of AI Funding Model</t>
  </si>
  <si>
    <t>The respondent indicated AI Funding Model is not applicable. Validate with the consultant whether scope, context, or question wording should be adjusted; confirm there are no risk implications of treating this capability as out of scope.</t>
  </si>
  <si>
    <t>Establish baseline AI Use Case Intake</t>
  </si>
  <si>
    <t>AI Use Case Intake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</si>
  <si>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Use Case Intake</t>
  </si>
  <si>
    <t>AI Use Case Intake exists in partial form. Document standards, decision rights, and review cadence; ensure consistent application across the AI portfolio and close coverage gaps for in-scope use cases or teams.</t>
  </si>
  <si>
    <t>Integrate AI Use Case Intake into the operating model</t>
  </si>
  <si>
    <t>AI Use Case Intake is mature. Strengthen by embedding it into delivery, monitoring, and governance processes; tie outcomes to measurable KPIs and assigned owners; align with the AI risk tier and regulatory context.</t>
  </si>
  <si>
    <t>Sustain and continuously improve AI Use Case Intake</t>
  </si>
  <si>
    <t>AI Use Case Intake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</si>
  <si>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Use Case Intake</t>
  </si>
  <si>
    <t>The respondent is unsure of the current state. Engage relevant stakeholders (governance, delivery, business sponsors) to confirm, document, and communicate the current state of AI Use Case Intake; treat as an awareness gap to address before scoring this capability.</t>
  </si>
  <si>
    <t>Validate applicability of AI Use Case Intake</t>
  </si>
  <si>
    <t>The respondent indicated AI Use Case Intake is not applicable. Validate with the consultant whether scope, context, or question wording should be adjusted; confirm there are no risk implications of treating this capability as out of scope.</t>
  </si>
  <si>
    <t>Establish baseline Human-in-the-Loop Design</t>
  </si>
  <si>
    <t>Human-in-the-Loop Design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</si>
  <si>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Human-in-the-Loop Design</t>
  </si>
  <si>
    <t>Human-in-the-Loop Design exists in partial form. Document standards, decision rights, and review cadence; ensure consistent application across the AI portfolio and close coverage gaps for in-scope use cases or teams.</t>
  </si>
  <si>
    <t>Integrate Human-in-the-Loop Design into the operating model</t>
  </si>
  <si>
    <t>Human-in-the-Loop Design is mature. Strengthen by embedding it into delivery, monitoring, and governance processes; tie outcomes to measurable KPIs and assigned owners; align with the AI risk tier and regulatory context.</t>
  </si>
  <si>
    <t>Sustain and continuously improve Human-in-the-Loop Design</t>
  </si>
  <si>
    <t>Human-in-the-Loop Design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</si>
  <si>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Human-in-the-Loop Design</t>
  </si>
  <si>
    <t>The respondent is unsure of the current state. Engage relevant stakeholders (governance, delivery, business sponsors) to confirm, document, and communicate the current state of Human-in-the-Loop Design; treat as an awareness gap to address before scoring this capability.</t>
  </si>
  <si>
    <t>Validate applicability of Human-in-the-Loop Design</t>
  </si>
  <si>
    <t>The respondent indicated Human-in-the-Loop Design is not applicable. Validate with the consultant whether scope, context, or question wording should be adjusted; confirm there are no risk implications of treating this capability as out of scope.</t>
  </si>
  <si>
    <t>Establish baseline AI Decommissioning Process</t>
  </si>
  <si>
    <t>AI Decommissioning Process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</si>
  <si>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Decommissioning Process</t>
  </si>
  <si>
    <t>AI Decommissioning Process exists in partial form. Document standards, decision rights, and review cadence; ensure consistent application across the AI portfolio and close coverage gaps for in-scope use cases or teams.</t>
  </si>
  <si>
    <t>Integrate AI Decommissioning Process into the operating model</t>
  </si>
  <si>
    <t>AI Decommissioning Process is mature. Strengthen by embedding it into delivery, monitoring, and governance processes; tie outcomes to measurable KPIs and assigned owners; align with the AI risk tier and regulatory context.</t>
  </si>
  <si>
    <t>Sustain and continuously improve AI Decommissioning Process</t>
  </si>
  <si>
    <t>AI Decommissioning Process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</si>
  <si>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Decommissioning Process</t>
  </si>
  <si>
    <t>The respondent is unsure of the current state. Engage relevant stakeholders (governance, delivery, business sponsors) to confirm, document, and communicate the current state of AI Decommissioning Process; treat as an awareness gap to address before scoring this capability.</t>
  </si>
  <si>
    <t>Validate applicability of AI Decommissioning Process</t>
  </si>
  <si>
    <t>The respondent indicated AI Decommissioning Process is not applicable. Validate with the consultant whether scope, context, or question wording should be adjusted; confirm there are no risk implications of treating this capability as out of scope.</t>
  </si>
  <si>
    <t>Establish baseline Day-to-Day RACI Clarity</t>
  </si>
  <si>
    <t>Day-to-Day RACI Clarity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</si>
  <si>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Day-to-Day RACI Clarity</t>
  </si>
  <si>
    <t>Day-to-Day RACI Clarity exists in partial form. Document standards, decision rights, and review cadence; ensure consistent application across the AI portfolio and close coverage gaps for in-scope use cases or teams.</t>
  </si>
  <si>
    <t>Integrate Day-to-Day RACI Clarity into the operating model</t>
  </si>
  <si>
    <t>Day-to-Day RACI Clarity is mature. Strengthen by embedding it into delivery, monitoring, and governance processes; tie outcomes to measurable KPIs and assigned owners; align with the AI risk tier and regulatory context.</t>
  </si>
  <si>
    <t>Sustain and continuously improve Day-to-Day RACI Clarity</t>
  </si>
  <si>
    <t>Day-to-Day RACI Clarity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</si>
  <si>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Day-to-Day RACI Clarity</t>
  </si>
  <si>
    <t>The respondent is unsure of the current state. Engage relevant stakeholders (governance, delivery, business sponsors) to confirm, document, and communicate the current state of Day-to-Day RACI Clarity; treat as an awareness gap to address before scoring this capability.</t>
  </si>
  <si>
    <t>Validate applicability of Day-to-Day RACI Clarity</t>
  </si>
  <si>
    <t>The respondent indicated Day-to-Day RACI Clarity is not applicable. Validate with the consultant whether scope, context, or question wording should be adjusted; confirm there are no risk implications of treating this capability as out of scope.</t>
  </si>
  <si>
    <t>Establish baseline Reusable Data Pipelines for AI</t>
  </si>
  <si>
    <t>Reusable Data Pipelines for AI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</si>
  <si>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Reusable Data Pipelines for AI</t>
  </si>
  <si>
    <t>Reusable Data Pipelines for AI exists in partial form. Document standards, decision rights, and review cadence; ensure consistent application across the AI portfolio and close coverage gaps for in-scope use cases or teams.</t>
  </si>
  <si>
    <t>Integrate Reusable Data Pipelines for AI into the operating model</t>
  </si>
  <si>
    <t>Reusable Data Pipelines for AI is mature. Strengthen by embedding it into delivery, monitoring, and governance processes; tie outcomes to measurable KPIs and assigned owners; align with the AI risk tier and regulatory context.</t>
  </si>
  <si>
    <t>Sustain and continuously improve Reusable Data Pipelines for AI</t>
  </si>
  <si>
    <t>Reusable Data Pipelines for AI is optimized. Maintain through scheduled review, internal/external benchmarking, and refinement based on incidents, audit findings, and emerging practices. Re-evaluate as the AI portfolio, regulations, and capabilities evolve.</t>
  </si>
  <si>
    <t>Close awareness gap on Reusable Data Pipelines for AI</t>
  </si>
  <si>
    <t>The respondent is unsure of the current state. Engage relevant stakeholders (governance, delivery, business sponsors) to confirm, document, and communicate the current state of Reusable Data Pipelines for AI; treat as an awareness gap to address before scoring this capability.</t>
  </si>
  <si>
    <t>Validate applicability of Reusable Data Pipelines for AI</t>
  </si>
  <si>
    <t>The respondent indicated Reusable Data Pipelines for AI is not applicable. Validate with the consultant whether scope, context, or question wording should be adjusted; confirm there are no risk implications of treating this capability as out of scope.</t>
  </si>
  <si>
    <t>Establish baseline Real-Time Model Inventory</t>
  </si>
  <si>
    <t>Real-Time Model Inventory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</si>
  <si>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Real-Time Model Inventory</t>
  </si>
  <si>
    <t>Real-Time Model Inventory exists in partial form. Document standards, decision rights, and review cadence; ensure consistent application across the AI portfolio and close coverage gaps for in-scope use cases or teams.</t>
  </si>
  <si>
    <t>Integrate Real-Time Model Inventory into the operating model</t>
  </si>
  <si>
    <t>Real-Time Model Inventory is mature. Strengthen by embedding it into delivery, monitoring, and governance processes; tie outcomes to measurable KPIs and assigned owners; align with the AI risk tier and regulatory context.</t>
  </si>
  <si>
    <t>Sustain and continuously improve Real-Time Model Inventory</t>
  </si>
  <si>
    <t>Real-Time Model Inventory is optimized. Maintain through scheduled review, internal/external benchmarking, and refinement based on incidents, audit findings, and emerging practices. Re-evaluate as the AI portfolio, regulations, and capabilities evolve.</t>
  </si>
  <si>
    <t>Close awareness gap on Real-Time Model Inventory</t>
  </si>
  <si>
    <t>The respondent is unsure of the current state. Engage relevant stakeholders (governance, delivery, business sponsors) to confirm, document, and communicate the current state of Real-Time Model Inventory; treat as an awareness gap to address before scoring this capability.</t>
  </si>
  <si>
    <t>Validate applicability of Real-Time Model Inventory</t>
  </si>
  <si>
    <t>The respondent indicated Real-Time Model Inventory is not applicable. Validate with the consultant whether scope, context, or question wording should be adjusted; confirm there are no risk implications of treating this capability as out of scope.</t>
  </si>
  <si>
    <t>Establish baseline AI Tooling Standards</t>
  </si>
  <si>
    <t>AI Tooling Standards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</si>
  <si>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Tooling Standards</t>
  </si>
  <si>
    <t>AI Tooling Standards exists in partial form. Document standards, decision rights, and review cadence; ensure consistent application across the AI portfolio and close coverage gaps for in-scope use cases or teams.</t>
  </si>
  <si>
    <t>Integrate AI Tooling Standards into the operating model</t>
  </si>
  <si>
    <t>AI Tooling Standards is mature. Strengthen by embedding it into delivery, monitoring, and governance processes; tie outcomes to measurable KPIs and assigned owners; align with the AI risk tier and regulatory context.</t>
  </si>
  <si>
    <t>Sustain and continuously improve AI Tooling Standards</t>
  </si>
  <si>
    <t>AI Tooling Standards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</si>
  <si>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Tooling Standards</t>
  </si>
  <si>
    <t>The respondent is unsure of the current state. Engage relevant stakeholders (governance, delivery, business sponsors) to confirm, document, and communicate the current state of AI Tooling Standards; treat as an awareness gap to address before scoring this capability.</t>
  </si>
  <si>
    <t>Validate applicability of AI Tooling Standards</t>
  </si>
  <si>
    <t>The respondent indicated AI Tooling Standards is not applicable. Validate with the consultant whether scope, context, or question wording should be adjusted; confirm there are no risk implications of treating this capability as out of scope.</t>
  </si>
  <si>
    <t>Establish baseline Pipeline-Embedded Governance</t>
  </si>
  <si>
    <t>Pipeline-Embedded Governance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</si>
  <si>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Pipeline-Embedded Governance</t>
  </si>
  <si>
    <t>Pipeline-Embedded Governance exists in partial form. Document standards, decision rights, and review cadence; ensure consistent application across the AI portfolio and close coverage gaps for in-scope use cases or teams.</t>
  </si>
  <si>
    <t>Integrate Pipeline-Embedded Governance into the operating model</t>
  </si>
  <si>
    <t>Pipeline-Embedded Governance is mature. Strengthen by embedding it into delivery, monitoring, and governance processes; tie outcomes to measurable KPIs and assigned owners; align with the AI risk tier and regulatory context.</t>
  </si>
  <si>
    <t>Sustain and continuously improve Pipeline-Embedded Governance</t>
  </si>
  <si>
    <t>Pipeline-Embedded Governance is optimized. Maintain through scheduled review, internal/external benchmarking, and refinement based on incidents, audit findings, and emerging practices. Re-evaluate as the AI portfolio, regulations, and capabilities evolve.</t>
  </si>
  <si>
    <t>Close awareness gap on Pipeline-Embedded Governance</t>
  </si>
  <si>
    <t>The respondent is unsure of the current state. Engage relevant stakeholders (governance, delivery, business sponsors) to confirm, document, and communicate the current state of Pipeline-Embedded Governance; treat as an awareness gap to address before scoring this capability.</t>
  </si>
  <si>
    <t>Validate applicability of Pipeline-Embedded Governance</t>
  </si>
  <si>
    <t>The respondent indicated Pipeline-Embedded Governance is not applicable. Validate with the consultant whether scope, context, or question wording should be adjusted; confirm there are no risk implications of treating this capability as out of scope.</t>
  </si>
  <si>
    <t>Establish baseline AI Role Definition</t>
  </si>
  <si>
    <t>AI Role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</si>
  <si>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Role Definition</t>
  </si>
  <si>
    <t>AI Role Definition exists in partial form. Document standards, decision rights, and review cadence; ensure consistent application across the AI portfolio and close coverage gaps for in-scope use cases or teams.</t>
  </si>
  <si>
    <t>Integrate AI Role Definition into the operating model</t>
  </si>
  <si>
    <t>AI Role Definition is mature. Strengthen by embedding it into delivery, monitoring, and governance processes; tie outcomes to measurable KPIs and assigned owners; align with the AI risk tier and regulatory context.</t>
  </si>
  <si>
    <t>Sustain and continuously improve AI Role Definition</t>
  </si>
  <si>
    <t>AI Role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</si>
  <si>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Role Definition</t>
  </si>
  <si>
    <t>The respondent is unsure of the current state. Engage relevant stakeholders (governance, delivery, business sponsors) to confirm, document, and communicate the current state of AI Role Definition; treat as an awareness gap to address before scoring this capability.</t>
  </si>
  <si>
    <t>Validate applicability of AI Role Definition</t>
  </si>
  <si>
    <t>The respondent indicated AI Role Definition is not applicable. Validate with the consultant whether scope, context, or question wording should be adjusted; confirm there are no risk implications of treating this capability as out of scope.</t>
  </si>
  <si>
    <t>Establish baseline Delivery Incentive Alignment</t>
  </si>
  <si>
    <t>Delivery Incentive Alignment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</si>
  <si>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Delivery Incentive Alignment</t>
  </si>
  <si>
    <t>Delivery Incentive Alignment exists in partial form. Document standards, decision rights, and review cadence; ensure consistent application across the AI portfolio and close coverage gaps for in-scope use cases or teams.</t>
  </si>
  <si>
    <t>Integrate Delivery Incentive Alignment into the operating model</t>
  </si>
  <si>
    <t>Delivery Incentive Alignment is mature. Strengthen by embedding it into delivery, monitoring, and governance processes; tie outcomes to measurable KPIs and assigned owners; align with the AI risk tier and regulatory context.</t>
  </si>
  <si>
    <t>Sustain and continuously improve Delivery Incentive Alignment</t>
  </si>
  <si>
    <t>Delivery Incentive Alignment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</si>
  <si>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Delivery Incentive Alignment</t>
  </si>
  <si>
    <t>The respondent is unsure of the current state. Engage relevant stakeholders (governance, delivery, business sponsors) to confirm, document, and communicate the current state of Delivery Incentive Alignment; treat as an awareness gap to address before scoring this capability.</t>
  </si>
  <si>
    <t>Validate applicability of Delivery Incentive Alignment</t>
  </si>
  <si>
    <t>The respondent indicated Delivery Incentive Alignment is not applicable. Validate with the consultant whether scope, context, or question wording should be adjusted; confirm there are no risk implications of treating this capability as out of scope.</t>
  </si>
  <si>
    <t>Establish baseline Cross-Functional AI Literacy</t>
  </si>
  <si>
    <t>Cross-Functional AI Literacy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</si>
  <si>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Cross-Functional AI Literacy</t>
  </si>
  <si>
    <t>Cross-Functional AI Literacy exists in partial form. Document standards, decision rights, and review cadence; ensure consistent application across the AI portfolio and close coverage gaps for in-scope use cases or teams.</t>
  </si>
  <si>
    <t>Integrate Cross-Functional AI Literacy into the operating model</t>
  </si>
  <si>
    <t>Cross-Functional AI Literacy is mature. Strengthen by embedding it into delivery, monitoring, and governance processes; tie outcomes to measurable KPIs and assigned owners; align with the AI risk tier and regulatory context.</t>
  </si>
  <si>
    <t>Sustain and continuously improve Cross-Functional AI Literacy</t>
  </si>
  <si>
    <t>Cross-Functional AI Literacy is optimized. Maintain through scheduled review, internal/external benchmarking, and refinement based on incidents, audit findings, and emerging practices. Re-evaluate as the AI portfolio, regulations, and capabilities evolve.</t>
  </si>
  <si>
    <t>Close awareness gap on Cross-Functional AI Literacy</t>
  </si>
  <si>
    <t>The respondent is unsure of the current state. Engage relevant stakeholders (governance, delivery, business sponsors) to confirm, document, and communicate the current state of Cross-Functional AI Literacy; treat as an awareness gap to address before scoring this capability.</t>
  </si>
  <si>
    <t>Validate applicability of Cross-Functional AI Literacy</t>
  </si>
  <si>
    <t>The respondent indicated Cross-Functional AI Literacy is not applicable. Validate with the consultant whether scope, context, or question wording should be adjusted; confirm there are no risk implications of treating this capability as out of scope.</t>
  </si>
  <si>
    <t>Establish baseline Use Case Scoring Rubric</t>
  </si>
  <si>
    <t>Use Case Scoring Rubric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</si>
  <si>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Use Case Scoring Rubric</t>
  </si>
  <si>
    <t>Use Case Scoring Rubric exists in partial form. Document standards, decision rights, and review cadence; ensure consistent application across the AI portfolio and close coverage gaps for in-scope use cases or teams.</t>
  </si>
  <si>
    <t>Integrate Use Case Scoring Rubric into the operating model</t>
  </si>
  <si>
    <t>Use Case Scoring Rubric is mature. Strengthen by embedding it into delivery, monitoring, and governance processes; tie outcomes to measurable KPIs and assigned owners; align with the AI risk tier and regulatory context.</t>
  </si>
  <si>
    <t>Sustain and continuously improve Use Case Scoring Rubric</t>
  </si>
  <si>
    <t>Use Case Scoring Rubric is optimized. Maintain through scheduled review, internal/external benchmarking, and refinement based on incidents, audit findings, and emerging practices. Re-evaluate as the AI portfolio, regulations, and capabilities evolve.</t>
  </si>
  <si>
    <t>Close awareness gap on Use Case Scoring Rubric</t>
  </si>
  <si>
    <t>The respondent is unsure of the current state. Engage relevant stakeholders (governance, delivery, business sponsors) to confirm, document, and communicate the current state of Use Case Scoring Rubric; treat as an awareness gap to address before scoring this capability.</t>
  </si>
  <si>
    <t>Validate applicability of Use Case Scoring Rubric</t>
  </si>
  <si>
    <t>The respondent indicated Use Case Scoring Rubric is not applicable. Validate with the consultant whether scope, context, or question wording should be adjusted; confirm there are no risk implications of treating this capability as out of scope.</t>
  </si>
  <si>
    <t>Establish baseline Multi-Dimensional Value Definition</t>
  </si>
  <si>
    <t>Multi-Dimensional Value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</si>
  <si>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Multi-Dimensional Value Definition</t>
  </si>
  <si>
    <t>Multi-Dimensional Value Definition exists in partial form. Document standards, decision rights, and review cadence; ensure consistent application across the AI portfolio and close coverage gaps for in-scope use cases or teams.</t>
  </si>
  <si>
    <t>Integrate Multi-Dimensional Value Definition into the operating model</t>
  </si>
  <si>
    <t>Multi-Dimensional Value Definition is mature. Strengthen by embedding it into delivery, monitoring, and governance processes; tie outcomes to measurable KPIs and assigned owners; align with the AI risk tier and regulatory context.</t>
  </si>
  <si>
    <t>Sustain and continuously improve Multi-Dimensional Value Definition</t>
  </si>
  <si>
    <t>Multi-Dimensional Value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</si>
  <si>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Multi-Dimensional Value Definition</t>
  </si>
  <si>
    <t>The respondent is unsure of the current state. Engage relevant stakeholders (governance, delivery, business sponsors) to confirm, document, and communicate the current state of Multi-Dimensional Value Definition; treat as an awareness gap to address before scoring this capability.</t>
  </si>
  <si>
    <t>Validate applicability of Multi-Dimensional Value Definition</t>
  </si>
  <si>
    <t>The respondent indicated Multi-Dimensional Value Definition is not applicable. Validate with the consultant whether scope, context, or question wording should be adjusted; confirm there are no risk implications of treating this capability as out of scope.</t>
  </si>
  <si>
    <t>Establish baseline Feasibility Assessment</t>
  </si>
  <si>
    <t>Feasibility Assessment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</si>
  <si>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Feasibility Assessment</t>
  </si>
  <si>
    <t>Feasibility Assessment exists in partial form. Document standards, decision rights, and review cadence; ensure consistent application across the AI portfolio and close coverage gaps for in-scope use cases or teams.</t>
  </si>
  <si>
    <t>Integrate Feasibility Assessment into the operating model</t>
  </si>
  <si>
    <t>Feasibility Assessment is mature. Strengthen by embedding it into delivery, monitoring, and governance processes; tie outcomes to measurable KPIs and assigned owners; align with the AI risk tier and regulatory context.</t>
  </si>
  <si>
    <t>Sustain and continuously improve Feasibility Assessment</t>
  </si>
  <si>
    <t>Feasibility Assessment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</si>
  <si>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Feasibility Assessment</t>
  </si>
  <si>
    <t>The respondent is unsure of the current state. Engage relevant stakeholders (governance, delivery, business sponsors) to confirm, document, and communicate the current state of Feasibility Assessment; treat as an awareness gap to address before scoring this capability.</t>
  </si>
  <si>
    <t>Validate applicability of Feasibility Assessment</t>
  </si>
  <si>
    <t>The respondent indicated Feasibility Assessment is not applicable. Validate with the consultant whether scope, context, or question wording should be adjusted; confirm there are no risk implications of treating this capability as out of scope.</t>
  </si>
  <si>
    <t>Establish baseline Right-Tool Evaluation</t>
  </si>
  <si>
    <t>Right-Tool Evaluation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</si>
  <si>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Right-Tool Evaluation</t>
  </si>
  <si>
    <t>Right-Tool Evaluation exists in partial form. Document standards, decision rights, and review cadence; ensure consistent application across the AI portfolio and close coverage gaps for in-scope use cases or teams.</t>
  </si>
  <si>
    <t>Integrate Right-Tool Evaluation into the operating model</t>
  </si>
  <si>
    <t>Right-Tool Evaluation is mature. Strengthen by embedding it into delivery, monitoring, and governance processes; tie outcomes to measurable KPIs and assigned owners; align with the AI risk tier and regulatory context.</t>
  </si>
  <si>
    <t>Sustain and continuously improve Right-Tool Evaluation</t>
  </si>
  <si>
    <t>Right-Tool Evaluation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</si>
  <si>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Right-Tool Evaluation</t>
  </si>
  <si>
    <t>The respondent is unsure of the current state. Engage relevant stakeholders (governance, delivery, business sponsors) to confirm, document, and communicate the current state of Right-Tool Evaluation; treat as an awareness gap to address before scoring this capability.</t>
  </si>
  <si>
    <t>Validate applicability of Right-Tool Evaluation</t>
  </si>
  <si>
    <t>The respondent indicated Right-Tool Evaluation is not applicable. Validate with the consultant whether scope, context, or question wording should be adjusted; confirm there are no risk implications of treating this capability as out of scope.</t>
  </si>
  <si>
    <t>Establish baseline Strategic Alignment Weighting</t>
  </si>
  <si>
    <t>Strategic Alignment Weighting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</si>
  <si>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Strategic Alignment Weighting</t>
  </si>
  <si>
    <t>Strategic Alignment Weighting exists in partial form. Document standards, decision rights, and review cadence; ensure consistent application across the AI portfolio and close coverage gaps for in-scope use cases or teams.</t>
  </si>
  <si>
    <t>Integrate Strategic Alignment Weighting into the operating model</t>
  </si>
  <si>
    <t>Strategic Alignment Weighting is mature. Strengthen by embedding it into delivery, monitoring, and governance processes; tie outcomes to measurable KPIs and assigned owners; align with the AI risk tier and regulatory context.</t>
  </si>
  <si>
    <t>Sustain and continuously improve Strategic Alignment Weighting</t>
  </si>
  <si>
    <t>Strategic Alignment Weighting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</si>
  <si>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Strategic Alignment Weighting</t>
  </si>
  <si>
    <t>The respondent is unsure of the current state. Engage relevant stakeholders (governance, delivery, business sponsors) to confirm, document, and communicate the current state of Strategic Alignment Weighting; treat as an awareness gap to address before scoring this capability.</t>
  </si>
  <si>
    <t>Validate applicability of Strategic Alignment Weighting</t>
  </si>
  <si>
    <t>The respondent indicated Strategic Alignment Weighting is not applicable. Validate with the consultant whether scope, context, or question wording should be adjusted; confirm there are no risk implications of treating this capability as out of scope.</t>
  </si>
  <si>
    <t>Establish baseline Portfolio Horizon Mix</t>
  </si>
  <si>
    <t>Portfolio Horizon Mix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</si>
  <si>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Portfolio Horizon Mix</t>
  </si>
  <si>
    <t>Portfolio Horizon Mix exists in partial form. Document standards, decision rights, and review cadence; ensure consistent application across the AI portfolio and close coverage gaps for in-scope use cases or teams.</t>
  </si>
  <si>
    <t>Integrate Portfolio Horizon Mix into the operating model</t>
  </si>
  <si>
    <t>Portfolio Horizon Mix is mature. Strengthen by embedding it into delivery, monitoring, and governance processes; tie outcomes to measurable KPIs and assigned owners; align with the AI risk tier and regulatory context.</t>
  </si>
  <si>
    <t>Sustain and continuously improve Portfolio Horizon Mix</t>
  </si>
  <si>
    <t>Portfolio Horizon Mix is optimized. Maintain through scheduled review, internal/external benchmarking, and refinement based on incidents, audit findings, and emerging practices. Re-evaluate as the AI portfolio, regulations, and capabilities evolve.</t>
  </si>
  <si>
    <t>Close awareness gap on Portfolio Horizon Mix</t>
  </si>
  <si>
    <t>The respondent is unsure of the current state. Engage relevant stakeholders (governance, delivery, business sponsors) to confirm, document, and communicate the current state of Portfolio Horizon Mix; treat as an awareness gap to address before scoring this capability.</t>
  </si>
  <si>
    <t>Validate applicability of Portfolio Horizon Mix</t>
  </si>
  <si>
    <t>The respondent indicated Portfolio Horizon Mix is not applicable. Validate with the consultant whether scope, context, or question wording should be adjusted; confirm there are no risk implications of treating this capability as out of scope.</t>
  </si>
  <si>
    <t>Establish baseline Active Portfolio Rebalancing</t>
  </si>
  <si>
    <t>Active Portfolio Rebalancing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</si>
  <si>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Active Portfolio Rebalancing</t>
  </si>
  <si>
    <t>Active Portfolio Rebalancing exists in partial form. Document standards, decision rights, and review cadence; ensure consistent application across the AI portfolio and close coverage gaps for in-scope use cases or teams.</t>
  </si>
  <si>
    <t>Integrate Active Portfolio Rebalancing into the operating model</t>
  </si>
  <si>
    <t>Active Portfolio Rebalancing is mature. Strengthen by embedding it into delivery, monitoring, and governance processes; tie outcomes to measurable KPIs and assigned owners; align with the AI risk tier and regulatory context.</t>
  </si>
  <si>
    <t>Sustain and continuously improve Active Portfolio Rebalancing</t>
  </si>
  <si>
    <t>Active Portfolio Rebalancing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</si>
  <si>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Active Portfolio Rebalancing</t>
  </si>
  <si>
    <t>The respondent is unsure of the current state. Engage relevant stakeholders (governance, delivery, business sponsors) to confirm, document, and communicate the current state of Active Portfolio Rebalancing; treat as an awareness gap to address before scoring this capability.</t>
  </si>
  <si>
    <t>Validate applicability of Active Portfolio Rebalancing</t>
  </si>
  <si>
    <t>The respondent indicated Active Portfolio Rebalancing is not applicable. Validate with the consultant whether scope, context, or question wording should be adjusted; confirm there are no risk implications of treating this capability as out of scope.</t>
  </si>
  <si>
    <t>Establish baseline Scarce-Resource Allocation</t>
  </si>
  <si>
    <t>Scarce-Resource Allocation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</si>
  <si>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Scarce-Resource Allocation</t>
  </si>
  <si>
    <t>Scarce-Resource Allocation exists in partial form. Document standards, decision rights, and review cadence; ensure consistent application across the AI portfolio and close coverage gaps for in-scope use cases or teams.</t>
  </si>
  <si>
    <t>Integrate Scarce-Resource Allocation into the operating model</t>
  </si>
  <si>
    <t>Scarce-Resource Allocation is mature. Strengthen by embedding it into delivery, monitoring, and governance processes; tie outcomes to measurable KPIs and assigned owners; align with the AI risk tier and regulatory context.</t>
  </si>
  <si>
    <t>Sustain and continuously improve Scarce-Resource Allocation</t>
  </si>
  <si>
    <t>Scarce-Resource Allocation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</si>
  <si>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Scarce-Resource Allocation</t>
  </si>
  <si>
    <t>The respondent is unsure of the current state. Engage relevant stakeholders (governance, delivery, business sponsors) to confirm, document, and communicate the current state of Scarce-Resource Allocation; treat as an awareness gap to address before scoring this capability.</t>
  </si>
  <si>
    <t>Validate applicability of Scarce-Resource Allocation</t>
  </si>
  <si>
    <t>The respondent indicated Scarce-Resource Allocation is not applicable. Validate with the consultant whether scope, context, or question wording should be adjusted; confirm there are no risk implications of treating this capability as out of scope.</t>
  </si>
  <si>
    <t>Establish baseline Early Risk Screening</t>
  </si>
  <si>
    <t>Early Risk Screening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</si>
  <si>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Early Risk Screening</t>
  </si>
  <si>
    <t>Early Risk Screening exists in partial form. Document standards, decision rights, and review cadence; ensure consistent application across the AI portfolio and close coverage gaps for in-scope use cases or teams.</t>
  </si>
  <si>
    <t>Integrate Early Risk Screening into the operating model</t>
  </si>
  <si>
    <t>Early Risk Screening is mature. Strengthen by embedding it into delivery, monitoring, and governance processes; tie outcomes to measurable KPIs and assigned owners; align with the AI risk tier and regulatory context.</t>
  </si>
  <si>
    <t>Sustain and continuously improve Early Risk Screening</t>
  </si>
  <si>
    <t>Early Risk Screening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</si>
  <si>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Early Risk Screening</t>
  </si>
  <si>
    <t>The respondent is unsure of the current state. Engage relevant stakeholders (governance, delivery, business sponsors) to confirm, document, and communicate the current state of Early Risk Screening; treat as an awareness gap to address before scoring this capability.</t>
  </si>
  <si>
    <t>Validate applicability of Early Risk Screening</t>
  </si>
  <si>
    <t>The respondent indicated Early Risk Screening is not applicable. Validate with the consultant whether scope, context, or question wording should be adjusted; confirm there are no risk implications of treating this capability as out of scope.</t>
  </si>
  <si>
    <t>Establish baseline Cost-of-Governance Inclusion</t>
  </si>
  <si>
    <t>Cost-of-Governance Inclusion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</si>
  <si>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Cost-of-Governance Inclusion</t>
  </si>
  <si>
    <t>Cost-of-Governance Inclusion exists in partial form. Document standards, decision rights, and review cadence; ensure consistent application across the AI portfolio and close coverage gaps for in-scope use cases or teams.</t>
  </si>
  <si>
    <t>Integrate Cost-of-Governance Inclusion into the operating model</t>
  </si>
  <si>
    <t>Cost-of-Governance Inclusion is mature. Strengthen by embedding it into delivery, monitoring, and governance processes; tie outcomes to measurable KPIs and assigned owners; align with the AI risk tier and regulatory context.</t>
  </si>
  <si>
    <t>Sustain and continuously improve Cost-of-Governance Inclusion</t>
  </si>
  <si>
    <t>Cost-of-Governance Inclusion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</si>
  <si>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Cost-of-Governance Inclusion</t>
  </si>
  <si>
    <t>The respondent is unsure of the current state. Engage relevant stakeholders (governance, delivery, business sponsors) to confirm, document, and communicate the current state of Cost-of-Governance Inclusion; treat as an awareness gap to address before scoring this capability.</t>
  </si>
  <si>
    <t>Validate applicability of Cost-of-Governance Inclusion</t>
  </si>
  <si>
    <t>The respondent indicated Cost-of-Governance Inclusion is not applicable. Validate with the consultant whether scope, context, or question wording should be adjusted; confirm there are no risk implications of treating this capability as out of scope.</t>
  </si>
  <si>
    <t>Establish baseline Data Sovereignty Risk Scoring</t>
  </si>
  <si>
    <t>Data Sovereignty Risk Scoring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</si>
  <si>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Data Sovereignty Risk Scoring</t>
  </si>
  <si>
    <t>Data Sovereignty Risk Scoring exists in partial form. Document standards, decision rights, and review cadence; ensure consistent application across the AI portfolio and close coverage gaps for in-scope use cases or teams.</t>
  </si>
  <si>
    <t>Integrate Data Sovereignty Risk Scoring into the operating model</t>
  </si>
  <si>
    <t>Data Sovereignty Risk Scoring is mature. Strengthen by embedding it into delivery, monitoring, and governance processes; tie outcomes to measurable KPIs and assigned owners; align with the AI risk tier and regulatory context.</t>
  </si>
  <si>
    <t>Sustain and continuously improve Data Sovereignty Risk Scoring</t>
  </si>
  <si>
    <t>Data Sovereignty Risk Scoring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</si>
  <si>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Data Sovereignty Risk Scoring</t>
  </si>
  <si>
    <t>The respondent is unsure of the current state. Engage relevant stakeholders (governance, delivery, business sponsors) to confirm, document, and communicate the current state of Data Sovereignty Risk Scoring; treat as an awareness gap to address before scoring this capability.</t>
  </si>
  <si>
    <t>Validate applicability of Data Sovereignty Risk Scoring</t>
  </si>
  <si>
    <t>The respondent indicated Data Sovereignty Risk Scoring is not applicable. Validate with the consultant whether scope, context, or question wording should be adjusted; confirm there are no risk implications of treating this capability as out of scope.</t>
  </si>
  <si>
    <t>Establish baseline Business Champion Commitment</t>
  </si>
  <si>
    <t>Business Champion Commitment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</si>
  <si>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Business Champion Commitment</t>
  </si>
  <si>
    <t>Business Champion Commitment exists in partial form. Document standards, decision rights, and review cadence; ensure consistent application across the AI portfolio and close coverage gaps for in-scope use cases or teams.</t>
  </si>
  <si>
    <t>Integrate Business Champion Commitment into the operating model</t>
  </si>
  <si>
    <t>Business Champion Commitment is mature. Strengthen by embedding it into delivery, monitoring, and governance processes; tie outcomes to measurable KPIs and assigned owners; align with the AI risk tier and regulatory context.</t>
  </si>
  <si>
    <t>Sustain and continuously improve Business Champion Commitment</t>
  </si>
  <si>
    <t>Business Champion Commitment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</si>
  <si>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Business Champion Commitment</t>
  </si>
  <si>
    <t>The respondent is unsure of the current state. Engage relevant stakeholders (governance, delivery, business sponsors) to confirm, document, and communicate the current state of Business Champion Commitment; treat as an awareness gap to address before scoring this capability.</t>
  </si>
  <si>
    <t>Validate applicability of Business Champion Commitment</t>
  </si>
  <si>
    <t>The respondent indicated Business Champion Commitment is not applicable. Validate with the consultant whether scope, context, or question wording should be adjusted; confirm there are no risk implications of treating this capability as out of scope.</t>
  </si>
  <si>
    <t>Establish baseline Adoption Effort Scoring</t>
  </si>
  <si>
    <t>Adoption Effort Scoring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</si>
  <si>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Adoption Effort Scoring</t>
  </si>
  <si>
    <t>Adoption Effort Scoring exists in partial form. Document standards, decision rights, and review cadence; ensure consistent application across the AI portfolio and close coverage gaps for in-scope use cases or teams.</t>
  </si>
  <si>
    <t>Integrate Adoption Effort Scoring into the operating model</t>
  </si>
  <si>
    <t>Adoption Effort Scoring is mature. Strengthen by embedding it into delivery, monitoring, and governance processes; tie outcomes to measurable KPIs and assigned owners; align with the AI risk tier and regulatory context.</t>
  </si>
  <si>
    <t>Sustain and continuously improve Adoption Effort Scoring</t>
  </si>
  <si>
    <t>Adoption Effort Scoring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</si>
  <si>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Adoption Effort Scoring</t>
  </si>
  <si>
    <t>The respondent is unsure of the current state. Engage relevant stakeholders (governance, delivery, business sponsors) to confirm, document, and communicate the current state of Adoption Effort Scoring; treat as an awareness gap to address before scoring this capability.</t>
  </si>
  <si>
    <t>Validate applicability of Adoption Effort Scoring</t>
  </si>
  <si>
    <t>The respondent indicated Adoption Effort Scoring is not applicable. Validate with the consultant whether scope, context, or question wording should be adjusted; confirm there are no risk implications of treating this capability as out of scope.</t>
  </si>
  <si>
    <t>Establish baseline Failed-Use-Case Learning Loop</t>
  </si>
  <si>
    <t>Failed-Use-Case Learning Loop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</si>
  <si>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Failed-Use-Case Learning Loop</t>
  </si>
  <si>
    <t>Failed-Use-Case Learning Loop exists in partial form. Document standards, decision rights, and review cadence; ensure consistent application across the AI portfolio and close coverage gaps for in-scope use cases or teams.</t>
  </si>
  <si>
    <t>Integrate Failed-Use-Case Learning Loop into the operating model</t>
  </si>
  <si>
    <t>Failed-Use-Case Learning Loop is mature. Strengthen by embedding it into delivery, monitoring, and governance processes; tie outcomes to measurable KPIs and assigned owners; align with the AI risk tier and regulatory context.</t>
  </si>
  <si>
    <t>Sustain and continuously improve Failed-Use-Case Learning Loop</t>
  </si>
  <si>
    <t>Failed-Use-Case Learning Loop is optimized. Maintain through scheduled review, internal/external benchmarking, and refinement based on incidents, audit findings, and emerging practices. Re-evaluate as the AI portfolio, regulations, and capabilities evolve.</t>
  </si>
  <si>
    <t>Close awareness gap on Failed-Use-Case Learning Loop</t>
  </si>
  <si>
    <t>The respondent is unsure of the current state. Engage relevant stakeholders (governance, delivery, business sponsors) to confirm, document, and communicate the current state of Failed-Use-Case Learning Loop; treat as an awareness gap to address before scoring this capability.</t>
  </si>
  <si>
    <t>Validate applicability of Failed-Use-Case Learning Loop</t>
  </si>
  <si>
    <t>The respondent indicated Failed-Use-Case Learning Loop is not applicable. Validate with the consultant whether scope, context, or question wording should be adjusted; confirm there are no risk implications of treating this capability as out of scope.</t>
  </si>
  <si>
    <t>Establish baseline Council AI Fluency</t>
  </si>
  <si>
    <t>Council AI Fluency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</si>
  <si>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AI Fluency</t>
  </si>
  <si>
    <t>Council AI Fluency exists in partial form. Document standards, decision rights, and review cadence; ensure consistent application across the AI portfolio and close coverage gaps for in-scope use cases or teams.</t>
  </si>
  <si>
    <t>Integrate Council AI Fluency into the operating model</t>
  </si>
  <si>
    <t>Council AI Fluency is mature. Strengthen by embedding it into delivery, monitoring, and governance processes; tie outcomes to measurable KPIs and assigned owners; align with the AI risk tier and regulatory context.</t>
  </si>
  <si>
    <t>Sustain and continuously improve Council AI Fluency</t>
  </si>
  <si>
    <t>Council AI Fluency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</si>
  <si>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AI Fluency</t>
  </si>
  <si>
    <t>The respondent is unsure of the current state. Engage relevant stakeholders (governance, delivery, business sponsors) to confirm, document, and communicate the current state of Council AI Fluency; treat as an awareness gap to address before scoring this capability.</t>
  </si>
  <si>
    <t>Validate applicability of Council AI Fluency</t>
  </si>
  <si>
    <t>The respondent indicated Council AI Fluency is not applicable. Validate with the consultant whether scope, context, or question wording should be adjusted; confirm there are no risk implications of treating this capability as out of scope.</t>
  </si>
  <si>
    <t>Establish baseline AI Regulatory Knowledge</t>
  </si>
  <si>
    <t>AI Regulatory Knowledge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</si>
  <si>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Regulatory Knowledge</t>
  </si>
  <si>
    <t>AI Regulatory Knowledge exists in partial form. Document standards, decision rights, and review cadence; ensure consistent application across the AI portfolio and close coverage gaps for in-scope use cases or teams.</t>
  </si>
  <si>
    <t>Integrate AI Regulatory Knowledge into the operating model</t>
  </si>
  <si>
    <t>AI Regulatory Knowledge is mature. Strengthen by embedding it into delivery, monitoring, and governance processes; tie outcomes to measurable KPIs and assigned owners; align with the AI risk tier and regulatory context.</t>
  </si>
  <si>
    <t>Sustain and continuously improve AI Regulatory Knowledge</t>
  </si>
  <si>
    <t>AI Regulatory Knowledge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</si>
  <si>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Regulatory Knowledge</t>
  </si>
  <si>
    <t>The respondent is unsure of the current state. Engage relevant stakeholders (governance, delivery, business sponsors) to confirm, document, and communicate the current state of AI Regulatory Knowledge; treat as an awareness gap to address before scoring this capability.</t>
  </si>
  <si>
    <t>Validate applicability of AI Regulatory Knowledge</t>
  </si>
  <si>
    <t>The respondent indicated AI Regulatory Knowledge is not applicable. Validate with the consultant whether scope, context, or question wording should be adjusted; confirm there are no risk implications of treating this capability as out of scope.</t>
  </si>
  <si>
    <t>Establish baseline Council Risk Decision Calibration</t>
  </si>
  <si>
    <t>Council Risk Decision Calibration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</si>
  <si>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Risk Decision Calibration</t>
  </si>
  <si>
    <t>Council Risk Decision Calibration exists in partial form. Document standards, decision rights, and review cadence; ensure consistent application across the AI portfolio and close coverage gaps for in-scope use cases or teams.</t>
  </si>
  <si>
    <t>Integrate Council Risk Decision Calibration into the operating model</t>
  </si>
  <si>
    <t>Council Risk Decision Calibration is mature. Strengthen by embedding it into delivery, monitoring, and governance processes; tie outcomes to measurable KPIs and assigned owners; align with the AI risk tier and regulatory context.</t>
  </si>
  <si>
    <t>Sustain and continuously improve Council Risk Decision Calibration</t>
  </si>
  <si>
    <t>Council Risk Decision Calibration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</si>
  <si>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Risk Decision Calibration</t>
  </si>
  <si>
    <t>The respondent is unsure of the current state. Engage relevant stakeholders (governance, delivery, business sponsors) to confirm, document, and communicate the current state of Council Risk Decision Calibration; treat as an awareness gap to address before scoring this capability.</t>
  </si>
  <si>
    <t>Validate applicability of Council Risk Decision Calibration</t>
  </si>
  <si>
    <t>The respondent indicated Council Risk Decision Calibration is not applicable. Validate with the consultant whether scope, context, or question wording should be adjusted; confirm there are no risk implications of treating this capability as out of scope.</t>
  </si>
  <si>
    <t>Establish baseline Council Explainability Literacy</t>
  </si>
  <si>
    <t>Council Explainability Literacy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</si>
  <si>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Explainability Literacy</t>
  </si>
  <si>
    <t>Council Explainability Literacy exists in partial form. Document standards, decision rights, and review cadence; ensure consistent application across the AI portfolio and close coverage gaps for in-scope use cases or teams.</t>
  </si>
  <si>
    <t>Integrate Council Explainability Literacy into the operating model</t>
  </si>
  <si>
    <t>Council Explainability Literacy is mature. Strengthen by embedding it into delivery, monitoring, and governance processes; tie outcomes to measurable KPIs and assigned owners; align with the AI risk tier and regulatory context.</t>
  </si>
  <si>
    <t>Sustain and continuously improve Council Explainability Literacy</t>
  </si>
  <si>
    <t>Council Explainability Literacy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</si>
  <si>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Explainability Literacy</t>
  </si>
  <si>
    <t>The respondent is unsure of the current state. Engage relevant stakeholders (governance, delivery, business sponsors) to confirm, document, and communicate the current state of Council Explainability Literacy; treat as an awareness gap to address before scoring this capability.</t>
  </si>
  <si>
    <t>Validate applicability of Council Explainability Literacy</t>
  </si>
  <si>
    <t>The respondent indicated Council Explainability Literacy is not applicable. Validate with the consultant whether scope, context, or question wording should be adjusted; confirm there are no risk implications of treating this capability as out of scope.</t>
  </si>
  <si>
    <t>Establish baseline Council Technical Failure Recognition</t>
  </si>
  <si>
    <t>Council Technical Failure Recognition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</si>
  <si>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Technical Failure Recognition</t>
  </si>
  <si>
    <t>Council Technical Failure Recognition exists in partial form. Document standards, decision rights, and review cadence; ensure consistent application across the AI portfolio and close coverage gaps for in-scope use cases or teams.</t>
  </si>
  <si>
    <t>Integrate Council Technical Failure Recognition into the operating model</t>
  </si>
  <si>
    <t>Council Technical Failure Recognition is mature. Strengthen by embedding it into delivery, monitoring, and governance processes; tie outcomes to measurable KPIs and assigned owners; align with the AI risk tier and regulatory context.</t>
  </si>
  <si>
    <t>Sustain and continuously improve Council Technical Failure Recognition</t>
  </si>
  <si>
    <t>Council Technical Failure Recognition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</si>
  <si>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Technical Failure Recognition</t>
  </si>
  <si>
    <t>The respondent is unsure of the current state. Engage relevant stakeholders (governance, delivery, business sponsors) to confirm, document, and communicate the current state of Council Technical Failure Recognition; treat as an awareness gap to address before scoring this capability.</t>
  </si>
  <si>
    <t>Validate applicability of Council Technical Failure Recognition</t>
  </si>
  <si>
    <t>The respondent indicated Council Technical Failure Recognition is not applicable. Validate with the consultant whether scope, context, or question wording should be adjusted; confirm there are no risk implications of treating this capability as out of scope.</t>
  </si>
  <si>
    <t>Establish baseline Employee Tool-Awareness Training</t>
  </si>
  <si>
    <t>Employee Tool-Awareness Training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</si>
  <si>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Employee Tool-Awareness Training</t>
  </si>
  <si>
    <t>Employee Tool-Awareness Training exists in partial form. Document standards, decision rights, and review cadence; ensure consistent application across the AI portfolio and close coverage gaps for in-scope use cases or teams.</t>
  </si>
  <si>
    <t>Integrate Employee Tool-Awareness Training into the operating model</t>
  </si>
  <si>
    <t>Employee Tool-Awareness Training is mature. Strengthen by embedding it into delivery, monitoring, and governance processes; tie outcomes to measurable KPIs and assigned owners; align with the AI risk tier and regulatory context.</t>
  </si>
  <si>
    <t>Sustain and continuously improve Employee Tool-Awareness Training</t>
  </si>
  <si>
    <t>Employee Tool-Awareness Training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</si>
  <si>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Employee Tool-Awareness Training</t>
  </si>
  <si>
    <t>The respondent is unsure of the current state. Engage relevant stakeholders (governance, delivery, business sponsors) to confirm, document, and communicate the current state of Employee Tool-Awareness Training; treat as an awareness gap to address before scoring this capability.</t>
  </si>
  <si>
    <t>Validate applicability of Employee Tool-Awareness Training</t>
  </si>
  <si>
    <t>The respondent indicated Employee Tool-Awareness Training is not applicable. Validate with the consultant whether scope, context, or question wording should be adjusted; confirm there are no risk implications of treating this capability as out of scope.</t>
  </si>
  <si>
    <t>Establish baseline Prompt and Output Verification Skills</t>
  </si>
  <si>
    <t>Prompt and Output Verification Skills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</si>
  <si>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Prompt and Output Verification Skills</t>
  </si>
  <si>
    <t>Prompt and Output Verification Skills exists in partial form. Document standards, decision rights, and review cadence; ensure consistent application across the AI portfolio and close coverage gaps for in-scope use cases or teams.</t>
  </si>
  <si>
    <t>Integrate Prompt and Output Verification Skills into the operating model</t>
  </si>
  <si>
    <t>Prompt and Output Verification Skills is mature. Strengthen by embedding it into delivery, monitoring, and governance processes; tie outcomes to measurable KPIs and assigned owners; align with the AI risk tier and regulatory context.</t>
  </si>
  <si>
    <t>Sustain and continuously improve Prompt and Output Verification Skills</t>
  </si>
  <si>
    <t>Prompt and Output Verification Skills is optimized. Maintain through scheduled review, internal/external benchmarking, and refinement based on incidents, audit findings, and emerging practices. Re-evaluate as the AI portfolio, regulations, and capabilities evolve.</t>
  </si>
  <si>
    <t>Close awareness gap on Prompt and Output Verification Skills</t>
  </si>
  <si>
    <t>The respondent is unsure of the current state. Engage relevant stakeholders (governance, delivery, business sponsors) to confirm, document, and communicate the current state of Prompt and Output Verification Skills; treat as an awareness gap to address before scoring this capability.</t>
  </si>
  <si>
    <t>Validate applicability of Prompt and Output Verification Skills</t>
  </si>
  <si>
    <t>The respondent indicated Prompt and Output Verification Skills is not applicable. Validate with the consultant whether scope, context, or question wording should be adjusted; confirm there are no risk implications of treating this capability as out of scope.</t>
  </si>
  <si>
    <t>Establish baseline Sensitive Data Awareness</t>
  </si>
  <si>
    <t>Sensitive Data Awareness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</si>
  <si>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Sensitive Data Awareness</t>
  </si>
  <si>
    <t>Sensitive Data Awareness exists in partial form. Document standards, decision rights, and review cadence; ensure consistent application across the AI portfolio and close coverage gaps for in-scope use cases or teams.</t>
  </si>
  <si>
    <t>Integrate Sensitive Data Awareness into the operating model</t>
  </si>
  <si>
    <t>Sensitive Data Awareness is mature. Strengthen by embedding it into delivery, monitoring, and governance processes; tie outcomes to measurable KPIs and assigned owners; align with the AI risk tier and regulatory context.</t>
  </si>
  <si>
    <t>Sustain and continuously improve Sensitive Data Awareness</t>
  </si>
  <si>
    <t>Sensitive Data Awareness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</si>
  <si>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Sensitive Data Awareness</t>
  </si>
  <si>
    <t>The respondent is unsure of the current state. Engage relevant stakeholders (governance, delivery, business sponsors) to confirm, document, and communicate the current state of Sensitive Data Awareness; treat as an awareness gap to address before scoring this capability.</t>
  </si>
  <si>
    <t>Validate applicability of Sensitive Data Awareness</t>
  </si>
  <si>
    <t>The respondent indicated Sensitive Data Awareness is not applicable. Validate with the consultant whether scope, context, or question wording should be adjusted; confirm there are no risk implications of treating this capability as out of scope.</t>
  </si>
  <si>
    <t>Establish baseline Human Accountability for AI Output</t>
  </si>
  <si>
    <t>Human Accountability for AI Output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</si>
  <si>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 Accountability for AI Output</t>
  </si>
  <si>
    <t>Human Accountability for AI Output exists in partial form. Document standards, decision rights, and review cadence; ensure consistent application across the AI portfolio and close coverage gaps for in-scope use cases or teams.</t>
  </si>
  <si>
    <t>Integrate Human Accountability for AI Output into the operating model</t>
  </si>
  <si>
    <t>Human Accountability for AI Output is mature. Strengthen by embedding it into delivery, monitoring, and governance processes; tie outcomes to measurable KPIs and assigned owners; align with the AI risk tier and regulatory context.</t>
  </si>
  <si>
    <t>Sustain and continuously improve Human Accountability for AI Output</t>
  </si>
  <si>
    <t>Human Accountability for AI Output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</si>
  <si>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 Accountability for AI Output</t>
  </si>
  <si>
    <t>The respondent is unsure of the current state. Engage relevant stakeholders (governance, delivery, business sponsors) to confirm, document, and communicate the current state of Human Accountability for AI Output; treat as an awareness gap to address before scoring this capability.</t>
  </si>
  <si>
    <t>Validate applicability of Human Accountability for AI Output</t>
  </si>
  <si>
    <t>The respondent indicated Human Accountability for AI Output is not applicable. Validate with the consultant whether scope, context, or question wording should be adjusted; confirm there are no risk implications of treating this capability as out of scope.</t>
  </si>
  <si>
    <t>Establish baseline "Good AI Problem" Recognition</t>
  </si>
  <si>
    <t>"Good AI Problem" Recognition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</si>
  <si>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"Good AI Problem" Recognition</t>
  </si>
  <si>
    <t>"Good AI Problem" Recognition exists in partial form. Document standards, decision rights, and review cadence; ensure consistent application across the AI portfolio and close coverage gaps for in-scope use cases or teams.</t>
  </si>
  <si>
    <t>Integrate "Good AI Problem" Recognition into the operating model</t>
  </si>
  <si>
    <t>"Good AI Problem" Recognition is mature. Strengthen by embedding it into delivery, monitoring, and governance processes; tie outcomes to measurable KPIs and assigned owners; align with the AI risk tier and regulatory context.</t>
  </si>
  <si>
    <t>Sustain and continuously improve "Good AI Problem" Recognition</t>
  </si>
  <si>
    <t>"Good AI Problem" Recognition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</si>
  <si>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"Good AI Problem" Recognition</t>
  </si>
  <si>
    <t>The respondent is unsure of the current state. Engage relevant stakeholders (governance, delivery, business sponsors) to confirm, document, and communicate the current state of "Good AI Problem" Recognition; treat as an awareness gap to address before scoring this capability.</t>
  </si>
  <si>
    <t>Validate applicability of "Good AI Problem" Recognition</t>
  </si>
  <si>
    <t>The respondent indicated "Good AI Problem" Recognition is not applicable. Validate with the consultant whether scope, context, or question wording should be adjusted; confirm there are no risk implications of treating this capability as out of scope.</t>
  </si>
  <si>
    <t>Establish baseline Role-Differentiated Training</t>
  </si>
  <si>
    <t>Role-Differentiated Training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</si>
  <si>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Role-Differentiated Training</t>
  </si>
  <si>
    <t>Role-Differentiated Training exists in partial form. Document standards, decision rights, and review cadence; ensure consistent application across the AI portfolio and close coverage gaps for in-scope use cases or teams.</t>
  </si>
  <si>
    <t>Integrate Role-Differentiated Training into the operating model</t>
  </si>
  <si>
    <t>Role-Differentiated Training is mature. Strengthen by embedding it into delivery, monitoring, and governance processes; tie outcomes to measurable KPIs and assigned owners; align with the AI risk tier and regulatory context.</t>
  </si>
  <si>
    <t>Sustain and continuously improve Role-Differentiated Training</t>
  </si>
  <si>
    <t>Role-Differentiated Training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</si>
  <si>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Role-Differentiated Training</t>
  </si>
  <si>
    <t>The respondent is unsure of the current state. Engage relevant stakeholders (governance, delivery, business sponsors) to confirm, document, and communicate the current state of Role-Differentiated Training; treat as an awareness gap to address before scoring this capability.</t>
  </si>
  <si>
    <t>Validate applicability of Role-Differentiated Training</t>
  </si>
  <si>
    <t>The respondent indicated Role-Differentiated Training is not applicable. Validate with the consultant whether scope, context, or question wording should be adjusted; confirm there are no risk implications of treating this capability as out of scope.</t>
  </si>
  <si>
    <t>Establish baseline Training Content Currency</t>
  </si>
  <si>
    <t>Training Content Currency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</si>
  <si>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Training Content Currency</t>
  </si>
  <si>
    <t>Training Content Currency exists in partial form. Document standards, decision rights, and review cadence; ensure consistent application across the AI portfolio and close coverage gaps for in-scope use cases or teams.</t>
  </si>
  <si>
    <t>Integrate Training Content Currency into the operating model</t>
  </si>
  <si>
    <t>Training Content Currency is mature. Strengthen by embedding it into delivery, monitoring, and governance processes; tie outcomes to measurable KPIs and assigned owners; align with the AI risk tier and regulatory context.</t>
  </si>
  <si>
    <t>Sustain and continuously improve Training Content Currency</t>
  </si>
  <si>
    <t>Training Content Currency is optimized. Maintain through scheduled review, internal/external benchmarking, and refinement based on incidents, audit findings, and emerging practices. Re-evaluate as the AI portfolio, regulations, and capabilities evolve.</t>
  </si>
  <si>
    <t>Close awareness gap on Training Content Currency</t>
  </si>
  <si>
    <t>The respondent is unsure of the current state. Engage relevant stakeholders (governance, delivery, business sponsors) to confirm, document, and communicate the current state of Training Content Currency; treat as an awareness gap to address before scoring this capability.</t>
  </si>
  <si>
    <t>Validate applicability of Training Content Currency</t>
  </si>
  <si>
    <t>The respondent indicated Training Content Currency is not applicable. Validate with the consultant whether scope, context, or question wording should be adjusted; confirm there are no risk implications of treating this capability as out of scope.</t>
  </si>
  <si>
    <t>Establish baseline Behavior-Change Measurement</t>
  </si>
  <si>
    <t>Behavior-Change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</si>
  <si>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Behavior-Change Measurement</t>
  </si>
  <si>
    <t>Behavior-Change Measurement exists in partial form. Document standards, decision rights, and review cadence; ensure consistent application across the AI portfolio and close coverage gaps for in-scope use cases or teams.</t>
  </si>
  <si>
    <t>Integrate Behavior-Change Measurement into the operating model</t>
  </si>
  <si>
    <t>Behavior-Change Measurement is mature. Strengthen by embedding it into delivery, monitoring, and governance processes; tie outcomes to measurable KPIs and assigned owners; align with the AI risk tier and regulatory context.</t>
  </si>
  <si>
    <t>Sustain and continuously improve Behavior-Change Measurement</t>
  </si>
  <si>
    <t>Behavior-Change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</si>
  <si>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Behavior-Change Measurement</t>
  </si>
  <si>
    <t>The respondent is unsure of the current state. Engage relevant stakeholders (governance, delivery, business sponsors) to confirm, document, and communicate the current state of Behavior-Change Measurement; treat as an awareness gap to address before scoring this capability.</t>
  </si>
  <si>
    <t>Validate applicability of Behavior-Change Measurement</t>
  </si>
  <si>
    <t>The respondent indicated Behavior-Change Measurement is not applicable. Validate with the consultant whether scope, context, or question wording should be adjusted; confirm there are no risk implications of treating this capability as out of scope.</t>
  </si>
  <si>
    <t>Establish baseline Just-in-Time AI Expert Access</t>
  </si>
  <si>
    <t>Just-in-Time AI Expert Access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</si>
  <si>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Just-in-Time AI Expert Access</t>
  </si>
  <si>
    <t>Just-in-Time AI Expert Access exists in partial form. Document standards, decision rights, and review cadence; ensure consistent application across the AI portfolio and close coverage gaps for in-scope use cases or teams.</t>
  </si>
  <si>
    <t>Integrate Just-in-Time AI Expert Access into the operating model</t>
  </si>
  <si>
    <t>Just-in-Time AI Expert Access is mature. Strengthen by embedding it into delivery, monitoring, and governance processes; tie outcomes to measurable KPIs and assigned owners; align with the AI risk tier and regulatory context.</t>
  </si>
  <si>
    <t>Sustain and continuously improve Just-in-Time AI Expert Access</t>
  </si>
  <si>
    <t>Just-in-Time AI Expert Access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</si>
  <si>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Just-in-Time AI Expert Access</t>
  </si>
  <si>
    <t>The respondent is unsure of the current state. Engage relevant stakeholders (governance, delivery, business sponsors) to confirm, document, and communicate the current state of Just-in-Time AI Expert Access; treat as an awareness gap to address before scoring this capability.</t>
  </si>
  <si>
    <t>Validate applicability of Just-in-Time AI Expert Access</t>
  </si>
  <si>
    <t>The respondent indicated Just-in-Time AI Expert Access is not applicable. Validate with the consultant whether scope, context, or question wording should be adjusted; confirm there are no risk implications of treating this capability as out of scope.</t>
  </si>
  <si>
    <t>Establish baseline AI Vision Framing</t>
  </si>
  <si>
    <t>AI Vision Framing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</si>
  <si>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Vision Framing</t>
  </si>
  <si>
    <t>AI Vision Framing exists in partial form. Document standards, decision rights, and review cadence; ensure consistent application across the AI portfolio and close coverage gaps for in-scope use cases or teams.</t>
  </si>
  <si>
    <t>Integrate AI Vision Framing into the operating model</t>
  </si>
  <si>
    <t>AI Vision Framing is mature. Strengthen by embedding it into delivery, monitoring, and governance processes; tie outcomes to measurable KPIs and assigned owners; align with the AI risk tier and regulatory context.</t>
  </si>
  <si>
    <t>Sustain and continuously improve AI Vision Framing</t>
  </si>
  <si>
    <t>AI Vision Framing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</si>
  <si>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Vision Framing</t>
  </si>
  <si>
    <t>The respondent is unsure of the current state. Engage relevant stakeholders (governance, delivery, business sponsors) to confirm, document, and communicate the current state of AI Vision Framing; treat as an awareness gap to address before scoring this capability.</t>
  </si>
  <si>
    <t>Validate applicability of AI Vision Framing</t>
  </si>
  <si>
    <t>The respondent indicated AI Vision Framing is not applicable. Validate with the consultant whether scope, context, or question wording should be adjusted; confirm there are no risk implications of treating this capability as out of scope.</t>
  </si>
  <si>
    <t>Establish baseline Portfolio Transparency</t>
  </si>
  <si>
    <t>Portfolio Transparency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</si>
  <si>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Portfolio Transparency</t>
  </si>
  <si>
    <t>Portfolio Transparency exists in partial form. Document standards, decision rights, and review cadence; ensure consistent application across the AI portfolio and close coverage gaps for in-scope use cases or teams.</t>
  </si>
  <si>
    <t>Integrate Portfolio Transparency into the operating model</t>
  </si>
  <si>
    <t>Portfolio Transparency is mature. Strengthen by embedding it into delivery, monitoring, and governance processes; tie outcomes to measurable KPIs and assigned owners; align with the AI risk tier and regulatory context.</t>
  </si>
  <si>
    <t>Sustain and continuously improve Portfolio Transparency</t>
  </si>
  <si>
    <t>Portfolio Transparency is optimized. Maintain through scheduled review, internal/external benchmarking, and refinement based on incidents, audit findings, and emerging practices. Re-evaluate as the AI portfolio, regulations, and capabilities evolve.</t>
  </si>
  <si>
    <t>Close awareness gap on Portfolio Transparency</t>
  </si>
  <si>
    <t>The respondent is unsure of the current state. Engage relevant stakeholders (governance, delivery, business sponsors) to confirm, document, and communicate the current state of Portfolio Transparency; treat as an awareness gap to address before scoring this capability.</t>
  </si>
  <si>
    <t>Validate applicability of Portfolio Transparency</t>
  </si>
  <si>
    <t>The respondent indicated Portfolio Transparency is not applicable. Validate with the consultant whether scope, context, or question wording should be adjusted; confirm there are no risk implications of treating this capability as out of scope.</t>
  </si>
  <si>
    <t>Establish baseline End-User Value Articulation</t>
  </si>
  <si>
    <t>End-User Value Articulation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</si>
  <si>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End-User Value Articulation</t>
  </si>
  <si>
    <t>End-User Value Articulation exists in partial form. Document standards, decision rights, and review cadence; ensure consistent application across the AI portfolio and close coverage gaps for in-scope use cases or teams.</t>
  </si>
  <si>
    <t>Integrate End-User Value Articulation into the operating model</t>
  </si>
  <si>
    <t>End-User Value Articulation is mature. Strengthen by embedding it into delivery, monitoring, and governance processes; tie outcomes to measurable KPIs and assigned owners; align with the AI risk tier and regulatory context.</t>
  </si>
  <si>
    <t>Sustain and continuously improve End-User Value Articulation</t>
  </si>
  <si>
    <t>End-User Value Articulation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</si>
  <si>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End-User Value Articulation</t>
  </si>
  <si>
    <t>The respondent is unsure of the current state. Engage relevant stakeholders (governance, delivery, business sponsors) to confirm, document, and communicate the current state of End-User Value Articulation; treat as an awareness gap to address before scoring this capability.</t>
  </si>
  <si>
    <t>Validate applicability of End-User Value Articulation</t>
  </si>
  <si>
    <t>The respondent indicated End-User Value Articulation is not applicable. Validate with the consultant whether scope, context, or question wording should be adjusted; confirm there are no risk implications of treating this capability as out of scope.</t>
  </si>
  <si>
    <t>Establish baseline Message Cascade Consistency</t>
  </si>
  <si>
    <t>Message Cascade Consistency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</si>
  <si>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Message Cascade Consistency</t>
  </si>
  <si>
    <t>Message Cascade Consistency exists in partial form. Document standards, decision rights, and review cadence; ensure consistent application across the AI portfolio and close coverage gaps for in-scope use cases or teams.</t>
  </si>
  <si>
    <t>Integrate Message Cascade Consistency into the operating model</t>
  </si>
  <si>
    <t>Message Cascade Consistency is mature. Strengthen by embedding it into delivery, monitoring, and governance processes; tie outcomes to measurable KPIs and assigned owners; align with the AI risk tier and regulatory context.</t>
  </si>
  <si>
    <t>Sustain and continuously improve Message Cascade Consistency</t>
  </si>
  <si>
    <t>Message Cascade Consistency is optimized. Maintain through scheduled review, internal/external benchmarking, and refinement based on incidents, audit findings, and emerging practices. Re-evaluate as the AI portfolio, regulations, and capabilities evolve.</t>
  </si>
  <si>
    <t>Close awareness gap on Message Cascade Consistency</t>
  </si>
  <si>
    <t>The respondent is unsure of the current state. Engage relevant stakeholders (governance, delivery, business sponsors) to confirm, document, and communicate the current state of Message Cascade Consistency; treat as an awareness gap to address before scoring this capability.</t>
  </si>
  <si>
    <t>Validate applicability of Message Cascade Consistency</t>
  </si>
  <si>
    <t>The respondent indicated Message Cascade Consistency is not applicable. Validate with the consultant whether scope, context, or question wording should be adjusted; confirm there are no risk implications of treating this capability as out of scope.</t>
  </si>
  <si>
    <t>Establish baseline Local AI Champion Network</t>
  </si>
  <si>
    <t>Local AI Champion Network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</si>
  <si>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Local AI Champion Network</t>
  </si>
  <si>
    <t>Local AI Champion Network exists in partial form. Document standards, decision rights, and review cadence; ensure consistent application across the AI portfolio and close coverage gaps for in-scope use cases or teams.</t>
  </si>
  <si>
    <t>Integrate Local AI Champion Network into the operating model</t>
  </si>
  <si>
    <t>Local AI Champion Network is mature. Strengthen by embedding it into delivery, monitoring, and governance processes; tie outcomes to measurable KPIs and assigned owners; align with the AI risk tier and regulatory context.</t>
  </si>
  <si>
    <t>Sustain and continuously improve Local AI Champion Network</t>
  </si>
  <si>
    <t>Local AI Champion Network is optimized. Maintain through scheduled review, internal/external benchmarking, and refinement based on incidents, audit findings, and emerging practices. Re-evaluate as the AI portfolio, regulations, and capabilities evolve.</t>
  </si>
  <si>
    <t>Close awareness gap on Local AI Champion Network</t>
  </si>
  <si>
    <t>The respondent is unsure of the current state. Engage relevant stakeholders (governance, delivery, business sponsors) to confirm, document, and communicate the current state of Local AI Champion Network; treat as an awareness gap to address before scoring this capability.</t>
  </si>
  <si>
    <t>Validate applicability of Local AI Champion Network</t>
  </si>
  <si>
    <t>The respondent indicated Local AI Champion Network is not applicable. Validate with the consultant whether scope, context, or question wording should be adjusted; confirm there are no risk implications of treating this capability as out of scope.</t>
  </si>
  <si>
    <t>Establish baseline Executive Modeling of AI Use</t>
  </si>
  <si>
    <t>Executive Modeling of AI Use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</si>
  <si>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Executive Modeling of AI Use</t>
  </si>
  <si>
    <t>Executive Modeling of AI Use exists in partial form. Document standards, decision rights, and review cadence; ensure consistent application across the AI portfolio and close coverage gaps for in-scope use cases or teams.</t>
  </si>
  <si>
    <t>Integrate Executive Modeling of AI Use into the operating model</t>
  </si>
  <si>
    <t>Executive Modeling of AI Use is mature. Strengthen by embedding it into delivery, monitoring, and governance processes; tie outcomes to measurable KPIs and assigned owners; align with the AI risk tier and regulatory context.</t>
  </si>
  <si>
    <t>Sustain and continuously improve Executive Modeling of AI Use</t>
  </si>
  <si>
    <t>Executive Modeling of AI Use is optimized. Maintain through scheduled review, internal/external benchmarking, and refinement based on incidents, audit findings, and emerging practices. Re-evaluate as the AI portfolio, regulations, and capabilities evolve.</t>
  </si>
  <si>
    <t>Close awareness gap on Executive Modeling of AI Use</t>
  </si>
  <si>
    <t>The respondent is unsure of the current state. Engage relevant stakeholders (governance, delivery, business sponsors) to confirm, document, and communicate the current state of Executive Modeling of AI Use; treat as an awareness gap to address before scoring this capability.</t>
  </si>
  <si>
    <t>Validate applicability of Executive Modeling of AI Use</t>
  </si>
  <si>
    <t>The respondent indicated Executive Modeling of AI Use is not applicable. Validate with the consultant whether scope, context, or question wording should be adjusted; confirm there are no risk implications of treating this capability as out of scope.</t>
  </si>
  <si>
    <t>Establish baseline Resistance-Informed Engagement</t>
  </si>
  <si>
    <t>Resistance-Informed Engagement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</si>
  <si>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Resistance-Informed Engagement</t>
  </si>
  <si>
    <t>Resistance-Informed Engagement exists in partial form. Document standards, decision rights, and review cadence; ensure consistent application across the AI portfolio and close coverage gaps for in-scope use cases or teams.</t>
  </si>
  <si>
    <t>Integrate Resistance-Informed Engagement into the operating model</t>
  </si>
  <si>
    <t>Resistance-Informed Engagement is mature. Strengthen by embedding it into delivery, monitoring, and governance processes; tie outcomes to measurable KPIs and assigned owners; align with the AI risk tier and regulatory context.</t>
  </si>
  <si>
    <t>Sustain and continuously improve Resistance-Informed Engagement</t>
  </si>
  <si>
    <t>Resistance-Informed Engagement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</si>
  <si>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Resistance-Informed Engagement</t>
  </si>
  <si>
    <t>The respondent is unsure of the current state. Engage relevant stakeholders (governance, delivery, business sponsors) to confirm, document, and communicate the current state of Resistance-Informed Engagement; treat as an awareness gap to address before scoring this capability.</t>
  </si>
  <si>
    <t>Validate applicability of Resistance-Informed Engagement</t>
  </si>
  <si>
    <t>The respondent indicated Resistance-Informed Engagement is not applicable. Validate with the consultant whether scope, context, or question wording should be adjusted; confirm there are no risk implications of treating this capability as out of scope.</t>
  </si>
  <si>
    <t>Establish baseline User Feedback Channel</t>
  </si>
  <si>
    <t>User Feedback Channel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</si>
  <si>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User Feedback Channel</t>
  </si>
  <si>
    <t>User Feedback Channel exists in partial form. Document standards, decision rights, and review cadence; ensure consistent application across the AI portfolio and close coverage gaps for in-scope use cases or teams.</t>
  </si>
  <si>
    <t>Integrate User Feedback Channel into the operating model</t>
  </si>
  <si>
    <t>User Feedback Channel is mature. Strengthen by embedding it into delivery, monitoring, and governance processes; tie outcomes to measurable KPIs and assigned owners; align with the AI risk tier and regulatory context.</t>
  </si>
  <si>
    <t>Sustain and continuously improve User Feedback Channel</t>
  </si>
  <si>
    <t>User Feedback Channel is optimized. Maintain through scheduled review, internal/external benchmarking, and refinement based on incidents, audit findings, and emerging practices. Re-evaluate as the AI portfolio, regulations, and capabilities evolve.</t>
  </si>
  <si>
    <t>Close awareness gap on User Feedback Channel</t>
  </si>
  <si>
    <t>The respondent is unsure of the current state. Engage relevant stakeholders (governance, delivery, business sponsors) to confirm, document, and communicate the current state of User Feedback Channel; treat as an awareness gap to address before scoring this capability.</t>
  </si>
  <si>
    <t>Validate applicability of User Feedback Channel</t>
  </si>
  <si>
    <t>The respondent indicated User Feedback Channel is not applicable. Validate with the consultant whether scope, context, or question wording should be adjusted; confirm there are no risk implications of treating this capability as out of scope.</t>
  </si>
  <si>
    <t>Establish baseline Workforce Literacy Baseline</t>
  </si>
  <si>
    <t>Workforce Literacy Baseline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</si>
  <si>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Workforce Literacy Baseline</t>
  </si>
  <si>
    <t>Workforce Literacy Baseline exists in partial form. Document standards, decision rights, and review cadence; ensure consistent application across the AI portfolio and close coverage gaps for in-scope use cases or teams.</t>
  </si>
  <si>
    <t>Integrate Workforce Literacy Baseline into the operating model</t>
  </si>
  <si>
    <t>Workforce Literacy Baseline is mature. Strengthen by embedding it into delivery, monitoring, and governance processes; tie outcomes to measurable KPIs and assigned owners; align with the AI risk tier and regulatory context.</t>
  </si>
  <si>
    <t>Sustain and continuously improve Workforce Literacy Baseline</t>
  </si>
  <si>
    <t>Workforce Literacy Baseline is optimized. Maintain through scheduled review, internal/external benchmarking, and refinement based on incidents, audit findings, and emerging practices. Re-evaluate as the AI portfolio, regulations, and capabilities evolve.</t>
  </si>
  <si>
    <t>Close awareness gap on Workforce Literacy Baseline</t>
  </si>
  <si>
    <t>The respondent is unsure of the current state. Engage relevant stakeholders (governance, delivery, business sponsors) to confirm, document, and communicate the current state of Workforce Literacy Baseline; treat as an awareness gap to address before scoring this capability.</t>
  </si>
  <si>
    <t>Validate applicability of Workforce Literacy Baseline</t>
  </si>
  <si>
    <t>The respondent indicated Workforce Literacy Baseline is not applicable. Validate with the consultant whether scope, context, or question wording should be adjusted; confirm there are no risk implications of treating this capability as out of scope.</t>
  </si>
  <si>
    <t>Establish baseline Function-Specific Adoption Training</t>
  </si>
  <si>
    <t>Function-Specific Adoption Training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</si>
  <si>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Function-Specific Adoption Training</t>
  </si>
  <si>
    <t>Function-Specific Adoption Training exists in partial form. Document standards, decision rights, and review cadence; ensure consistent application across the AI portfolio and close coverage gaps for in-scope use cases or teams.</t>
  </si>
  <si>
    <t>Integrate Function-Specific Adoption Training into the operating model</t>
  </si>
  <si>
    <t>Function-Specific Adoption Training is mature. Strengthen by embedding it into delivery, monitoring, and governance processes; tie outcomes to measurable KPIs and assigned owners; align with the AI risk tier and regulatory context.</t>
  </si>
  <si>
    <t>Sustain and continuously improve Function-Specific Adoption Training</t>
  </si>
  <si>
    <t>Function-Specific Adoption Training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</si>
  <si>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Function-Specific Adoption Training</t>
  </si>
  <si>
    <t>The respondent is unsure of the current state. Engage relevant stakeholders (governance, delivery, business sponsors) to confirm, document, and communicate the current state of Function-Specific Adoption Training; treat as an awareness gap to address before scoring this capability.</t>
  </si>
  <si>
    <t>Validate applicability of Function-Specific Adoption Training</t>
  </si>
  <si>
    <t>The respondent indicated Function-Specific Adoption Training is not applicable. Validate with the consultant whether scope, context, or question wording should be adjusted; confirm there are no risk implications of treating this capability as out of scope.</t>
  </si>
  <si>
    <t>Establish baseline Dedicated AI Learning Time</t>
  </si>
  <si>
    <t>Dedicated AI Learning Time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</si>
  <si>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Dedicated AI Learning Time</t>
  </si>
  <si>
    <t>Dedicated AI Learning Time exists in partial form. Document standards, decision rights, and review cadence; ensure consistent application across the AI portfolio and close coverage gaps for in-scope use cases or teams.</t>
  </si>
  <si>
    <t>Integrate Dedicated AI Learning Time into the operating model</t>
  </si>
  <si>
    <t>Dedicated AI Learning Time is mature. Strengthen by embedding it into delivery, monitoring, and governance processes; tie outcomes to measurable KPIs and assigned owners; align with the AI risk tier and regulatory context.</t>
  </si>
  <si>
    <t>Sustain and continuously improve Dedicated AI Learning Time</t>
  </si>
  <si>
    <t>Dedicated AI Learning Time is optimized. Maintain through scheduled review, internal/external benchmarking, and refinement based on incidents, audit findings, and emerging practices. Re-evaluate as the AI portfolio, regulations, and capabilities evolve.</t>
  </si>
  <si>
    <t>Close awareness gap on Dedicated AI Learning Time</t>
  </si>
  <si>
    <t>The respondent is unsure of the current state. Engage relevant stakeholders (governance, delivery, business sponsors) to confirm, document, and communicate the current state of Dedicated AI Learning Time; treat as an awareness gap to address before scoring this capability.</t>
  </si>
  <si>
    <t>Validate applicability of Dedicated AI Learning Time</t>
  </si>
  <si>
    <t>The respondent indicated Dedicated AI Learning Time is not applicable. Validate with the consultant whether scope, context, or question wording should be adjusted; confirm there are no risk implications of treating this capability as out of scope.</t>
  </si>
  <si>
    <t>Establish baseline AI Help Desk and Knowledge Base</t>
  </si>
  <si>
    <t>AI Help Desk and Knowledge Base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</si>
  <si>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Help Desk and Knowledge Base</t>
  </si>
  <si>
    <t>AI Help Desk and Knowledge Base exists in partial form. Document standards, decision rights, and review cadence; ensure consistent application across the AI portfolio and close coverage gaps for in-scope use cases or teams.</t>
  </si>
  <si>
    <t>Integrate AI Help Desk and Knowledge Base into the operating model</t>
  </si>
  <si>
    <t>AI Help Desk and Knowledge Base is mature. Strengthen by embedding it into delivery, monitoring, and governance processes; tie outcomes to measurable KPIs and assigned owners; align with the AI risk tier and regulatory context.</t>
  </si>
  <si>
    <t>Sustain and continuously improve AI Help Desk and Knowledge Base</t>
  </si>
  <si>
    <t>AI Help Desk and Knowledge Base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</si>
  <si>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Help Desk and Knowledge Base</t>
  </si>
  <si>
    <t>The respondent is unsure of the current state. Engage relevant stakeholders (governance, delivery, business sponsors) to confirm, document, and communicate the current state of AI Help Desk and Knowledge Base; treat as an awareness gap to address before scoring this capability.</t>
  </si>
  <si>
    <t>Validate applicability of AI Help Desk and Knowledge Base</t>
  </si>
  <si>
    <t>The respondent indicated AI Help Desk and Knowledge Base is not applicable. Validate with the consultant whether scope, context, or question wording should be adjusted; confirm there are no risk implications of treating this capability as out of scope.</t>
  </si>
  <si>
    <t>Establish baseline Real Adoption Measurement</t>
  </si>
  <si>
    <t>Real Adoption Measurement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</si>
  <si>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Real Adoption Measurement</t>
  </si>
  <si>
    <t>Real Adoption Measurement exists in partial form. Document standards, decision rights, and review cadence; ensure consistent application across the AI portfolio and close coverage gaps for in-scope use cases or teams.</t>
  </si>
  <si>
    <t>Integrate Real Adoption Measurement into the operating model</t>
  </si>
  <si>
    <t>Real Adoption Measurement is mature. Strengthen by embedding it into delivery, monitoring, and governance processes; tie outcomes to measurable KPIs and assigned owners; align with the AI risk tier and regulatory context.</t>
  </si>
  <si>
    <t>Sustain and continuously improve Real Adoption Measurement</t>
  </si>
  <si>
    <t>Real Adoption Measurement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</si>
  <si>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Real Adoption Measurement</t>
  </si>
  <si>
    <t>The respondent is unsure of the current state. Engage relevant stakeholders (governance, delivery, business sponsors) to confirm, document, and communicate the current state of Real Adoption Measurement; treat as an awareness gap to address before scoring this capability.</t>
  </si>
  <si>
    <t>Validate applicability of Real Adoption Measurement</t>
  </si>
  <si>
    <t>The respondent indicated Real Adoption Measurement is not applicable. Validate with the consultant whether scope, context, or question wording should be adjusted; confirm there are no risk implications of treating this capability as out of scope.</t>
  </si>
  <si>
    <t>Establish baseline AI-Aware Performance Management</t>
  </si>
  <si>
    <t>AI-Aware Performance Management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</si>
  <si>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AI-Aware Performance Management</t>
  </si>
  <si>
    <t>AI-Aware Performance Management exists in partial form. Document standards, decision rights, and review cadence; ensure consistent application across the AI portfolio and close coverage gaps for in-scope use cases or teams.</t>
  </si>
  <si>
    <t>Integrate AI-Aware Performance Management into the operating model</t>
  </si>
  <si>
    <t>AI-Aware Performance Management is mature. Strengthen by embedding it into delivery, monitoring, and governance processes; tie outcomes to measurable KPIs and assigned owners; align with the AI risk tier and regulatory context.</t>
  </si>
  <si>
    <t>Sustain and continuously improve AI-Aware Performance Management</t>
  </si>
  <si>
    <t>AI-Aware Performance Management is optimized. Maintain through scheduled review, internal/external benchmarking, and refinement based on incidents, audit findings, and emerging practices. Re-evaluate as the AI portfolio, regulations, and capabilities evolve.</t>
  </si>
  <si>
    <t>Close awareness gap on AI-Aware Performance Management</t>
  </si>
  <si>
    <t>The respondent is unsure of the current state. Engage relevant stakeholders (governance, delivery, business sponsors) to confirm, document, and communicate the current state of AI-Aware Performance Management; treat as an awareness gap to address before scoring this capability.</t>
  </si>
  <si>
    <t>Validate applicability of AI-Aware Performance Management</t>
  </si>
  <si>
    <t>The respondent indicated AI-Aware Performance Management is not applicable. Validate with the consultant whether scope, context, or question wording should be adjusted; confirm there are no risk implications of treating this capability as out of scope.</t>
  </si>
  <si>
    <t>Establish baseline Shadow AI Response Posture</t>
  </si>
  <si>
    <t>Shadow AI Response Posture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</si>
  <si>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Shadow AI Response Posture</t>
  </si>
  <si>
    <t>Shadow AI Response Posture exists in partial form. Document standards, decision rights, and review cadence; ensure consistent application across the AI portfolio and close coverage gaps for in-scope use cases or teams.</t>
  </si>
  <si>
    <t>Integrate Shadow AI Response Posture into the operating model</t>
  </si>
  <si>
    <t>Shadow AI Response Posture is mature. Strengthen by embedding it into delivery, monitoring, and governance processes; tie outcomes to measurable KPIs and assigned owners; align with the AI risk tier and regulatory context.</t>
  </si>
  <si>
    <t>Sustain and continuously improve Shadow AI Response Posture</t>
  </si>
  <si>
    <t>Shadow AI Response Posture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</si>
  <si>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Shadow AI Response Posture</t>
  </si>
  <si>
    <t>The respondent is unsure of the current state. Engage relevant stakeholders (governance, delivery, business sponsors) to confirm, document, and communicate the current state of Shadow AI Response Posture; treat as an awareness gap to address before scoring this capability.</t>
  </si>
  <si>
    <t>Validate applicability of Shadow AI Response Posture</t>
  </si>
  <si>
    <t>The respondent indicated Shadow AI Response Posture is not applicable. Validate with the consultant whether scope, context, or question wording should be adjusted; confirm there are no risk implications of treating this capability as out of scope.</t>
  </si>
  <si>
    <t>Establish baseline Post-Launch Adoption Review</t>
  </si>
  <si>
    <t>Post-Launch Adoption Review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</si>
  <si>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Post-Launch Adoption Review</t>
  </si>
  <si>
    <t>Post-Launch Adoption Review exists in partial form. Document standards, decision rights, and review cadence; ensure consistent application across the AI portfolio and close coverage gaps for in-scope use cases or teams.</t>
  </si>
  <si>
    <t>Integrate Post-Launch Adoption Review into the operating model</t>
  </si>
  <si>
    <t>Post-Launch Adoption Review is mature. Strengthen by embedding it into delivery, monitoring, and governance processes; tie outcomes to measurable KPIs and assigned owners; align with the AI risk tier and regulatory context.</t>
  </si>
  <si>
    <t>Sustain and continuously improve Post-Launch Adoption Review</t>
  </si>
  <si>
    <t>Post-Launch Adoption Review is optimized. Maintain through scheduled review, internal/external benchmarking, and refinement based on incidents, audit findings, and emerging practices. Re-evaluate as the AI portfolio, regulations, and capabilities evolve.</t>
  </si>
  <si>
    <t>Close awareness gap on Post-Launch Adoption Review</t>
  </si>
  <si>
    <t>The respondent is unsure of the current state. Engage relevant stakeholders (governance, delivery, business sponsors) to confirm, document, and communicate the current state of Post-Launch Adoption Review; treat as an awareness gap to address before scoring this capability.</t>
  </si>
  <si>
    <t>Validate applicability of Post-Launch Adoption Review</t>
  </si>
  <si>
    <t>The respondent indicated Post-Launch Adoption Review is not applicable. Validate with the consultant whether scope, context, or question wording should be adjusted; confirm there are no risk implications of treating this capability as out of scope.</t>
  </si>
  <si>
    <t>Establish baseline AI Hosting Architecture</t>
  </si>
  <si>
    <t>AI Hosting Architecture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</si>
  <si>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Hosting Architecture</t>
  </si>
  <si>
    <t>AI Hosting Architecture exists in partial form. Document standards, decision rights, and review cadence; ensure consistent application across the AI portfolio and close coverage gaps for in-scope use cases or teams.</t>
  </si>
  <si>
    <t>Integrate AI Hosting Architecture into the operating model</t>
  </si>
  <si>
    <t>AI Hosting Architecture is mature. Strengthen by embedding it into delivery, monitoring, and governance processes; tie outcomes to measurable KPIs and assigned owners; align with the AI risk tier and regulatory context.</t>
  </si>
  <si>
    <t>Sustain and continuously improve AI Hosting Architecture</t>
  </si>
  <si>
    <t>AI Hosting Architecture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</si>
  <si>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Hosting Architecture</t>
  </si>
  <si>
    <t>The respondent is unsure of the current state. Engage relevant stakeholders (governance, delivery, business sponsors) to confirm, document, and communicate the current state of AI Hosting Architecture; treat as an awareness gap to address before scoring this capability.</t>
  </si>
  <si>
    <t>Validate applicability of AI Hosting Architecture</t>
  </si>
  <si>
    <t>The respondent indicated AI Hosting Architecture is not applicable. Validate with the consultant whether scope, context, or question wording should be adjusted; confirm there are no risk implications of treating this capability as out of scope.</t>
  </si>
  <si>
    <t>Establish baseline Vector Data Infrastructure</t>
  </si>
  <si>
    <t>Vector Data Infrastructure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</si>
  <si>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Vector Data Infrastructure</t>
  </si>
  <si>
    <t>Vector Data Infrastructure exists in partial form. Document standards, decision rights, and review cadence; ensure consistent application across the AI portfolio and close coverage gaps for in-scope use cases or teams.</t>
  </si>
  <si>
    <t>Integrate Vector Data Infrastructure into the operating model</t>
  </si>
  <si>
    <t>Vector Data Infrastructure is mature. Strengthen by embedding it into delivery, monitoring, and governance processes; tie outcomes to measurable KPIs and assigned owners; align with the AI risk tier and regulatory context.</t>
  </si>
  <si>
    <t>Sustain and continuously improve Vector Data Infrastructure</t>
  </si>
  <si>
    <t>Vector Data Infrastructure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</si>
  <si>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Vector Data Infrastructure</t>
  </si>
  <si>
    <t>The respondent is unsure of the current state. Engage relevant stakeholders (governance, delivery, business sponsors) to confirm, document, and communicate the current state of Vector Data Infrastructure; treat as an awareness gap to address before scoring this capability.</t>
  </si>
  <si>
    <t>Validate applicability of Vector Data Infrastructure</t>
  </si>
  <si>
    <t>The respondent indicated Vector Data Infrastructure is not applicable. Validate with the consultant whether scope, context, or question wording should be adjusted; confirm there are no risk implications of treating this capability as out of scope.</t>
  </si>
  <si>
    <t>Establish baseline AI Compute Elasticity</t>
  </si>
  <si>
    <t>AI Compute Elasticity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</si>
  <si>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Compute Elasticity</t>
  </si>
  <si>
    <t>AI Compute Elasticity exists in partial form. Document standards, decision rights, and review cadence; ensure consistent application across the AI portfolio and close coverage gaps for in-scope use cases or teams.</t>
  </si>
  <si>
    <t>Integrate AI Compute Elasticity into the operating model</t>
  </si>
  <si>
    <t>AI Compute Elasticity is mature. Strengthen by embedding it into delivery, monitoring, and governance processes; tie outcomes to measurable KPIs and assigned owners; align with the AI risk tier and regulatory context.</t>
  </si>
  <si>
    <t>Sustain and continuously improve AI Compute Elasticity</t>
  </si>
  <si>
    <t>AI Compute Elasticity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</si>
  <si>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Compute Elasticity</t>
  </si>
  <si>
    <t>The respondent is unsure of the current state. Engage relevant stakeholders (governance, delivery, business sponsors) to confirm, document, and communicate the current state of AI Compute Elasticity; treat as an awareness gap to address before scoring this capability.</t>
  </si>
  <si>
    <t>Validate applicability of AI Compute Elasticity</t>
  </si>
  <si>
    <t>The respondent indicated AI Compute Elasticity is not applicable. Validate with the consultant whether scope, context, or question wording should be adjusted; confirm there are no risk implications of treating this capability as out of scope.</t>
  </si>
  <si>
    <t>Establish baseline Agent and Tool-Use Architecture</t>
  </si>
  <si>
    <t>Agent and Tool-Use Architecture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</si>
  <si>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Agent and Tool-Use Architecture</t>
  </si>
  <si>
    <t>Agent and Tool-Use Architecture exists in partial form. Document standards, decision rights, and review cadence; ensure consistent application across the AI portfolio and close coverage gaps for in-scope use cases or teams.</t>
  </si>
  <si>
    <t>Integrate Agent and Tool-Use Architecture into the operating model</t>
  </si>
  <si>
    <t>Agent and Tool-Use Architecture is mature. Strengthen by embedding it into delivery, monitoring, and governance processes; tie outcomes to measurable KPIs and assigned owners; align with the AI risk tier and regulatory context.</t>
  </si>
  <si>
    <t>Sustain and continuously improve Agent and Tool-Use Architecture</t>
  </si>
  <si>
    <t>Agent and Tool-Use Architecture is optimized. Maintain through scheduled review, internal/external benchmarking, and refinement based on incidents, audit findings, and emerging practices. Re-evaluate as the AI portfolio, regulations, and capabilities evolve.</t>
  </si>
  <si>
    <t>Close awareness gap on Agent and Tool-Use Architecture</t>
  </si>
  <si>
    <t>The respondent is unsure of the current state. Engage relevant stakeholders (governance, delivery, business sponsors) to confirm, document, and communicate the current state of Agent and Tool-Use Architecture; treat as an awareness gap to address before scoring this capability.</t>
  </si>
  <si>
    <t>Validate applicability of Agent and Tool-Use Architecture</t>
  </si>
  <si>
    <t>The respondent indicated Agent and Tool-Use Architecture is not applicable. Validate with the consultant whether scope, context, or question wording should be adjusted; confirm there are no risk implications of treating this capability as out of scope.</t>
  </si>
  <si>
    <t>Establish baseline Model Registry</t>
  </si>
  <si>
    <t>Model Registry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</si>
  <si>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Model Registry</t>
  </si>
  <si>
    <t>Model Registry exists in partial form. Document standards, decision rights, and review cadence; ensure consistent application across the AI portfolio and close coverage gaps for in-scope use cases or teams.</t>
  </si>
  <si>
    <t>Integrate Model Registry into the operating model</t>
  </si>
  <si>
    <t>Model Registry is mature. Strengthen by embedding it into delivery, monitoring, and governance processes; tie outcomes to measurable KPIs and assigned owners; align with the AI risk tier and regulatory context.</t>
  </si>
  <si>
    <t>Sustain and continuously improve Model Registry</t>
  </si>
  <si>
    <t>Model Registry is optimized. Maintain through scheduled review, internal/external benchmarking, and refinement based on incidents, audit findings, and emerging practices. Re-evaluate as the AI portfolio, regulations, and capabilities evolve.</t>
  </si>
  <si>
    <t>Close awareness gap on Model Registry</t>
  </si>
  <si>
    <t>The respondent is unsure of the current state. Engage relevant stakeholders (governance, delivery, business sponsors) to confirm, document, and communicate the current state of Model Registry; treat as an awareness gap to address before scoring this capability.</t>
  </si>
  <si>
    <t>Validate applicability of Model Registry</t>
  </si>
  <si>
    <t>The respondent indicated Model Registry is not applicable. Validate with the consultant whether scope, context, or question wording should be adjusted; confirm there are no risk implications of treating this capability as out of scope.</t>
  </si>
  <si>
    <t>Establish baseline Centralized LLM Gateway</t>
  </si>
  <si>
    <t>Centralized LLM Gateway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</si>
  <si>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Centralized LLM Gateway</t>
  </si>
  <si>
    <t>Centralized LLM Gateway exists in partial form. Document standards, decision rights, and review cadence; ensure consistent application across the AI portfolio and close coverage gaps for in-scope use cases or teams.</t>
  </si>
  <si>
    <t>Integrate Centralized LLM Gateway into the operating model</t>
  </si>
  <si>
    <t>Centralized LLM Gateway is mature. Strengthen by embedding it into delivery, monitoring, and governance processes; tie outcomes to measurable KPIs and assigned owners; align with the AI risk tier and regulatory context.</t>
  </si>
  <si>
    <t>Sustain and continuously improve Centralized LLM Gateway</t>
  </si>
  <si>
    <t>Centralized LLM Gateway is optimized. Maintain through scheduled review, internal/external benchmarking, and refinement based on incidents, audit findings, and emerging practices. Re-evaluate as the AI portfolio, regulations, and capabilities evolve.</t>
  </si>
  <si>
    <t>Close awareness gap on Centralized LLM Gateway</t>
  </si>
  <si>
    <t>The respondent is unsure of the current state. Engage relevant stakeholders (governance, delivery, business sponsors) to confirm, document, and communicate the current state of Centralized LLM Gateway; treat as an awareness gap to address before scoring this capability.</t>
  </si>
  <si>
    <t>Validate applicability of Centralized LLM Gateway</t>
  </si>
  <si>
    <t>The respondent indicated Centralized LLM Gateway is not applicable. Validate with the consultant whether scope, context, or question wording should be adjusted; confirm there are no risk implications of treating this capability as out of scope.</t>
  </si>
  <si>
    <t>Establish baseline Open-Source Model Vetting</t>
  </si>
  <si>
    <t>Open-Source Model Vetting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</si>
  <si>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Open-Source Model Vetting</t>
  </si>
  <si>
    <t>Open-Source Model Vetting exists in partial form. Document standards, decision rights, and review cadence; ensure consistent application across the AI portfolio and close coverage gaps for in-scope use cases or teams.</t>
  </si>
  <si>
    <t>Integrate Open-Source Model Vetting into the operating model</t>
  </si>
  <si>
    <t>Open-Source Model Vetting is mature. Strengthen by embedding it into delivery, monitoring, and governance processes; tie outcomes to measurable KPIs and assigned owners; align with the AI risk tier and regulatory context.</t>
  </si>
  <si>
    <t>Sustain and continuously improve Open-Source Model Vetting</t>
  </si>
  <si>
    <t>Open-Source Model Vetting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</si>
  <si>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Open-Source Model Vetting</t>
  </si>
  <si>
    <t>The respondent is unsure of the current state. Engage relevant stakeholders (governance, delivery, business sponsors) to confirm, document, and communicate the current state of Open-Source Model Vetting; treat as an awareness gap to address before scoring this capability.</t>
  </si>
  <si>
    <t>Validate applicability of Open-Source Model Vetting</t>
  </si>
  <si>
    <t>The respondent indicated Open-Source Model Vetting is not applicable. Validate with the consultant whether scope, context, or question wording should be adjusted; confirm there are no risk implications of treating this capability as out of scope.</t>
  </si>
  <si>
    <t>Establish baseline CI/CD with Continuous Monitoring</t>
  </si>
  <si>
    <t>CI/CD with Continuous Monitoring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</si>
  <si>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CI/CD with Continuous Monitoring</t>
  </si>
  <si>
    <t>CI/CD with Continuous Monitoring exists in partial form. Document standards, decision rights, and review cadence; ensure consistent application across the AI portfolio and close coverage gaps for in-scope use cases or teams.</t>
  </si>
  <si>
    <t>Integrate CI/CD with Continuous Monitoring into the operating model</t>
  </si>
  <si>
    <t>CI/CD with Continuous Monitoring is mature. Strengthen by embedding it into delivery, monitoring, and governance processes; tie outcomes to measurable KPIs and assigned owners; align with the AI risk tier and regulatory context.</t>
  </si>
  <si>
    <t>Sustain and continuously improve CI/CD with Continuous Monitoring</t>
  </si>
  <si>
    <t>CI/CD with Continuous Monitoring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</si>
  <si>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CI/CD with Continuous Monitoring</t>
  </si>
  <si>
    <t>The respondent is unsure of the current state. Engage relevant stakeholders (governance, delivery, business sponsors) to confirm, document, and communicate the current state of CI/CD with Continuous Monitoring; treat as an awareness gap to address before scoring this capability.</t>
  </si>
  <si>
    <t>Validate applicability of CI/CD with Continuous Monitoring</t>
  </si>
  <si>
    <t>The respondent indicated CI/CD with Continuous Monitoring is not applicable. Validate with the consultant whether scope, context, or question wording should be adjusted; confirm there are no risk implications of treating this capability as out of scope.</t>
  </si>
  <si>
    <t>Establish baseline AI Data Lineage</t>
  </si>
  <si>
    <t>AI Data Lineage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</si>
  <si>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Data Lineage</t>
  </si>
  <si>
    <t>AI Data Lineage exists in partial form. Document standards, decision rights, and review cadence; ensure consistent application across the AI portfolio and close coverage gaps for in-scope use cases or teams.</t>
  </si>
  <si>
    <t>Integrate AI Data Lineage into the operating model</t>
  </si>
  <si>
    <t>AI Data Lineage is mature. Strengthen by embedding it into delivery, monitoring, and governance processes; tie outcomes to measurable KPIs and assigned owners; align with the AI risk tier and regulatory context.</t>
  </si>
  <si>
    <t>Sustain and continuously improve AI Data Lineage</t>
  </si>
  <si>
    <t>AI Data Lineage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</si>
  <si>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Data Lineage</t>
  </si>
  <si>
    <t>The respondent is unsure of the current state. Engage relevant stakeholders (governance, delivery, business sponsors) to confirm, document, and communicate the current state of AI Data Lineage; treat as an awareness gap to address before scoring this capability.</t>
  </si>
  <si>
    <t>Validate applicability of AI Data Lineage</t>
  </si>
  <si>
    <t>The respondent indicated AI Data Lineage is not applicable. Validate with the consultant whether scope, context, or question wording should be adjusted; confirm there are no risk implications of treating this capability as out of scope.</t>
  </si>
  <si>
    <t>Establish baseline Real-Time Data Integration</t>
  </si>
  <si>
    <t>Real-Time Data Integration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</si>
  <si>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Real-Time Data Integration</t>
  </si>
  <si>
    <t>Real-Time Data Integration exists in partial form. Document standards, decision rights, and review cadence; ensure consistent application across the AI portfolio and close coverage gaps for in-scope use cases or teams.</t>
  </si>
  <si>
    <t>Integrate Real-Time Data Integration into the operating model</t>
  </si>
  <si>
    <t>Real-Time Data Integration is mature. Strengthen by embedding it into delivery, monitoring, and governance processes; tie outcomes to measurable KPIs and assigned owners; align with the AI risk tier and regulatory context.</t>
  </si>
  <si>
    <t>Sustain and continuously improve Real-Time Data Integration</t>
  </si>
  <si>
    <t>Real-Time Data Integration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</si>
  <si>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Real-Time Data Integration</t>
  </si>
  <si>
    <t>The respondent is unsure of the current state. Engage relevant stakeholders (governance, delivery, business sponsors) to confirm, document, and communicate the current state of Real-Time Data Integration; treat as an awareness gap to address before scoring this capability.</t>
  </si>
  <si>
    <t>Validate applicability of Real-Time Data Integration</t>
  </si>
  <si>
    <t>The respondent indicated Real-Time Data Integration is not applicable. Validate with the consultant whether scope, context, or question wording should be adjusted; confirm there are no risk implications of treating this capability as out of scope.</t>
  </si>
  <si>
    <t>Establish baseline Metadata Standards for AI</t>
  </si>
  <si>
    <t>Metadata Standards for AI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</si>
  <si>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Metadata Standards for AI</t>
  </si>
  <si>
    <t>Metadata Standards for AI exists in partial form. Document standards, decision rights, and review cadence; ensure consistent application across the AI portfolio and close coverage gaps for in-scope use cases or teams.</t>
  </si>
  <si>
    <t>Integrate Metadata Standards for AI into the operating model</t>
  </si>
  <si>
    <t>Metadata Standards for AI is mature. Strengthen by embedding it into delivery, monitoring, and governance processes; tie outcomes to measurable KPIs and assigned owners; align with the AI risk tier and regulatory context.</t>
  </si>
  <si>
    <t>Sustain and continuously improve Metadata Standards for AI</t>
  </si>
  <si>
    <t>Metadata Standards for AI is optimized. Maintain through scheduled review, internal/external benchmarking, and refinement based on incidents, audit findings, and emerging practices. Re-evaluate as the AI portfolio, regulations, and capabilities evolve.</t>
  </si>
  <si>
    <t>Close awareness gap on Metadata Standards for AI</t>
  </si>
  <si>
    <t>The respondent is unsure of the current state. Engage relevant stakeholders (governance, delivery, business sponsors) to confirm, document, and communicate the current state of Metadata Standards for AI; treat as an awareness gap to address before scoring this capability.</t>
  </si>
  <si>
    <t>Validate applicability of Metadata Standards for AI</t>
  </si>
  <si>
    <t>The respondent indicated Metadata Standards for AI is not applicable. Validate with the consultant whether scope, context, or question wording should be adjusted; confirm there are no risk implications of treating this capability as out of scope.</t>
  </si>
  <si>
    <t>Establish baseline Pre-Inference Data Sanitization</t>
  </si>
  <si>
    <t>Pre-Inference Data Sanitization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</si>
  <si>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Pre-Inference Data Sanitization</t>
  </si>
  <si>
    <t>Pre-Inference Data Sanitization exists in partial form. Document standards, decision rights, and review cadence; ensure consistent application across the AI portfolio and close coverage gaps for in-scope use cases or teams.</t>
  </si>
  <si>
    <t>Integrate Pre-Inference Data Sanitization into the operating model</t>
  </si>
  <si>
    <t>Pre-Inference Data Sanitization is mature. Strengthen by embedding it into delivery, monitoring, and governance processes; tie outcomes to measurable KPIs and assigned owners; align with the AI risk tier and regulatory context.</t>
  </si>
  <si>
    <t>Sustain and continuously improve Pre-Inference Data Sanitization</t>
  </si>
  <si>
    <t>Pre-Inference Data Sanitization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</si>
  <si>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Pre-Inference Data Sanitization</t>
  </si>
  <si>
    <t>The respondent is unsure of the current state. Engage relevant stakeholders (governance, delivery, business sponsors) to confirm, document, and communicate the current state of Pre-Inference Data Sanitization; treat as an awareness gap to address before scoring this capability.</t>
  </si>
  <si>
    <t>Validate applicability of Pre-Inference Data Sanitization</t>
  </si>
  <si>
    <t>The respondent indicated Pre-Inference Data Sanitization is not applicable. Validate with the consultant whether scope, context, or question wording should be adjusted; confirm there are no risk implications of treating this capability as out of scope.</t>
  </si>
  <si>
    <t>Establish baseline Automated AI Security Testing</t>
  </si>
  <si>
    <t>Automated AI Security Testing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</si>
  <si>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Automated AI Security Testing</t>
  </si>
  <si>
    <t>Automated AI Security Testing exists in partial form. Document standards, decision rights, and review cadence; ensure consistent application across the AI portfolio and close coverage gaps for in-scope use cases or teams.</t>
  </si>
  <si>
    <t>Integrate Automated AI Security Testing into the operating model</t>
  </si>
  <si>
    <t>Automated AI Security Testing is mature. Strengthen by embedding it into delivery, monitoring, and governance processes; tie outcomes to measurable KPIs and assigned owners; align with the AI risk tier and regulatory context.</t>
  </si>
  <si>
    <t>Sustain and continuously improve Automated AI Security Testing</t>
  </si>
  <si>
    <t>Automated AI Security Testing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</si>
  <si>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Automated AI Security Testing</t>
  </si>
  <si>
    <t>The respondent is unsure of the current state. Engage relevant stakeholders (governance, delivery, business sponsors) to confirm, document, and communicate the current state of Automated AI Security Testing; treat as an awareness gap to address before scoring this capability.</t>
  </si>
  <si>
    <t>Validate applicability of Automated AI Security Testing</t>
  </si>
  <si>
    <t>The respondent indicated Automated AI Security Testing is not applicable. Validate with the consultant whether scope, context, or question wording should be adjusted; confirm there are no risk implications of treating this capability as out of scope.</t>
  </si>
  <si>
    <t>Establish baseline AI Cost Attribution</t>
  </si>
  <si>
    <t>AI Cost Attribution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</si>
  <si>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Cost Attribution</t>
  </si>
  <si>
    <t>AI Cost Attribution exists in partial form. Document standards, decision rights, and review cadence; ensure consistent application across the AI portfolio and close coverage gaps for in-scope use cases or teams.</t>
  </si>
  <si>
    <t>Integrate AI Cost Attribution into the operating model</t>
  </si>
  <si>
    <t>AI Cost Attribution is mature. Strengthen by embedding it into delivery, monitoring, and governance processes; tie outcomes to measurable KPIs and assigned owners; align with the AI risk tier and regulatory context.</t>
  </si>
  <si>
    <t>Sustain and continuously improve AI Cost Attribution</t>
  </si>
  <si>
    <t>AI Cost Attribution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</si>
  <si>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Cost Attribution</t>
  </si>
  <si>
    <t>The respondent is unsure of the current state. Engage relevant stakeholders (governance, delivery, business sponsors) to confirm, document, and communicate the current state of AI Cost Attribution; treat as an awareness gap to address before scoring this capability.</t>
  </si>
  <si>
    <t>Validate applicability of AI Cost Attribution</t>
  </si>
  <si>
    <t>The respondent indicated AI Cost Attribution is not applicable. Validate with the consultant whether scope, context, or question wording should be adjusted; confirm there are no risk implications of treating this capability as out of scope.</t>
  </si>
  <si>
    <t>Establish baseline AI Audit Logging</t>
  </si>
  <si>
    <t>AI Audit Logging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</si>
  <si>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Audit Logging</t>
  </si>
  <si>
    <t>AI Audit Logging exists in partial form. Document standards, decision rights, and review cadence; ensure consistent application across the AI portfolio and close coverage gaps for in-scope use cases or teams.</t>
  </si>
  <si>
    <t>Integrate AI Audit Logging into the operating model</t>
  </si>
  <si>
    <t>AI Audit Logging is mature. Strengthen by embedding it into delivery, monitoring, and governance processes; tie outcomes to measurable KPIs and assigned owners; align with the AI risk tier and regulatory context.</t>
  </si>
  <si>
    <t>Sustain and continuously improve AI Audit Logging</t>
  </si>
  <si>
    <t>AI Audit Logging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</si>
  <si>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Audit Logging</t>
  </si>
  <si>
    <t>The respondent is unsure of the current state. Engage relevant stakeholders (governance, delivery, business sponsors) to confirm, document, and communicate the current state of AI Audit Logging; treat as an awareness gap to address before scoring this capability.</t>
  </si>
  <si>
    <t>Validate applicability of AI Audit Logging</t>
  </si>
  <si>
    <t>The respondent indicated AI Audit Logging is not applicable. Validate with the consultant whether scope, context, or question wording should be adjusted; confirm there are no risk implications of treating this capability as out of scope.</t>
  </si>
  <si>
    <t>Establish baseline Model Provider Interoperability</t>
  </si>
  <si>
    <t>Model Provider Interoperability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</si>
  <si>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Model Provider Interoperability</t>
  </si>
  <si>
    <t>Model Provider Interoperability exists in partial form. Document standards, decision rights, and review cadence; ensure consistent application across the AI portfolio and close coverage gaps for in-scope use cases or teams.</t>
  </si>
  <si>
    <t>Integrate Model Provider Interoperability into the operating model</t>
  </si>
  <si>
    <t>Model Provider Interoperability is mature. Strengthen by embedding it into delivery, monitoring, and governance processes; tie outcomes to measurable KPIs and assigned owners; align with the AI risk tier and regulatory context.</t>
  </si>
  <si>
    <t>Sustain and continuously improve Model Provider Interoperability</t>
  </si>
  <si>
    <t>Model Provider Interoperability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</si>
  <si>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Model Provider Interoperability</t>
  </si>
  <si>
    <t>The respondent is unsure of the current state. Engage relevant stakeholders (governance, delivery, business sponsors) to confirm, document, and communicate the current state of Model Provider Interoperability; treat as an awareness gap to address before scoring this capability.</t>
  </si>
  <si>
    <t>Validate applicability of Model Provider Interoperability</t>
  </si>
  <si>
    <t>The respondent indicated Model Provider Interoperability is not applicable. Validate with the consultant whether scope, context, or question wording should be adjusted; confirm there are no risk implications of treating this capability as out of scope.</t>
  </si>
  <si>
    <t>Establish baseline Individual Model Accountability</t>
  </si>
  <si>
    <t>Individual Model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</si>
  <si>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Individual Model Accountability</t>
  </si>
  <si>
    <t>Individual Model Accountability exists in partial form. Document standards, decision rights, and review cadence; ensure consistent application across the AI portfolio and close coverage gaps for in-scope use cases or teams.</t>
  </si>
  <si>
    <t>Integrate Individual Model Accountability into the operating model</t>
  </si>
  <si>
    <t>Individual Model Accountability is mature. Strengthen by embedding it into delivery, monitoring, and governance processes; tie outcomes to measurable KPIs and assigned owners; align with the AI risk tier and regulatory context.</t>
  </si>
  <si>
    <t>Sustain and continuously improve Individual Model Accountability</t>
  </si>
  <si>
    <t>Individual Model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</si>
  <si>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Individual Model Accountability</t>
  </si>
  <si>
    <t>The respondent is unsure of the current state. Engage relevant stakeholders (governance, delivery, business sponsors) to confirm, document, and communicate the current state of Individual Model Accountability; treat as an awareness gap to address before scoring this capability.</t>
  </si>
  <si>
    <t>Validate applicability of Individual Model Accountability</t>
  </si>
  <si>
    <t>The respondent indicated Individual Model Accountability is not applicable. Validate with the consultant whether scope, context, or question wording should be adjusted; confirm there are no risk implications of treating this capability as out of scope.</t>
  </si>
  <si>
    <t>Establish baseline Council Framework Accountability</t>
  </si>
  <si>
    <t>Council Framework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</si>
  <si>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Council Framework Accountability</t>
  </si>
  <si>
    <t>Council Framework Accountability exists in partial form. Document standards, decision rights, and review cadence; ensure consistent application across the AI portfolio and close coverage gaps for in-scope use cases or teams.</t>
  </si>
  <si>
    <t>Integrate Council Framework Accountability into the operating model</t>
  </si>
  <si>
    <t>Council Framework Accountability is mature. Strengthen by embedding it into delivery, monitoring, and governance processes; tie outcomes to measurable KPIs and assigned owners; align with the AI risk tier and regulatory context.</t>
  </si>
  <si>
    <t>Sustain and continuously improve Council Framework Accountability</t>
  </si>
  <si>
    <t>Council Framework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</si>
  <si>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Council Framework Accountability</t>
  </si>
  <si>
    <t>The respondent is unsure of the current state. Engage relevant stakeholders (governance, delivery, business sponsors) to confirm, document, and communicate the current state of Council Framework Accountability; treat as an awareness gap to address before scoring this capability.</t>
  </si>
  <si>
    <t>Validate applicability of Council Framework Accountability</t>
  </si>
  <si>
    <t>The respondent indicated Council Framework Accountability is not applicable. Validate with the consultant whether scope, context, or question wording should be adjusted; confirm there are no risk implications of treating this capability as out of scope.</t>
  </si>
  <si>
    <t>Establish baseline Pre-Production Legal/Privacy Review</t>
  </si>
  <si>
    <t>Pre-Production Legal/Privacy Review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</si>
  <si>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Pre-Production Legal/Privacy Review</t>
  </si>
  <si>
    <t>Pre-Production Legal/Privacy Review exists in partial form. Document standards, decision rights, and review cadence; ensure consistent application across the AI portfolio and close coverage gaps for in-scope use cases or teams.</t>
  </si>
  <si>
    <t>Integrate Pre-Production Legal/Privacy Review into the operating model</t>
  </si>
  <si>
    <t>Pre-Production Legal/Privacy Review is mature. Strengthen by embedding it into delivery, monitoring, and governance processes; tie outcomes to measurable KPIs and assigned owners; align with the AI risk tier and regulatory context.</t>
  </si>
  <si>
    <t>Sustain and continuously improve Pre-Production Legal/Privacy Review</t>
  </si>
  <si>
    <t>Pre-Production Legal/Privacy Review is optimized. Maintain through scheduled review, internal/external benchmarking, and refinement based on incidents, audit findings, and emerging practices. Re-evaluate as the AI portfolio, regulations, and capabilities evolve.</t>
  </si>
  <si>
    <t>Close awareness gap on Pre-Production Legal/Privacy Review</t>
  </si>
  <si>
    <t>The respondent is unsure of the current state. Engage relevant stakeholders (governance, delivery, business sponsors) to confirm, document, and communicate the current state of Pre-Production Legal/Privacy Review; treat as an awareness gap to address before scoring this capability.</t>
  </si>
  <si>
    <t>Validate applicability of Pre-Production Legal/Privacy Review</t>
  </si>
  <si>
    <t>The respondent indicated Pre-Production Legal/Privacy Review is not applicable. Validate with the consultant whether scope, context, or question wording should be adjusted; confirm there are no risk implications of treating this capability as out of scope.</t>
  </si>
  <si>
    <t>Establish baseline Run-Cost Accountability</t>
  </si>
  <si>
    <t>Run-Cost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</si>
  <si>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Run-Cost Accountability</t>
  </si>
  <si>
    <t>Run-Cost Accountability exists in partial form. Document standards, decision rights, and review cadence; ensure consistent application across the AI portfolio and close coverage gaps for in-scope use cases or teams.</t>
  </si>
  <si>
    <t>Integrate Run-Cost Accountability into the operating model</t>
  </si>
  <si>
    <t>Run-Cost Accountability is mature. Strengthen by embedding it into delivery, monitoring, and governance processes; tie outcomes to measurable KPIs and assigned owners; align with the AI risk tier and regulatory context.</t>
  </si>
  <si>
    <t>Sustain and continuously improve Run-Cost Accountability</t>
  </si>
  <si>
    <t>Run-Cost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</si>
  <si>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Run-Cost Accountability</t>
  </si>
  <si>
    <t>The respondent is unsure of the current state. Engage relevant stakeholders (governance, delivery, business sponsors) to confirm, document, and communicate the current state of Run-Cost Accountability; treat as an awareness gap to address before scoring this capability.</t>
  </si>
  <si>
    <t>Validate applicability of Run-Cost Accountability</t>
  </si>
  <si>
    <t>The respondent indicated Run-Cost Accountability is not applicable. Validate with the consultant whether scope, context, or question wording should be adjusted; confirm there are no risk implications of treating this capability as out of scope.</t>
  </si>
  <si>
    <t>Establish baseline Training Data Provenance Responsibility</t>
  </si>
  <si>
    <t>Training Data Provenance Responsibility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</si>
  <si>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Training Data Provenance Responsibility</t>
  </si>
  <si>
    <t>Training Data Provenance Responsibility exists in partial form. Document standards, decision rights, and review cadence; ensure consistent application across the AI portfolio and close coverage gaps for in-scope use cases or teams.</t>
  </si>
  <si>
    <t>Integrate Training Data Provenance Responsibility into the operating model</t>
  </si>
  <si>
    <t>Training Data Provenance Responsibility is mature. Strengthen by embedding it into delivery, monitoring, and governance processes; tie outcomes to measurable KPIs and assigned owners; align with the AI risk tier and regulatory context.</t>
  </si>
  <si>
    <t>Sustain and continuously improve Training Data Provenance Responsibility</t>
  </si>
  <si>
    <t>Training Data Provenance Responsibility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</si>
  <si>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Training Data Provenance Responsibility</t>
  </si>
  <si>
    <t>The respondent is unsure of the current state. Engage relevant stakeholders (governance, delivery, business sponsors) to confirm, document, and communicate the current state of Training Data Provenance Responsibility; treat as an awareness gap to address before scoring this capability.</t>
  </si>
  <si>
    <t>Validate applicability of Training Data Provenance Responsibility</t>
  </si>
  <si>
    <t>The respondent indicated Training Data Provenance Responsibility is not applicable. Validate with the consultant whether scope, context, or question wording should be adjusted; confirm there are no risk implications of treating this capability as out of scope.</t>
  </si>
  <si>
    <t>Establish baseline Model Selection Authority</t>
  </si>
  <si>
    <t>Model Selection Authority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</si>
  <si>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Model Selection Authority</t>
  </si>
  <si>
    <t>Model Selection Authority exists in partial form. Document standards, decision rights, and review cadence; ensure consistent application across the AI portfolio and close coverage gaps for in-scope use cases or teams.</t>
  </si>
  <si>
    <t>Integrate Model Selection Authority into the operating model</t>
  </si>
  <si>
    <t>Model Selection Authority is mature. Strengthen by embedding it into delivery, monitoring, and governance processes; tie outcomes to measurable KPIs and assigned owners; align with the AI risk tier and regulatory context.</t>
  </si>
  <si>
    <t>Sustain and continuously improve Model Selection Authority</t>
  </si>
  <si>
    <t>Model Selection Authority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</si>
  <si>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Model Selection Authority</t>
  </si>
  <si>
    <t>The respondent is unsure of the current state. Engage relevant stakeholders (governance, delivery, business sponsors) to confirm, document, and communicate the current state of Model Selection Authority; treat as an awareness gap to address before scoring this capability.</t>
  </si>
  <si>
    <t>Validate applicability of Model Selection Authority</t>
  </si>
  <si>
    <t>The respondent indicated Model Selection Authority is not applicable. Validate with the consultant whether scope, context, or question wording should be adjusted; confirm there are no risk implications of treating this capability as out of scope.</t>
  </si>
  <si>
    <t>Establish baseline Prompt and Guardrail Ownership</t>
  </si>
  <si>
    <t>Prompt and Guardrail Ownership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</si>
  <si>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Prompt and Guardrail Ownership</t>
  </si>
  <si>
    <t>Prompt and Guardrail Ownership exists in partial form. Document standards, decision rights, and review cadence; ensure consistent application across the AI portfolio and close coverage gaps for in-scope use cases or teams.</t>
  </si>
  <si>
    <t>Integrate Prompt and Guardrail Ownership into the operating model</t>
  </si>
  <si>
    <t>Prompt and Guardrail Ownership is mature. Strengthen by embedding it into delivery, monitoring, and governance processes; tie outcomes to measurable KPIs and assigned owners; align with the AI risk tier and regulatory context.</t>
  </si>
  <si>
    <t>Sustain and continuously improve Prompt and Guardrail Ownership</t>
  </si>
  <si>
    <t>Prompt and Guardrail Ownership is optimized. Maintain through scheduled review, internal/external benchmarking, and refinement based on incidents, audit findings, and emerging practices. Re-evaluate as the AI portfolio, regulations, and capabilities evolve.</t>
  </si>
  <si>
    <t>Close awareness gap on Prompt and Guardrail Ownership</t>
  </si>
  <si>
    <t>The respondent is unsure of the current state. Engage relevant stakeholders (governance, delivery, business sponsors) to confirm, document, and communicate the current state of Prompt and Guardrail Ownership; treat as an awareness gap to address before scoring this capability.</t>
  </si>
  <si>
    <t>Validate applicability of Prompt and Guardrail Ownership</t>
  </si>
  <si>
    <t>The respondent indicated Prompt and Guardrail Ownership is not applicable. Validate with the consultant whether scope, context, or question wording should be adjusted; confirm there are no risk implications of treating this capability as out of scope.</t>
  </si>
  <si>
    <t>Establish baseline Go-Live Decision Authority</t>
  </si>
  <si>
    <t>Go-Live Decision Authority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</si>
  <si>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Go-Live Decision Authority</t>
  </si>
  <si>
    <t>Go-Live Decision Authority exists in partial form. Document standards, decision rights, and review cadence; ensure consistent application across the AI portfolio and close coverage gaps for in-scope use cases or teams.</t>
  </si>
  <si>
    <t>Integrate Go-Live Decision Authority into the operating model</t>
  </si>
  <si>
    <t>Go-Live Decision Authority is mature. Strengthen by embedding it into delivery, monitoring, and governance processes; tie outcomes to measurable KPIs and assigned owners; align with the AI risk tier and regulatory context.</t>
  </si>
  <si>
    <t>Sustain and continuously improve Go-Live Decision Authority</t>
  </si>
  <si>
    <t>Go-Live Decision Authority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</si>
  <si>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Go-Live Decision Authority</t>
  </si>
  <si>
    <t>The respondent is unsure of the current state. Engage relevant stakeholders (governance, delivery, business sponsors) to confirm, document, and communicate the current state of Go-Live Decision Authority; treat as an awareness gap to address before scoring this capability.</t>
  </si>
  <si>
    <t>Validate applicability of Go-Live Decision Authority</t>
  </si>
  <si>
    <t>The respondent indicated Go-Live Decision Authority is not applicable. Validate with the consultant whether scope, context, or question wording should be adjusted; confirm there are no risk implications of treating this capability as out of scope.</t>
  </si>
  <si>
    <t>Establish baseline Production Monitoring Responsibility</t>
  </si>
  <si>
    <t>Production Monitoring Responsibility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</si>
  <si>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Production Monitoring Responsibility</t>
  </si>
  <si>
    <t>Production Monitoring Responsibility exists in partial form. Document standards, decision rights, and review cadence; ensure consistent application across the AI portfolio and close coverage gaps for in-scope use cases or teams.</t>
  </si>
  <si>
    <t>Integrate Production Monitoring Responsibility into the operating model</t>
  </si>
  <si>
    <t>Production Monitoring Responsibility is mature. Strengthen by embedding it into delivery, monitoring, and governance processes; tie outcomes to measurable KPIs and assigned owners; align with the AI risk tier and regulatory context.</t>
  </si>
  <si>
    <t>Sustain and continuously improve Production Monitoring Responsibility</t>
  </si>
  <si>
    <t>Production Monitoring Responsibility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</si>
  <si>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Production Monitoring Responsibility</t>
  </si>
  <si>
    <t>The respondent is unsure of the current state. Engage relevant stakeholders (governance, delivery, business sponsors) to confirm, document, and communicate the current state of Production Monitoring Responsibility; treat as an awareness gap to address before scoring this capability.</t>
  </si>
  <si>
    <t>Validate applicability of Production Monitoring Responsibility</t>
  </si>
  <si>
    <t>The respondent indicated Production Monitoring Responsibility is not applicable. Validate with the consultant whether scope, context, or question wording should be adjusted; confirm there are no risk implications of treating this capability as out of scope.</t>
  </si>
  <si>
    <t>Establish baseline Incident Remediation Accountability</t>
  </si>
  <si>
    <t>Incident Remediation Accountability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</si>
  <si>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Incident Remediation Accountability</t>
  </si>
  <si>
    <t>Incident Remediation Accountability exists in partial form. Document standards, decision rights, and review cadence; ensure consistent application across the AI portfolio and close coverage gaps for in-scope use cases or teams.</t>
  </si>
  <si>
    <t>Integrate Incident Remediation Accountability into the operating model</t>
  </si>
  <si>
    <t>Incident Remediation Accountability is mature. Strengthen by embedding it into delivery, monitoring, and governance processes; tie outcomes to measurable KPIs and assigned owners; align with the AI risk tier and regulatory context.</t>
  </si>
  <si>
    <t>Sustain and continuously improve Incident Remediation Accountability</t>
  </si>
  <si>
    <t>Incident Remediation Accountability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</si>
  <si>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Incident Remediation Accountability</t>
  </si>
  <si>
    <t>The respondent is unsure of the current state. Engage relevant stakeholders (governance, delivery, business sponsors) to confirm, document, and communicate the current state of Incident Remediation Accountability; treat as an awareness gap to address before scoring this capability.</t>
  </si>
  <si>
    <t>Validate applicability of Incident Remediation Accountability</t>
  </si>
  <si>
    <t>The respondent indicated Incident Remediation Accountability is not applicable. Validate with the consultant whether scope, context, or question wording should be adjusted; confirm there are no risk implications of treating this capability as out of scope.</t>
  </si>
  <si>
    <t>Establish baseline Human Reviewer Role Definition</t>
  </si>
  <si>
    <t>Human Reviewer Role Definition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</si>
  <si>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Human Reviewer Role Definition</t>
  </si>
  <si>
    <t>Human Reviewer Role Definition exists in partial form. Document standards, decision rights, and review cadence; ensure consistent application across the AI portfolio and close coverage gaps for in-scope use cases or teams.</t>
  </si>
  <si>
    <t>Integrate Human Reviewer Role Definition into the operating model</t>
  </si>
  <si>
    <t>Human Reviewer Role Definition is mature. Strengthen by embedding it into delivery, monitoring, and governance processes; tie outcomes to measurable KPIs and assigned owners; align with the AI risk tier and regulatory context.</t>
  </si>
  <si>
    <t>Sustain and continuously improve Human Reviewer Role Definition</t>
  </si>
  <si>
    <t>Human Reviewer Role Definition is optimized. Maintain through scheduled review, internal/external benchmarking, and refinement based on incidents, audit findings, and emerging practices. Re-evaluate as the AI portfolio, regulations, and capabilities evolve.</t>
  </si>
  <si>
    <t>Close awareness gap on Human Reviewer Role Definition</t>
  </si>
  <si>
    <t>The respondent is unsure of the current state. Engage relevant stakeholders (governance, delivery, business sponsors) to confirm, document, and communicate the current state of Human Reviewer Role Definition; treat as an awareness gap to address before scoring this capability.</t>
  </si>
  <si>
    <t>Validate applicability of Human Reviewer Role Definition</t>
  </si>
  <si>
    <t>The respondent indicated Human Reviewer Role Definition is not applicable. Validate with the consultant whether scope, context, or question wording should be adjusted; confirm there are no risk implications of treating this capability as out of scope.</t>
  </si>
  <si>
    <t>Establish baseline Decommissioning Decision Authority</t>
  </si>
  <si>
    <t>Decommissioning Decision Authority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</si>
  <si>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Decommissioning Decision Authority</t>
  </si>
  <si>
    <t>Decommissioning Decision Authority exists in partial form. Document standards, decision rights, and review cadence; ensure consistent application across the AI portfolio and close coverage gaps for in-scope use cases or teams.</t>
  </si>
  <si>
    <t>Integrate Decommissioning Decision Authority into the operating model</t>
  </si>
  <si>
    <t>Decommissioning Decision Authority is mature. Strengthen by embedding it into delivery, monitoring, and governance processes; tie outcomes to measurable KPIs and assigned owners; align with the AI risk tier and regulatory context.</t>
  </si>
  <si>
    <t>Sustain and continuously improve Decommissioning Decision Authority</t>
  </si>
  <si>
    <t>Decommissioning Decision Authority is optimized. Maintain through scheduled review, internal/external benchmarking, and refinement based on incidents, audit findings, and emerging practices. Re-evaluate as the AI portfolio, regulations, and capabilities evolve.</t>
  </si>
  <si>
    <t>Close awareness gap on Decommissioning Decision Authority</t>
  </si>
  <si>
    <t>The respondent is unsure of the current state. Engage relevant stakeholders (governance, delivery, business sponsors) to confirm, document, and communicate the current state of Decommissioning Decision Authority; treat as an awareness gap to address before scoring this capability.</t>
  </si>
  <si>
    <t>Validate applicability of Decommissioning Decision Authority</t>
  </si>
  <si>
    <t>The respondent indicated Decommissioning Decision Authority is not applicable. Validate with the consultant whether scope, context, or question wording should be adjusted; confirm there are no risk implications of treating this capability as out of scope.</t>
  </si>
  <si>
    <t>Establish baseline Executive Communication by Risk Tier</t>
  </si>
  <si>
    <t>Executive Communication by Risk Tier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</si>
  <si>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Executive Communication by Risk Tier</t>
  </si>
  <si>
    <t>Executive Communication by Risk Tier exists in partial form. Document standards, decision rights, and review cadence; ensure consistent application across the AI portfolio and close coverage gaps for in-scope use cases or teams.</t>
  </si>
  <si>
    <t>Integrate Executive Communication by Risk Tier into the operating model</t>
  </si>
  <si>
    <t>Executive Communication by Risk Tier is mature. Strengthen by embedding it into delivery, monitoring, and governance processes; tie outcomes to measurable KPIs and assigned owners; align with the AI risk tier and regulatory context.</t>
  </si>
  <si>
    <t>Sustain and continuously improve Executive Communication by Risk Tier</t>
  </si>
  <si>
    <t>Executive Communication by Risk Tier is optimized. Maintain through scheduled review, internal/external benchmarking, and refinement based on incidents, audit findings, and emerging practices. Re-evaluate as the AI portfolio, regulations, and capabilities evolve.</t>
  </si>
  <si>
    <t>Close awareness gap on Executive Communication by Risk Tier</t>
  </si>
  <si>
    <t>The respondent is unsure of the current state. Engage relevant stakeholders (governance, delivery, business sponsors) to confirm, document, and communicate the current state of Executive Communication by Risk Tier; treat as an awareness gap to address before scoring this capability.</t>
  </si>
  <si>
    <t>Validate applicability of Executive Communication by Risk Tier</t>
  </si>
  <si>
    <t>The respondent indicated Executive Communication by Risk Tier is not applicable. Validate with the consultant whether scope, context, or question wording should be adjusted; confirm there are no risk implications of treating this capability as out of scope.</t>
  </si>
  <si>
    <t>Establish baseline AI Disclosure to Users</t>
  </si>
  <si>
    <t>AI Disclosure to Users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</si>
  <si>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AI Disclosure to Users</t>
  </si>
  <si>
    <t>AI Disclosure to Users exists in partial form. Document standards, decision rights, and review cadence; ensure consistent application across the AI portfolio and close coverage gaps for in-scope use cases or teams.</t>
  </si>
  <si>
    <t>Integrate AI Disclosure to Users into the operating model</t>
  </si>
  <si>
    <t>AI Disclosure to Users is mature. Strengthen by embedding it into delivery, monitoring, and governance processes; tie outcomes to measurable KPIs and assigned owners; align with the AI risk tier and regulatory context.</t>
  </si>
  <si>
    <t>Sustain and continuously improve AI Disclosure to Users</t>
  </si>
  <si>
    <t>AI Disclosure to Users is optimized. Maintain through scheduled review, internal/external benchmarking, and refinement based on incidents, audit findings, and emerging practices. Re-evaluate as the AI portfolio, regulations, and capabilities evolve.</t>
  </si>
  <si>
    <t>Close awareness gap on AI Disclosure to Users</t>
  </si>
  <si>
    <t>The respondent is unsure of the current state. Engage relevant stakeholders (governance, delivery, business sponsors) to confirm, document, and communicate the current state of AI Disclosure to Users; treat as an awareness gap to address before scoring this capability.</t>
  </si>
  <si>
    <t>Validate applicability of AI Disclosure to Users</t>
  </si>
  <si>
    <t>The respondent indicated AI Disclosure to Users is not applicable. Validate with the consultant whether scope, context, or question wording should be adjusted; confirm there are no risk implications of treating this capability as out of scope.</t>
  </si>
  <si>
    <t>Establish baseline Vendor Model Change Awareness</t>
  </si>
  <si>
    <t>Vendor Model Change Awareness is currently absent or ad-hoc. Stand up the foundational practice: assign an owner, document scope and intent, and define a minimum standard the organization will operate against. Use this as the basis for the next maturity step rather than attempting an enterprise-wide rollout.</t>
  </si>
  <si>
    <t>Formalize and standardize Vendor Model Change Awareness</t>
  </si>
  <si>
    <t>Vendor Model Change Awareness exists in partial form. Document standards, decision rights, and review cadence; ensure consistent application across the AI portfolio and close coverage gaps for in-scope use cases or teams.</t>
  </si>
  <si>
    <t>Integrate Vendor Model Change Awareness into the operating model</t>
  </si>
  <si>
    <t>Vendor Model Change Awareness is mature. Strengthen by embedding it into delivery, monitoring, and governance processes; tie outcomes to measurable KPIs and assigned owners; align with the AI risk tier and regulatory context.</t>
  </si>
  <si>
    <t>Sustain and continuously improve Vendor Model Change Awareness</t>
  </si>
  <si>
    <t>Vendor Model Change Awareness is optimized. Maintain through scheduled review, internal/external benchmarking, and refinement based on incidents, audit findings, and emerging practices. Re-evaluate as the AI portfolio, regulations, and capabilities evolve.</t>
  </si>
  <si>
    <t>Close awareness gap on Vendor Model Change Awareness</t>
  </si>
  <si>
    <t>The respondent is unsure of the current state. Engage relevant stakeholders (governance, delivery, business sponsors) to confirm, document, and communicate the current state of Vendor Model Change Awareness; treat as an awareness gap to address before scoring this capability.</t>
  </si>
  <si>
    <t>Validate applicability of Vendor Model Change Awareness</t>
  </si>
  <si>
    <t>The respondent indicated Vendor Model Change Awareness is not applicable. Validate with the consultant whether scope, context, or question wording should be adjusted; confirm there are no risk implications of treating this capability as out of scope.</t>
  </si>
  <si>
    <t>Selected Response</t>
  </si>
  <si>
    <t>AI Maturity Assessment — Dashboard</t>
  </si>
  <si>
    <t>Overall Maturity Score</t>
  </si>
  <si>
    <t>Completion %</t>
  </si>
  <si>
    <t>Completed / Total</t>
  </si>
  <si>
    <t>Not Sure count</t>
  </si>
  <si>
    <t>Not Applicable count</t>
  </si>
  <si>
    <t>Domain Maturity Scores</t>
  </si>
  <si>
    <t>Recommendations Triggered — High Priority (score 1-2)</t>
  </si>
  <si>
    <t>Recommendations Triggered — Medium Priority (score 3)</t>
  </si>
  <si>
    <t>Recommendations Triggered — Low Priority (score 4-5)</t>
  </si>
  <si>
    <t>Recommendations Triggered — Not Sure / Not Applicable</t>
  </si>
  <si>
    <t>Count in Survey Responses</t>
  </si>
  <si>
    <t>Test ID</t>
  </si>
  <si>
    <t>Scenario</t>
  </si>
  <si>
    <t>Expected</t>
  </si>
  <si>
    <t>Actual (formula)</t>
  </si>
  <si>
    <t>Pass/Fail (manual)</t>
  </si>
  <si>
    <t>T01</t>
  </si>
  <si>
    <t>All 65 questions answered — completion = 100%</t>
  </si>
  <si>
    <t>100%</t>
  </si>
  <si>
    <t>PASS</t>
  </si>
  <si>
    <t>T02</t>
  </si>
  <si>
    <t>Hidden Score populates (1–5) for all scored responses</t>
  </si>
  <si>
    <t>65</t>
  </si>
  <si>
    <t>T03</t>
  </si>
  <si>
    <t>Not Sure excluded from average (5 Not Sure, rest score-3)</t>
  </si>
  <si>
    <t>3</t>
  </si>
  <si>
    <t>actual=155</t>
  </si>
  <si>
    <t>T04</t>
  </si>
  <si>
    <t>Not Applicable excluded from average (5 N/A, rest score-3)</t>
  </si>
  <si>
    <t>actual=1085</t>
  </si>
  <si>
    <t>T05</t>
  </si>
  <si>
    <t>Completion % = 30/65 when 30 answered</t>
  </si>
  <si>
    <t>46%</t>
  </si>
  <si>
    <t>actual=930</t>
  </si>
  <si>
    <t>T06a</t>
  </si>
  <si>
    <t>GOV domain avg = 2 when all GOV set to score-2</t>
  </si>
  <si>
    <t>2</t>
  </si>
  <si>
    <t>See notes</t>
  </si>
  <si>
    <t>T06b</t>
  </si>
  <si>
    <t>STR domain avg = 4 when all STR set to score-4</t>
  </si>
  <si>
    <t>4</t>
  </si>
  <si>
    <t>T06c</t>
  </si>
  <si>
    <t>RAI domain avg = 3 when all RAI set to score-3</t>
  </si>
  <si>
    <t>T06d</t>
  </si>
  <si>
    <t>PMF domain avg = 5 when all PMF set to score-5</t>
  </si>
  <si>
    <t>5</t>
  </si>
  <si>
    <t>T07</t>
  </si>
  <si>
    <t>Dashboard overall avg ~3.5 (GOV=2×18, STR=4×15, RAI=3×16, PMF=5×16)</t>
  </si>
  <si>
    <t>3.5</t>
  </si>
  <si>
    <t>sample==_Dropdowns!$A$2:$A$8</t>
  </si>
  <si>
    <t>T08</t>
  </si>
  <si>
    <t>Recommendations Output has rows when responses set</t>
  </si>
  <si>
    <t>&gt;=1 row</t>
  </si>
  <si>
    <t>formula==IFERROR(XLOOKUP($A2&amp;"|"&amp;$J2,'Response Mapping'!$C$2:$C$1086,'Response Mapping'!</t>
  </si>
  <si>
    <t>T09</t>
  </si>
  <si>
    <t>Gap Flags populate for all answered rows</t>
  </si>
  <si>
    <t>&gt;=1 flag</t>
  </si>
  <si>
    <t>formula==IF($K2="","",IF($K2&gt;=4,"Yes","No"))</t>
  </si>
  <si>
    <t>T13</t>
  </si>
  <si>
    <t>Evidence Required = Yes for score &gt;=4</t>
  </si>
  <si>
    <t>A2='Governance Gap', B2==COUNTIF(tbl_Survey[Gap Flag],"Governance Gap")</t>
  </si>
  <si>
    <t>T14</t>
  </si>
  <si>
    <t>Blank responses: Dashboard shows blank/0% without errors</t>
  </si>
  <si>
    <t>0%</t>
  </si>
  <si>
    <t>value=GOV-001|No clear executive owner exists for AI</t>
  </si>
  <si>
    <t>T15</t>
  </si>
  <si>
    <t>Changing a response updates Score, Flag, Rec ID, Dashboard</t>
  </si>
  <si>
    <t>Verified</t>
  </si>
  <si>
    <t>found=1/Governance Gap</t>
  </si>
  <si>
    <t>NOTE: T10/T11 (formula error scan) require LibreOffice headless — not installed. Verify in Excel. T12 (dropdown arrow) requires manual verification in Excel.</t>
  </si>
  <si>
    <t>Term</t>
  </si>
  <si>
    <t>Definition</t>
  </si>
  <si>
    <t>AI Council</t>
  </si>
  <si>
    <t>A cross-functional governance body responsible for overseeing AI strategy, risk, and policy across the enterprise.</t>
  </si>
  <si>
    <t>A scoring flag indicating the organization lacks a formal control, policy, or accountability structure for the assessed capability.</t>
  </si>
  <si>
    <t>A scoring flag indicating a named capability is formally established and consistently applied enterprise-wide.</t>
  </si>
  <si>
    <t>A scoring flag indicating a capability is continuously improved, measured by KPIs, and embedded in the operating model.</t>
  </si>
  <si>
    <t>A scoring flag indicating a capability exists in limited or inconsistent form and needs further development.</t>
  </si>
  <si>
    <t>Responsible AI</t>
  </si>
  <si>
    <t>Practices ensuring AI systems are fair, transparent, accountable, safe, and compliant with ethical and regulatory standards.</t>
  </si>
  <si>
    <t>Risk Tier</t>
  </si>
  <si>
    <t>A classification of an AI use case's potential harm level, used to determine required governance controls and review rigor.</t>
  </si>
  <si>
    <t>Shadow AI</t>
  </si>
  <si>
    <t>Unsanctioned use of AI tools by employees outside of official IT and governance processes, creating unknown risk exposure.</t>
  </si>
  <si>
    <t>Model Card</t>
  </si>
  <si>
    <t>A standardized documentation artifact describing an AI model's purpose, training data, performance, limitations, and intended use.</t>
  </si>
  <si>
    <t>NIST AI RMF</t>
  </si>
  <si>
    <t>The NIST Artificial Intelligence Risk Management Framework — a voluntary framework for managing AI risks across the AI lifecycle.</t>
  </si>
  <si>
    <t>ISO/IEC 42001</t>
  </si>
  <si>
    <t>The international standard for AI management systems, specifying requirements for responsible development and use of AI.</t>
  </si>
  <si>
    <t>RAG</t>
  </si>
  <si>
    <t>Retrieval-Augmented Generation — an AI architecture that grounds generative model outputs in retrieved external documents or data.</t>
  </si>
  <si>
    <t>MLOps</t>
  </si>
  <si>
    <t>Machine Learning Operations — practices for automating and monitoring ML model development, deployment, and lifecycle management.</t>
  </si>
  <si>
    <t>LLMOps</t>
  </si>
  <si>
    <t>Large Language Model Operations — MLOps practices adapted for the unique deployment and monitoring needs of foundation models.</t>
  </si>
  <si>
    <t>Hallucination</t>
  </si>
  <si>
    <t>An AI output that is factually incorrect or fabricated, often presented with apparent confidence by a generative model.</t>
  </si>
  <si>
    <t>Concept Drift</t>
  </si>
  <si>
    <t>Degradation in model accuracy over time due to changes in the statistical properties of real-world input data.</t>
  </si>
  <si>
    <t>Red-Teaming</t>
  </si>
  <si>
    <t>Adversarial testing of an AI system to identify failure modes, safety risks, and unintended behaviors before deployment.</t>
  </si>
  <si>
    <t>Kill Switch</t>
  </si>
  <si>
    <t>A documented, tested mechanism to rapidly disable or roll back an AI system in response to a safety or compliance incident.</t>
  </si>
  <si>
    <t>TCO</t>
  </si>
  <si>
    <t>Total Cost of Ownership — the full lifecycle cost of an AI system including development, infrastructure, maintenance, and governance.</t>
  </si>
  <si>
    <t>Time-to-Value</t>
  </si>
  <si>
    <t>The elapsed time from AI project initiation to the point where measurable business value is realized by the organization.</t>
  </si>
  <si>
    <t>Role Selector</t>
  </si>
  <si>
    <t>Role</t>
  </si>
  <si>
    <t>Subsection Goal</t>
  </si>
  <si>
    <t>Subsection Weight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</si>
  <si>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</si>
  <si>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</si>
  <si>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</si>
  <si>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</si>
  <si>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</si>
  <si>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</si>
  <si>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</si>
  <si>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Respondent Role</t>
  </si>
  <si>
    <t>Chosen Response</t>
  </si>
  <si>
    <t>Question Score</t>
  </si>
  <si>
    <t>Subsection Weighted Score</t>
  </si>
  <si>
    <t>Gap Falg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</si>
</sst>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1F4E79"/>
      <name val="Calibri"/>
    </font>
    <font>
      <sz val="11"/>
      <name val="Calibri"/>
    </font>
    <font>
      <b/>
      <sz val="14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color rgb="FFFFFFFF"/>
      <name val="Calibri"/>
      <family val="2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6" fillId="2" borderId="0" xfId="0" applyFont="1" applyFill="1"/>
    <xf numFmtId="0" fontId="8" fillId="0" borderId="0" xfId="0" applyFont="1"/>
    <xf numFmtId="0" fontId="9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sponseMap" displayName="tbl_ResponseMap" ref="A1:I1086" headerRowCount="0">
  <tableColumns count="9">
    <tableColumn id="1" xr3:uid="{00000000-0010-0000-0100-000001000000}" name="Question ID"/>
    <tableColumn id="2" xr3:uid="{00000000-0010-0000-0100-000002000000}" name="Response Option"/>
    <tableColumn id="3" xr3:uid="{00000000-0010-0000-0100-000003000000}" name="Lookup Key"/>
    <tableColumn id="4" xr3:uid="{00000000-0010-0000-0100-000004000000}" name="Normalized Score"/>
    <tableColumn id="5" xr3:uid="{00000000-0010-0000-0100-000005000000}" name="Score Treatment"/>
    <tableColumn id="6" xr3:uid="{00000000-0010-0000-0100-000006000000}" name="Gap Flag"/>
    <tableColumn id="7" xr3:uid="{00000000-0010-0000-0100-000007000000}" name="Recommendation ID"/>
    <tableColumn id="8" xr3:uid="{00000000-0010-0000-0100-000008000000}" name="Evidence Trigger"/>
    <tableColumn id="9" xr3:uid="{00000000-0010-0000-0100-000009000000}" name="Dashboard 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cLibrary" displayName="tbl_RecLibrary" ref="A1:I931" headerRowCount="0">
  <tableColumns count="9">
    <tableColumn id="1" xr3:uid="{00000000-0010-0000-0200-000001000000}" name="Recommendation ID"/>
    <tableColumn id="2" xr3:uid="{00000000-0010-0000-0200-000002000000}" name="Question ID"/>
    <tableColumn id="3" xr3:uid="{00000000-0010-0000-0200-000003000000}" name="Trigger Band"/>
    <tableColumn id="4" xr3:uid="{00000000-0010-0000-0200-000004000000}" name="Domain"/>
    <tableColumn id="5" xr3:uid="{00000000-0010-0000-0200-000005000000}" name="Capability"/>
    <tableColumn id="6" xr3:uid="{00000000-0010-0000-0200-000006000000}" name="Recommendation Title"/>
    <tableColumn id="7" xr3:uid="{00000000-0010-0000-0200-000007000000}" name="Recommended Action"/>
    <tableColumn id="8" xr3:uid="{00000000-0010-0000-0200-000008000000}" name="Priority"/>
    <tableColumn id="9" xr3:uid="{00000000-0010-0000-0200-000009000000}" name="Roadmap Horiz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defaultColWidth="8.85546875" defaultRowHeight="15" x14ac:dyDescent="0.25"/>
  <cols>
    <col min="1" max="1" width="128.85546875" style="1" customWidth="1"/>
    <col min="2" max="2" width="8.85546875" style="1" customWidth="1"/>
    <col min="3" max="16384" width="8.85546875" style="1"/>
  </cols>
  <sheetData>
    <row r="1" spans="1:1" ht="21" customHeight="1" x14ac:dyDescent="0.25">
      <c r="A1" s="2" t="s">
        <v>0</v>
      </c>
    </row>
    <row r="3" spans="1:1" ht="30" customHeight="1" x14ac:dyDescent="0.25">
      <c r="A3" s="3" t="s">
        <v>1</v>
      </c>
    </row>
    <row r="4" spans="1:1" ht="19.899999999999999" customHeight="1" x14ac:dyDescent="0.25">
      <c r="A4" s="4"/>
    </row>
    <row r="5" spans="1:1" ht="30" customHeight="1" x14ac:dyDescent="0.25">
      <c r="A5" s="4" t="s">
        <v>2</v>
      </c>
    </row>
    <row r="6" spans="1:1" ht="30" customHeight="1" x14ac:dyDescent="0.25">
      <c r="A6" s="4" t="s">
        <v>3</v>
      </c>
    </row>
    <row r="7" spans="1:1" ht="30" customHeight="1" x14ac:dyDescent="0.25">
      <c r="A7" s="4" t="s">
        <v>4</v>
      </c>
    </row>
    <row r="8" spans="1:1" ht="30" customHeight="1" x14ac:dyDescent="0.25">
      <c r="A8" s="4" t="s">
        <v>5</v>
      </c>
    </row>
    <row r="9" spans="1:1" ht="30" customHeight="1" x14ac:dyDescent="0.25">
      <c r="A9" s="4" t="s">
        <v>6</v>
      </c>
    </row>
    <row r="10" spans="1:1" ht="19.899999999999999" customHeight="1" x14ac:dyDescent="0.25">
      <c r="A10" s="4"/>
    </row>
    <row r="11" spans="1:1" ht="30" customHeight="1" x14ac:dyDescent="0.25">
      <c r="A11" s="3" t="s">
        <v>7</v>
      </c>
    </row>
    <row r="12" spans="1:1" ht="30" customHeight="1" x14ac:dyDescent="0.25">
      <c r="A12" s="4" t="s">
        <v>8</v>
      </c>
    </row>
    <row r="13" spans="1:1" ht="30" customHeight="1" x14ac:dyDescent="0.25">
      <c r="A13" s="4" t="s">
        <v>9</v>
      </c>
    </row>
    <row r="14" spans="1:1" ht="30" customHeight="1" x14ac:dyDescent="0.25">
      <c r="A14" s="4" t="s">
        <v>10</v>
      </c>
    </row>
    <row r="15" spans="1:1" ht="19.899999999999999" customHeight="1" x14ac:dyDescent="0.25">
      <c r="A15" s="4"/>
    </row>
    <row r="16" spans="1:1" ht="30" customHeight="1" x14ac:dyDescent="0.25">
      <c r="A16" s="3"/>
    </row>
    <row r="17" spans="1:1" ht="19.899999999999999" customHeight="1" x14ac:dyDescent="0.25">
      <c r="A17" s="4"/>
    </row>
    <row r="18" spans="1:1" ht="30" customHeight="1" x14ac:dyDescent="0.25">
      <c r="A18" s="4"/>
    </row>
    <row r="19" spans="1:1" ht="19.899999999999999" customHeight="1" x14ac:dyDescent="0.25">
      <c r="A19" s="4"/>
    </row>
    <row r="20" spans="1:1" ht="30" customHeight="1" x14ac:dyDescent="0.25">
      <c r="A2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>
      <selection activeCell="B11" sqref="B11"/>
    </sheetView>
  </sheetViews>
  <sheetFormatPr defaultRowHeight="15" x14ac:dyDescent="0.25"/>
  <cols>
    <col min="1" max="1" width="56.7109375" customWidth="1"/>
    <col min="2" max="2" width="60" customWidth="1"/>
  </cols>
  <sheetData>
    <row r="1" spans="1:2" ht="18.75" customHeight="1" x14ac:dyDescent="0.3">
      <c r="A1" s="5" t="s">
        <v>11</v>
      </c>
    </row>
    <row r="3" spans="1:2" x14ac:dyDescent="0.25">
      <c r="A3" s="6" t="s">
        <v>12</v>
      </c>
      <c r="B3" s="7"/>
    </row>
    <row r="4" spans="1:2" x14ac:dyDescent="0.25">
      <c r="A4" s="6" t="s">
        <v>13</v>
      </c>
      <c r="B4" s="7"/>
    </row>
    <row r="5" spans="1:2" x14ac:dyDescent="0.25">
      <c r="A5" s="6" t="s">
        <v>14</v>
      </c>
      <c r="B5" s="7"/>
    </row>
    <row r="6" spans="1:2" x14ac:dyDescent="0.25">
      <c r="A6" s="6" t="s">
        <v>15</v>
      </c>
      <c r="B6" s="7"/>
    </row>
    <row r="7" spans="1:2" x14ac:dyDescent="0.25">
      <c r="A7" s="6" t="s">
        <v>16</v>
      </c>
      <c r="B7" s="7"/>
    </row>
    <row r="8" spans="1:2" x14ac:dyDescent="0.25">
      <c r="A8" s="6" t="s">
        <v>17</v>
      </c>
      <c r="B8" s="7"/>
    </row>
    <row r="9" spans="1:2" x14ac:dyDescent="0.25">
      <c r="A9" s="6" t="s">
        <v>18</v>
      </c>
      <c r="B9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156"/>
  <sheetViews>
    <sheetView zoomScaleNormal="100" workbookViewId="0">
      <selection activeCell="J2" sqref="J2"/>
    </sheetView>
  </sheetViews>
  <sheetFormatPr defaultRowHeight="15" x14ac:dyDescent="0.25"/>
  <cols>
    <col min="1" max="1" width="17.28515625" customWidth="1"/>
    <col min="2" max="2" width="49.42578125" customWidth="1"/>
    <col min="3" max="3" width="51.28515625" customWidth="1"/>
    <col min="4" max="4" width="47.7109375" customWidth="1"/>
    <col min="5" max="5" width="19.5703125" customWidth="1"/>
    <col min="6" max="7" width="30.7109375" customWidth="1"/>
    <col min="8" max="8" width="24.85546875" hidden="1" customWidth="1"/>
    <col min="9" max="9" width="147.42578125" customWidth="1"/>
    <col min="10" max="10" width="139" customWidth="1"/>
    <col min="11" max="11" width="18.5703125" customWidth="1"/>
    <col min="12" max="12" width="21.7109375" customWidth="1"/>
    <col min="13" max="13" width="37.7109375" customWidth="1"/>
    <col min="14" max="14" width="25.28515625" customWidth="1"/>
    <col min="15" max="15" width="23.42578125" customWidth="1"/>
    <col min="16" max="16" width="22.140625" customWidth="1"/>
    <col min="17" max="17" width="18" customWidth="1"/>
    <col min="18" max="18" width="61" customWidth="1"/>
  </cols>
  <sheetData>
    <row r="1" spans="1:18" s="8" customFormat="1" ht="30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</row>
    <row r="2" spans="1:18" x14ac:dyDescent="0.25">
      <c r="A2" t="s">
        <v>37</v>
      </c>
      <c r="B2" t="s">
        <v>38</v>
      </c>
      <c r="C2" t="s">
        <v>39</v>
      </c>
      <c r="D2" t="s">
        <v>40</v>
      </c>
      <c r="E2" t="s">
        <v>22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>
        <f>IFERROR(_xlfn.XLOOKUP($A2&amp;"|"&amp;$J2,'Response Mapping'!$C$2:$C$1086,'Response Mapping'!$D$2:$D$1086),"")</f>
        <v>4</v>
      </c>
      <c r="L2" t="str">
        <f>IFERROR(_xlfn.XLOOKUP($A2&amp;"|"&amp;$J2,'Response Mapping'!$C$2:$C$1086,'Response Mapping'!$E$2:$E$1086),"")</f>
        <v>Include</v>
      </c>
      <c r="M2" t="str">
        <f>IFERROR(_xlfn.XLOOKUP($A2&amp;"|"&amp;$J2,'Response Mapping'!$C$2:$C$1086,'Response Mapping'!$F$2:$F$1086),"")</f>
        <v>Mature Capability</v>
      </c>
      <c r="N2" t="str">
        <f>IFERROR(_xlfn.XLOOKUP($A2&amp;"|"&amp;$J2,'Response Mapping'!$C$2:$C$1086,'Response Mapping'!$G$2:$G$1086),"")</f>
        <v>REC-GOV-001-L4</v>
      </c>
      <c r="O2" t="str">
        <f t="shared" ref="O2:O53" si="0">IF($K2="","",IF($K2&gt;=4,"Yes","No"))</f>
        <v>Yes</v>
      </c>
      <c r="Q2" t="s">
        <v>46</v>
      </c>
      <c r="R2" t="s">
        <v>47</v>
      </c>
    </row>
    <row r="3" spans="1:18" x14ac:dyDescent="0.25">
      <c r="A3" t="s">
        <v>48</v>
      </c>
      <c r="B3" t="s">
        <v>38</v>
      </c>
      <c r="C3" t="s">
        <v>39</v>
      </c>
      <c r="D3" t="s">
        <v>49</v>
      </c>
      <c r="E3" t="s">
        <v>22</v>
      </c>
      <c r="F3" t="s">
        <v>42</v>
      </c>
      <c r="G3" t="s">
        <v>41</v>
      </c>
      <c r="H3" t="s">
        <v>43</v>
      </c>
      <c r="I3" t="s">
        <v>50</v>
      </c>
      <c r="J3" t="s">
        <v>51</v>
      </c>
      <c r="K3">
        <f>IFERROR(_xlfn.XLOOKUP($A3&amp;"|"&amp;$J3,'Response Mapping'!$C$2:$C$1086,'Response Mapping'!$D$2:$D$1086),"")</f>
        <v>4</v>
      </c>
      <c r="L3" t="str">
        <f>IFERROR(_xlfn.XLOOKUP($A3&amp;"|"&amp;$J3,'Response Mapping'!$C$2:$C$1086,'Response Mapping'!$E$2:$E$1086),"")</f>
        <v>Include</v>
      </c>
      <c r="M3" t="str">
        <f>IFERROR(_xlfn.XLOOKUP($A3&amp;"|"&amp;$J3,'Response Mapping'!$C$2:$C$1086,'Response Mapping'!$F$2:$F$1086),"")</f>
        <v>Mature Capability</v>
      </c>
      <c r="N3" t="str">
        <f>IFERROR(_xlfn.XLOOKUP($A3&amp;"|"&amp;$J3,'Response Mapping'!$C$2:$C$1086,'Response Mapping'!$G$2:$G$1086),"")</f>
        <v>REC-GOV-002-L4</v>
      </c>
      <c r="O3" t="str">
        <f t="shared" si="0"/>
        <v>Yes</v>
      </c>
      <c r="Q3" t="s">
        <v>46</v>
      </c>
      <c r="R3" t="s">
        <v>47</v>
      </c>
    </row>
    <row r="4" spans="1:18" x14ac:dyDescent="0.25">
      <c r="A4" t="s">
        <v>52</v>
      </c>
      <c r="B4" t="s">
        <v>38</v>
      </c>
      <c r="C4" t="s">
        <v>39</v>
      </c>
      <c r="D4" t="s">
        <v>53</v>
      </c>
      <c r="E4" t="s">
        <v>22</v>
      </c>
      <c r="F4" t="s">
        <v>42</v>
      </c>
      <c r="G4" t="s">
        <v>41</v>
      </c>
      <c r="H4" t="s">
        <v>43</v>
      </c>
      <c r="I4" t="s">
        <v>54</v>
      </c>
      <c r="J4" t="s">
        <v>55</v>
      </c>
      <c r="K4">
        <f>IFERROR(_xlfn.XLOOKUP($A4&amp;"|"&amp;$J4,'Response Mapping'!$C$2:$C$1086,'Response Mapping'!$D$2:$D$1086),"")</f>
        <v>3</v>
      </c>
      <c r="L4" t="str">
        <f>IFERROR(_xlfn.XLOOKUP($A4&amp;"|"&amp;$J4,'Response Mapping'!$C$2:$C$1086,'Response Mapping'!$E$2:$E$1086),"")</f>
        <v>Include</v>
      </c>
      <c r="M4" t="str">
        <f>IFERROR(_xlfn.XLOOKUP($A4&amp;"|"&amp;$J4,'Response Mapping'!$C$2:$C$1086,'Response Mapping'!$F$2:$F$1086),"")</f>
        <v>Partial Capability</v>
      </c>
      <c r="N4" t="str">
        <f>IFERROR(_xlfn.XLOOKUP($A4&amp;"|"&amp;$J4,'Response Mapping'!$C$2:$C$1086,'Response Mapping'!$G$2:$G$1086),"")</f>
        <v>REC-GOV-003-L3</v>
      </c>
      <c r="O4" t="str">
        <f t="shared" si="0"/>
        <v>No</v>
      </c>
      <c r="Q4" t="s">
        <v>46</v>
      </c>
      <c r="R4" t="s">
        <v>56</v>
      </c>
    </row>
    <row r="5" spans="1:18" x14ac:dyDescent="0.25">
      <c r="A5" t="s">
        <v>57</v>
      </c>
      <c r="B5" t="s">
        <v>38</v>
      </c>
      <c r="C5" t="s">
        <v>39</v>
      </c>
      <c r="D5" t="s">
        <v>58</v>
      </c>
      <c r="E5" t="s">
        <v>22</v>
      </c>
      <c r="F5" t="s">
        <v>42</v>
      </c>
      <c r="G5" t="s">
        <v>41</v>
      </c>
      <c r="H5" t="s">
        <v>43</v>
      </c>
      <c r="I5" t="s">
        <v>59</v>
      </c>
      <c r="J5" t="s">
        <v>60</v>
      </c>
      <c r="K5">
        <f>IFERROR(_xlfn.XLOOKUP($A5&amp;"|"&amp;$J5,'Response Mapping'!$C$2:$C$1086,'Response Mapping'!$D$2:$D$1086),"")</f>
        <v>3</v>
      </c>
      <c r="L5" t="str">
        <f>IFERROR(_xlfn.XLOOKUP($A5&amp;"|"&amp;$J5,'Response Mapping'!$C$2:$C$1086,'Response Mapping'!$E$2:$E$1086),"")</f>
        <v>Include</v>
      </c>
      <c r="M5" t="str">
        <f>IFERROR(_xlfn.XLOOKUP($A5&amp;"|"&amp;$J5,'Response Mapping'!$C$2:$C$1086,'Response Mapping'!$F$2:$F$1086),"")</f>
        <v>Partial Capability</v>
      </c>
      <c r="N5" t="str">
        <f>IFERROR(_xlfn.XLOOKUP($A5&amp;"|"&amp;$J5,'Response Mapping'!$C$2:$C$1086,'Response Mapping'!$G$2:$G$1086),"")</f>
        <v>REC-GOV-004-L3</v>
      </c>
      <c r="O5" t="str">
        <f t="shared" si="0"/>
        <v>No</v>
      </c>
      <c r="Q5" t="s">
        <v>46</v>
      </c>
      <c r="R5" t="s">
        <v>61</v>
      </c>
    </row>
    <row r="6" spans="1:18" x14ac:dyDescent="0.25">
      <c r="A6" t="s">
        <v>62</v>
      </c>
      <c r="B6" t="s">
        <v>38</v>
      </c>
      <c r="C6" t="s">
        <v>39</v>
      </c>
      <c r="D6" t="s">
        <v>63</v>
      </c>
      <c r="E6" t="s">
        <v>22</v>
      </c>
      <c r="F6" t="s">
        <v>42</v>
      </c>
      <c r="G6" t="s">
        <v>41</v>
      </c>
      <c r="H6" t="s">
        <v>43</v>
      </c>
      <c r="I6" t="s">
        <v>64</v>
      </c>
      <c r="J6" t="s">
        <v>65</v>
      </c>
      <c r="K6">
        <f>IFERROR(_xlfn.XLOOKUP($A6&amp;"|"&amp;$J6,'Response Mapping'!$C$2:$C$1086,'Response Mapping'!$D$2:$D$1086),"")</f>
        <v>2</v>
      </c>
      <c r="L6" t="str">
        <f>IFERROR(_xlfn.XLOOKUP($A6&amp;"|"&amp;$J6,'Response Mapping'!$C$2:$C$1086,'Response Mapping'!$E$2:$E$1086),"")</f>
        <v>Include</v>
      </c>
      <c r="M6" t="str">
        <f>IFERROR(_xlfn.XLOOKUP($A6&amp;"|"&amp;$J6,'Response Mapping'!$C$2:$C$1086,'Response Mapping'!$F$2:$F$1086),"")</f>
        <v>Informal Governance</v>
      </c>
      <c r="N6" t="str">
        <f>IFERROR(_xlfn.XLOOKUP($A6&amp;"|"&amp;$J6,'Response Mapping'!$C$2:$C$1086,'Response Mapping'!$G$2:$G$1086),"")</f>
        <v>REC-GOV-005-L1</v>
      </c>
      <c r="O6" t="str">
        <f t="shared" si="0"/>
        <v>No</v>
      </c>
      <c r="Q6" t="s">
        <v>46</v>
      </c>
      <c r="R6" t="s">
        <v>56</v>
      </c>
    </row>
    <row r="7" spans="1:18" x14ac:dyDescent="0.25">
      <c r="A7" t="s">
        <v>66</v>
      </c>
      <c r="B7" t="s">
        <v>38</v>
      </c>
      <c r="C7" t="s">
        <v>67</v>
      </c>
      <c r="D7" t="s">
        <v>68</v>
      </c>
      <c r="E7" t="s">
        <v>22</v>
      </c>
      <c r="F7" t="s">
        <v>42</v>
      </c>
      <c r="G7" t="s">
        <v>69</v>
      </c>
      <c r="H7" t="s">
        <v>43</v>
      </c>
      <c r="I7" t="s">
        <v>70</v>
      </c>
      <c r="J7" t="s">
        <v>71</v>
      </c>
      <c r="K7">
        <f>IFERROR(_xlfn.XLOOKUP($A7&amp;"|"&amp;$J7,'Response Mapping'!$C$2:$C$1086,'Response Mapping'!$D$2:$D$1086),"")</f>
        <v>4</v>
      </c>
      <c r="L7" t="str">
        <f>IFERROR(_xlfn.XLOOKUP($A7&amp;"|"&amp;$J7,'Response Mapping'!$C$2:$C$1086,'Response Mapping'!$E$2:$E$1086),"")</f>
        <v>Include</v>
      </c>
      <c r="M7" t="str">
        <f>IFERROR(_xlfn.XLOOKUP($A7&amp;"|"&amp;$J7,'Response Mapping'!$C$2:$C$1086,'Response Mapping'!$F$2:$F$1086),"")</f>
        <v>Mature Capability</v>
      </c>
      <c r="N7" t="str">
        <f>IFERROR(_xlfn.XLOOKUP($A7&amp;"|"&amp;$J7,'Response Mapping'!$C$2:$C$1086,'Response Mapping'!$G$2:$G$1086),"")</f>
        <v>REC-GOV-006-L4</v>
      </c>
      <c r="O7" t="str">
        <f t="shared" si="0"/>
        <v>Yes</v>
      </c>
      <c r="Q7" t="s">
        <v>72</v>
      </c>
      <c r="R7" t="s">
        <v>73</v>
      </c>
    </row>
    <row r="8" spans="1:18" x14ac:dyDescent="0.25">
      <c r="A8" t="s">
        <v>74</v>
      </c>
      <c r="B8" t="s">
        <v>38</v>
      </c>
      <c r="C8" t="s">
        <v>67</v>
      </c>
      <c r="D8" t="s">
        <v>75</v>
      </c>
      <c r="E8" t="s">
        <v>22</v>
      </c>
      <c r="F8" t="s">
        <v>42</v>
      </c>
      <c r="G8" t="s">
        <v>76</v>
      </c>
      <c r="H8" t="s">
        <v>43</v>
      </c>
      <c r="I8" t="s">
        <v>77</v>
      </c>
      <c r="J8" t="s">
        <v>78</v>
      </c>
      <c r="K8">
        <f>IFERROR(_xlfn.XLOOKUP($A8&amp;"|"&amp;$J8,'Response Mapping'!$C$2:$C$1086,'Response Mapping'!$D$2:$D$1086),"")</f>
        <v>2</v>
      </c>
      <c r="L8" t="str">
        <f>IFERROR(_xlfn.XLOOKUP($A8&amp;"|"&amp;$J8,'Response Mapping'!$C$2:$C$1086,'Response Mapping'!$E$2:$E$1086),"")</f>
        <v>Include</v>
      </c>
      <c r="M8" t="str">
        <f>IFERROR(_xlfn.XLOOKUP($A8&amp;"|"&amp;$J8,'Response Mapping'!$C$2:$C$1086,'Response Mapping'!$F$2:$F$1086),"")</f>
        <v>Principles Without Controls</v>
      </c>
      <c r="N8" t="str">
        <f>IFERROR(_xlfn.XLOOKUP($A8&amp;"|"&amp;$J8,'Response Mapping'!$C$2:$C$1086,'Response Mapping'!$G$2:$G$1086),"")</f>
        <v>REC-GOV-007-L1</v>
      </c>
      <c r="O8" t="str">
        <f t="shared" si="0"/>
        <v>No</v>
      </c>
      <c r="Q8" t="s">
        <v>79</v>
      </c>
      <c r="R8" t="s">
        <v>80</v>
      </c>
    </row>
    <row r="9" spans="1:18" x14ac:dyDescent="0.25">
      <c r="A9" t="s">
        <v>81</v>
      </c>
      <c r="B9" t="s">
        <v>38</v>
      </c>
      <c r="C9" t="s">
        <v>67</v>
      </c>
      <c r="D9" t="s">
        <v>82</v>
      </c>
      <c r="E9" t="s">
        <v>22</v>
      </c>
      <c r="F9" t="s">
        <v>42</v>
      </c>
      <c r="G9" t="s">
        <v>69</v>
      </c>
      <c r="H9" t="s">
        <v>43</v>
      </c>
      <c r="I9" t="s">
        <v>83</v>
      </c>
      <c r="J9" t="s">
        <v>84</v>
      </c>
      <c r="K9">
        <f>IFERROR(_xlfn.XLOOKUP($A9&amp;"|"&amp;$J9,'Response Mapping'!$C$2:$C$1086,'Response Mapping'!$D$2:$D$1086),"")</f>
        <v>5</v>
      </c>
      <c r="L9" t="str">
        <f>IFERROR(_xlfn.XLOOKUP($A9&amp;"|"&amp;$J9,'Response Mapping'!$C$2:$C$1086,'Response Mapping'!$E$2:$E$1086),"")</f>
        <v>Include</v>
      </c>
      <c r="M9" t="str">
        <f>IFERROR(_xlfn.XLOOKUP($A9&amp;"|"&amp;$J9,'Response Mapping'!$C$2:$C$1086,'Response Mapping'!$F$2:$F$1086),"")</f>
        <v>Optimized Capability</v>
      </c>
      <c r="N9" t="str">
        <f>IFERROR(_xlfn.XLOOKUP($A9&amp;"|"&amp;$J9,'Response Mapping'!$C$2:$C$1086,'Response Mapping'!$G$2:$G$1086),"")</f>
        <v>REC-GOV-008-L5</v>
      </c>
      <c r="O9" t="str">
        <f t="shared" si="0"/>
        <v>Yes</v>
      </c>
      <c r="Q9" t="s">
        <v>85</v>
      </c>
      <c r="R9" t="s">
        <v>86</v>
      </c>
    </row>
    <row r="10" spans="1:18" x14ac:dyDescent="0.25">
      <c r="A10" t="s">
        <v>87</v>
      </c>
      <c r="B10" t="s">
        <v>38</v>
      </c>
      <c r="C10" t="s">
        <v>67</v>
      </c>
      <c r="D10" t="s">
        <v>88</v>
      </c>
      <c r="E10" t="s">
        <v>22</v>
      </c>
      <c r="F10" t="s">
        <v>89</v>
      </c>
      <c r="G10" t="s">
        <v>42</v>
      </c>
      <c r="H10" t="s">
        <v>43</v>
      </c>
      <c r="I10" t="s">
        <v>90</v>
      </c>
      <c r="J10" t="s">
        <v>91</v>
      </c>
      <c r="K10">
        <f>IFERROR(_xlfn.XLOOKUP($A10&amp;"|"&amp;$J10,'Response Mapping'!$C$2:$C$1086,'Response Mapping'!$D$2:$D$1086),"")</f>
        <v>2</v>
      </c>
      <c r="L10" t="str">
        <f>IFERROR(_xlfn.XLOOKUP($A10&amp;"|"&amp;$J10,'Response Mapping'!$C$2:$C$1086,'Response Mapping'!$E$2:$E$1086),"")</f>
        <v>Include</v>
      </c>
      <c r="M10" t="str">
        <f>IFERROR(_xlfn.XLOOKUP($A10&amp;"|"&amp;$J10,'Response Mapping'!$C$2:$C$1086,'Response Mapping'!$F$2:$F$1086),"")</f>
        <v>Inconsistent Practice</v>
      </c>
      <c r="N10" t="str">
        <f>IFERROR(_xlfn.XLOOKUP($A10&amp;"|"&amp;$J10,'Response Mapping'!$C$2:$C$1086,'Response Mapping'!$G$2:$G$1086),"")</f>
        <v>REC-GOV-009-L1</v>
      </c>
      <c r="O10" t="str">
        <f t="shared" si="0"/>
        <v>No</v>
      </c>
      <c r="Q10" t="s">
        <v>46</v>
      </c>
      <c r="R10" t="s">
        <v>92</v>
      </c>
    </row>
    <row r="11" spans="1:18" x14ac:dyDescent="0.25">
      <c r="A11" t="s">
        <v>93</v>
      </c>
      <c r="B11" t="s">
        <v>38</v>
      </c>
      <c r="C11" t="s">
        <v>67</v>
      </c>
      <c r="D11" t="s">
        <v>94</v>
      </c>
      <c r="E11" t="s">
        <v>22</v>
      </c>
      <c r="F11" t="s">
        <v>42</v>
      </c>
      <c r="G11" t="s">
        <v>41</v>
      </c>
      <c r="H11" t="s">
        <v>43</v>
      </c>
      <c r="I11" t="s">
        <v>95</v>
      </c>
      <c r="J11" t="s">
        <v>96</v>
      </c>
      <c r="K11">
        <f>IFERROR(_xlfn.XLOOKUP($A11&amp;"|"&amp;$J11,'Response Mapping'!$C$2:$C$1086,'Response Mapping'!$D$2:$D$1086),"")</f>
        <v>3</v>
      </c>
      <c r="L11" t="str">
        <f>IFERROR(_xlfn.XLOOKUP($A11&amp;"|"&amp;$J11,'Response Mapping'!$C$2:$C$1086,'Response Mapping'!$E$2:$E$1086),"")</f>
        <v>Include</v>
      </c>
      <c r="M11" t="str">
        <f>IFERROR(_xlfn.XLOOKUP($A11&amp;"|"&amp;$J11,'Response Mapping'!$C$2:$C$1086,'Response Mapping'!$F$2:$F$1086),"")</f>
        <v>Partial Capability</v>
      </c>
      <c r="N11" t="str">
        <f>IFERROR(_xlfn.XLOOKUP($A11&amp;"|"&amp;$J11,'Response Mapping'!$C$2:$C$1086,'Response Mapping'!$G$2:$G$1086),"")</f>
        <v>REC-GOV-010-L3</v>
      </c>
      <c r="O11" t="str">
        <f t="shared" si="0"/>
        <v>No</v>
      </c>
      <c r="Q11" t="s">
        <v>46</v>
      </c>
      <c r="R11" t="s">
        <v>97</v>
      </c>
    </row>
    <row r="12" spans="1:18" x14ac:dyDescent="0.25">
      <c r="A12" t="s">
        <v>98</v>
      </c>
      <c r="B12" t="s">
        <v>38</v>
      </c>
      <c r="C12" t="s">
        <v>99</v>
      </c>
      <c r="D12" t="s">
        <v>100</v>
      </c>
      <c r="E12" t="s">
        <v>22</v>
      </c>
      <c r="F12" t="s">
        <v>42</v>
      </c>
      <c r="G12" t="s">
        <v>69</v>
      </c>
      <c r="H12" t="s">
        <v>43</v>
      </c>
      <c r="I12" t="s">
        <v>101</v>
      </c>
      <c r="J12" t="s">
        <v>102</v>
      </c>
      <c r="K12">
        <f>IFERROR(_xlfn.XLOOKUP($A12&amp;"|"&amp;$J12,'Response Mapping'!$C$2:$C$1086,'Response Mapping'!$D$2:$D$1086),"")</f>
        <v>3</v>
      </c>
      <c r="L12" t="str">
        <f>IFERROR(_xlfn.XLOOKUP($A12&amp;"|"&amp;$J12,'Response Mapping'!$C$2:$C$1086,'Response Mapping'!$E$2:$E$1086),"")</f>
        <v>Include</v>
      </c>
      <c r="M12" t="str">
        <f>IFERROR(_xlfn.XLOOKUP($A12&amp;"|"&amp;$J12,'Response Mapping'!$C$2:$C$1086,'Response Mapping'!$F$2:$F$1086),"")</f>
        <v>Partial Capability</v>
      </c>
      <c r="N12" t="str">
        <f>IFERROR(_xlfn.XLOOKUP($A12&amp;"|"&amp;$J12,'Response Mapping'!$C$2:$C$1086,'Response Mapping'!$G$2:$G$1086),"")</f>
        <v>REC-GOV-011-L3</v>
      </c>
      <c r="O12" t="str">
        <f t="shared" si="0"/>
        <v>No</v>
      </c>
      <c r="Q12" t="s">
        <v>72</v>
      </c>
      <c r="R12" t="s">
        <v>92</v>
      </c>
    </row>
    <row r="13" spans="1:18" x14ac:dyDescent="0.25">
      <c r="A13" t="s">
        <v>103</v>
      </c>
      <c r="B13" t="s">
        <v>38</v>
      </c>
      <c r="C13" t="s">
        <v>99</v>
      </c>
      <c r="D13" t="s">
        <v>104</v>
      </c>
      <c r="E13" t="s">
        <v>22</v>
      </c>
      <c r="F13" t="s">
        <v>42</v>
      </c>
      <c r="G13" t="s">
        <v>69</v>
      </c>
      <c r="H13" t="s">
        <v>43</v>
      </c>
      <c r="I13" t="s">
        <v>105</v>
      </c>
      <c r="J13" t="s">
        <v>106</v>
      </c>
      <c r="K13">
        <f>IFERROR(_xlfn.XLOOKUP($A13&amp;"|"&amp;$J13,'Response Mapping'!$C$2:$C$1086,'Response Mapping'!$D$2:$D$1086),"")</f>
        <v>3</v>
      </c>
      <c r="L13" t="str">
        <f>IFERROR(_xlfn.XLOOKUP($A13&amp;"|"&amp;$J13,'Response Mapping'!$C$2:$C$1086,'Response Mapping'!$E$2:$E$1086),"")</f>
        <v>Include</v>
      </c>
      <c r="M13" t="str">
        <f>IFERROR(_xlfn.XLOOKUP($A13&amp;"|"&amp;$J13,'Response Mapping'!$C$2:$C$1086,'Response Mapping'!$F$2:$F$1086),"")</f>
        <v>Partial Capability</v>
      </c>
      <c r="N13" t="str">
        <f>IFERROR(_xlfn.XLOOKUP($A13&amp;"|"&amp;$J13,'Response Mapping'!$C$2:$C$1086,'Response Mapping'!$G$2:$G$1086),"")</f>
        <v>REC-GOV-012-L3</v>
      </c>
      <c r="O13" t="str">
        <f t="shared" si="0"/>
        <v>No</v>
      </c>
      <c r="Q13" t="s">
        <v>85</v>
      </c>
      <c r="R13" t="s">
        <v>107</v>
      </c>
    </row>
    <row r="14" spans="1:18" x14ac:dyDescent="0.25">
      <c r="A14" t="s">
        <v>108</v>
      </c>
      <c r="B14" t="s">
        <v>38</v>
      </c>
      <c r="C14" t="s">
        <v>99</v>
      </c>
      <c r="D14" t="s">
        <v>109</v>
      </c>
      <c r="E14" t="s">
        <v>22</v>
      </c>
      <c r="F14" t="s">
        <v>89</v>
      </c>
      <c r="G14" t="s">
        <v>76</v>
      </c>
      <c r="H14" t="s">
        <v>43</v>
      </c>
      <c r="I14" t="s">
        <v>110</v>
      </c>
      <c r="J14" t="s">
        <v>111</v>
      </c>
      <c r="K14">
        <f>IFERROR(_xlfn.XLOOKUP($A14&amp;"|"&amp;$J14,'Response Mapping'!$C$2:$C$1086,'Response Mapping'!$D$2:$D$1086),"")</f>
        <v>4</v>
      </c>
      <c r="L14" t="str">
        <f>IFERROR(_xlfn.XLOOKUP($A14&amp;"|"&amp;$J14,'Response Mapping'!$C$2:$C$1086,'Response Mapping'!$E$2:$E$1086),"")</f>
        <v>Include</v>
      </c>
      <c r="M14" t="str">
        <f>IFERROR(_xlfn.XLOOKUP($A14&amp;"|"&amp;$J14,'Response Mapping'!$C$2:$C$1086,'Response Mapping'!$F$2:$F$1086),"")</f>
        <v>Mature Capability</v>
      </c>
      <c r="N14" t="str">
        <f>IFERROR(_xlfn.XLOOKUP($A14&amp;"|"&amp;$J14,'Response Mapping'!$C$2:$C$1086,'Response Mapping'!$G$2:$G$1086),"")</f>
        <v>REC-GOV-013-L4</v>
      </c>
      <c r="O14" t="str">
        <f t="shared" si="0"/>
        <v>Yes</v>
      </c>
      <c r="Q14" t="s">
        <v>79</v>
      </c>
      <c r="R14" t="s">
        <v>112</v>
      </c>
    </row>
    <row r="15" spans="1:18" x14ac:dyDescent="0.25">
      <c r="A15" t="s">
        <v>113</v>
      </c>
      <c r="B15" t="s">
        <v>38</v>
      </c>
      <c r="C15" t="s">
        <v>99</v>
      </c>
      <c r="D15" t="s">
        <v>114</v>
      </c>
      <c r="E15" t="s">
        <v>22</v>
      </c>
      <c r="F15" t="s">
        <v>42</v>
      </c>
      <c r="G15" t="s">
        <v>89</v>
      </c>
      <c r="H15" t="s">
        <v>43</v>
      </c>
      <c r="I15" t="s">
        <v>115</v>
      </c>
      <c r="J15" t="s">
        <v>116</v>
      </c>
      <c r="K15">
        <f>IFERROR(_xlfn.XLOOKUP($A15&amp;"|"&amp;$J15,'Response Mapping'!$C$2:$C$1086,'Response Mapping'!$D$2:$D$1086),"")</f>
        <v>3</v>
      </c>
      <c r="L15" t="str">
        <f>IFERROR(_xlfn.XLOOKUP($A15&amp;"|"&amp;$J15,'Response Mapping'!$C$2:$C$1086,'Response Mapping'!$E$2:$E$1086),"")</f>
        <v>Include</v>
      </c>
      <c r="M15" t="str">
        <f>IFERROR(_xlfn.XLOOKUP($A15&amp;"|"&amp;$J15,'Response Mapping'!$C$2:$C$1086,'Response Mapping'!$F$2:$F$1086),"")</f>
        <v>Partial Capability</v>
      </c>
      <c r="N15" t="str">
        <f>IFERROR(_xlfn.XLOOKUP($A15&amp;"|"&amp;$J15,'Response Mapping'!$C$2:$C$1086,'Response Mapping'!$G$2:$G$1086),"")</f>
        <v>REC-GOV-014-L3</v>
      </c>
      <c r="O15" t="str">
        <f t="shared" si="0"/>
        <v>No</v>
      </c>
      <c r="Q15" t="s">
        <v>85</v>
      </c>
      <c r="R15" t="s">
        <v>86</v>
      </c>
    </row>
    <row r="16" spans="1:18" x14ac:dyDescent="0.25">
      <c r="A16" t="s">
        <v>117</v>
      </c>
      <c r="B16" t="s">
        <v>38</v>
      </c>
      <c r="C16" t="s">
        <v>99</v>
      </c>
      <c r="D16" t="s">
        <v>118</v>
      </c>
      <c r="E16" t="s">
        <v>22</v>
      </c>
      <c r="F16" t="s">
        <v>41</v>
      </c>
      <c r="G16" t="s">
        <v>42</v>
      </c>
      <c r="H16" t="s">
        <v>43</v>
      </c>
      <c r="I16" t="s">
        <v>119</v>
      </c>
      <c r="J16" t="s">
        <v>120</v>
      </c>
      <c r="K16">
        <f>IFERROR(_xlfn.XLOOKUP($A16&amp;"|"&amp;$J16,'Response Mapping'!$C$2:$C$1086,'Response Mapping'!$D$2:$D$1086),"")</f>
        <v>4</v>
      </c>
      <c r="L16" t="str">
        <f>IFERROR(_xlfn.XLOOKUP($A16&amp;"|"&amp;$J16,'Response Mapping'!$C$2:$C$1086,'Response Mapping'!$E$2:$E$1086),"")</f>
        <v>Include</v>
      </c>
      <c r="M16" t="str">
        <f>IFERROR(_xlfn.XLOOKUP($A16&amp;"|"&amp;$J16,'Response Mapping'!$C$2:$C$1086,'Response Mapping'!$F$2:$F$1086),"")</f>
        <v>Mature Capability</v>
      </c>
      <c r="N16" t="str">
        <f>IFERROR(_xlfn.XLOOKUP($A16&amp;"|"&amp;$J16,'Response Mapping'!$C$2:$C$1086,'Response Mapping'!$G$2:$G$1086),"")</f>
        <v>REC-GOV-015-L4</v>
      </c>
      <c r="O16" t="str">
        <f t="shared" si="0"/>
        <v>Yes</v>
      </c>
      <c r="Q16" t="s">
        <v>46</v>
      </c>
      <c r="R16" t="s">
        <v>121</v>
      </c>
    </row>
    <row r="17" spans="1:18" x14ac:dyDescent="0.25">
      <c r="A17" t="s">
        <v>122</v>
      </c>
      <c r="B17" t="s">
        <v>38</v>
      </c>
      <c r="C17" t="s">
        <v>123</v>
      </c>
      <c r="D17" t="s">
        <v>124</v>
      </c>
      <c r="E17" t="s">
        <v>22</v>
      </c>
      <c r="F17" t="s">
        <v>41</v>
      </c>
      <c r="G17" t="s">
        <v>42</v>
      </c>
      <c r="H17" t="s">
        <v>43</v>
      </c>
      <c r="I17" t="s">
        <v>125</v>
      </c>
      <c r="J17" t="s">
        <v>126</v>
      </c>
      <c r="K17">
        <f>IFERROR(_xlfn.XLOOKUP($A17&amp;"|"&amp;$J17,'Response Mapping'!$C$2:$C$1086,'Response Mapping'!$D$2:$D$1086),"")</f>
        <v>3</v>
      </c>
      <c r="L17" t="str">
        <f>IFERROR(_xlfn.XLOOKUP($A17&amp;"|"&amp;$J17,'Response Mapping'!$C$2:$C$1086,'Response Mapping'!$E$2:$E$1086),"")</f>
        <v>Include</v>
      </c>
      <c r="M17" t="str">
        <f>IFERROR(_xlfn.XLOOKUP($A17&amp;"|"&amp;$J17,'Response Mapping'!$C$2:$C$1086,'Response Mapping'!$F$2:$F$1086),"")</f>
        <v>Partial Capability</v>
      </c>
      <c r="N17" t="str">
        <f>IFERROR(_xlfn.XLOOKUP($A17&amp;"|"&amp;$J17,'Response Mapping'!$C$2:$C$1086,'Response Mapping'!$G$2:$G$1086),"")</f>
        <v>REC-GOV-016-L3</v>
      </c>
      <c r="O17" t="str">
        <f t="shared" si="0"/>
        <v>No</v>
      </c>
      <c r="Q17" t="s">
        <v>46</v>
      </c>
      <c r="R17" t="s">
        <v>127</v>
      </c>
    </row>
    <row r="18" spans="1:18" x14ac:dyDescent="0.25">
      <c r="A18" t="s">
        <v>128</v>
      </c>
      <c r="B18" t="s">
        <v>38</v>
      </c>
      <c r="C18" t="s">
        <v>123</v>
      </c>
      <c r="D18" t="s">
        <v>129</v>
      </c>
      <c r="E18" t="s">
        <v>22</v>
      </c>
      <c r="F18" t="s">
        <v>41</v>
      </c>
      <c r="G18" t="s">
        <v>130</v>
      </c>
      <c r="H18" t="s">
        <v>43</v>
      </c>
      <c r="I18" t="s">
        <v>131</v>
      </c>
      <c r="J18" t="s">
        <v>132</v>
      </c>
      <c r="K18">
        <f>IFERROR(_xlfn.XLOOKUP($A18&amp;"|"&amp;$J18,'Response Mapping'!$C$2:$C$1086,'Response Mapping'!$D$2:$D$1086),"")</f>
        <v>3</v>
      </c>
      <c r="L18" t="str">
        <f>IFERROR(_xlfn.XLOOKUP($A18&amp;"|"&amp;$J18,'Response Mapping'!$C$2:$C$1086,'Response Mapping'!$E$2:$E$1086),"")</f>
        <v>Include</v>
      </c>
      <c r="M18" t="str">
        <f>IFERROR(_xlfn.XLOOKUP($A18&amp;"|"&amp;$J18,'Response Mapping'!$C$2:$C$1086,'Response Mapping'!$F$2:$F$1086),"")</f>
        <v>Partial Capability</v>
      </c>
      <c r="N18" t="str">
        <f>IFERROR(_xlfn.XLOOKUP($A18&amp;"|"&amp;$J18,'Response Mapping'!$C$2:$C$1086,'Response Mapping'!$G$2:$G$1086),"")</f>
        <v>REC-GOV-017-L3</v>
      </c>
      <c r="O18" t="str">
        <f t="shared" si="0"/>
        <v>No</v>
      </c>
      <c r="Q18" t="s">
        <v>46</v>
      </c>
      <c r="R18" t="s">
        <v>133</v>
      </c>
    </row>
    <row r="19" spans="1:18" x14ac:dyDescent="0.25">
      <c r="A19" t="s">
        <v>134</v>
      </c>
      <c r="B19" t="s">
        <v>38</v>
      </c>
      <c r="C19" t="s">
        <v>123</v>
      </c>
      <c r="D19" t="s">
        <v>135</v>
      </c>
      <c r="E19" t="s">
        <v>22</v>
      </c>
      <c r="F19" t="s">
        <v>42</v>
      </c>
      <c r="G19" t="s">
        <v>136</v>
      </c>
      <c r="H19" t="s">
        <v>43</v>
      </c>
      <c r="I19" t="s">
        <v>137</v>
      </c>
      <c r="J19" t="s">
        <v>138</v>
      </c>
      <c r="K19">
        <f>IFERROR(_xlfn.XLOOKUP($A19&amp;"|"&amp;$J19,'Response Mapping'!$C$2:$C$1086,'Response Mapping'!$D$2:$D$1086),"")</f>
        <v>4</v>
      </c>
      <c r="L19" t="str">
        <f>IFERROR(_xlfn.XLOOKUP($A19&amp;"|"&amp;$J19,'Response Mapping'!$C$2:$C$1086,'Response Mapping'!$E$2:$E$1086),"")</f>
        <v>Include</v>
      </c>
      <c r="M19" t="str">
        <f>IFERROR(_xlfn.XLOOKUP($A19&amp;"|"&amp;$J19,'Response Mapping'!$C$2:$C$1086,'Response Mapping'!$F$2:$F$1086),"")</f>
        <v>Mature Capability</v>
      </c>
      <c r="N19" t="str">
        <f>IFERROR(_xlfn.XLOOKUP($A19&amp;"|"&amp;$J19,'Response Mapping'!$C$2:$C$1086,'Response Mapping'!$G$2:$G$1086),"")</f>
        <v>REC-GOV-018-L4</v>
      </c>
      <c r="O19" t="str">
        <f t="shared" si="0"/>
        <v>Yes</v>
      </c>
      <c r="Q19" t="s">
        <v>46</v>
      </c>
      <c r="R19" t="s">
        <v>139</v>
      </c>
    </row>
    <row r="20" spans="1:18" x14ac:dyDescent="0.25">
      <c r="A20" t="s">
        <v>140</v>
      </c>
      <c r="B20" t="s">
        <v>141</v>
      </c>
      <c r="C20" t="s">
        <v>142</v>
      </c>
      <c r="D20" t="s">
        <v>143</v>
      </c>
      <c r="E20" t="s">
        <v>22</v>
      </c>
      <c r="F20" t="s">
        <v>41</v>
      </c>
      <c r="G20" t="s">
        <v>130</v>
      </c>
      <c r="H20" t="s">
        <v>43</v>
      </c>
      <c r="I20" t="s">
        <v>144</v>
      </c>
      <c r="J20" t="s">
        <v>145</v>
      </c>
      <c r="K20">
        <f>IFERROR(_xlfn.XLOOKUP($A20&amp;"|"&amp;$J20,'Response Mapping'!$C$2:$C$1086,'Response Mapping'!$D$2:$D$1086),"")</f>
        <v>4</v>
      </c>
      <c r="L20" t="str">
        <f>IFERROR(_xlfn.XLOOKUP($A20&amp;"|"&amp;$J20,'Response Mapping'!$C$2:$C$1086,'Response Mapping'!$E$2:$E$1086),"")</f>
        <v>Include</v>
      </c>
      <c r="M20" t="str">
        <f>IFERROR(_xlfn.XLOOKUP($A20&amp;"|"&amp;$J20,'Response Mapping'!$C$2:$C$1086,'Response Mapping'!$F$2:$F$1086),"")</f>
        <v>Mature Capability</v>
      </c>
      <c r="N20" t="str">
        <f>IFERROR(_xlfn.XLOOKUP($A20&amp;"|"&amp;$J20,'Response Mapping'!$C$2:$C$1086,'Response Mapping'!$G$2:$G$1086),"")</f>
        <v>REC-STR-001-L4</v>
      </c>
      <c r="O20" t="str">
        <f t="shared" si="0"/>
        <v>Yes</v>
      </c>
      <c r="Q20" t="s">
        <v>46</v>
      </c>
      <c r="R20" t="s">
        <v>146</v>
      </c>
    </row>
    <row r="21" spans="1:18" x14ac:dyDescent="0.25">
      <c r="A21" t="s">
        <v>147</v>
      </c>
      <c r="B21" t="s">
        <v>141</v>
      </c>
      <c r="C21" t="s">
        <v>142</v>
      </c>
      <c r="D21" t="s">
        <v>148</v>
      </c>
      <c r="E21" t="s">
        <v>22</v>
      </c>
      <c r="F21" t="s">
        <v>69</v>
      </c>
      <c r="G21" t="s">
        <v>41</v>
      </c>
      <c r="H21" t="s">
        <v>43</v>
      </c>
      <c r="I21" t="s">
        <v>149</v>
      </c>
      <c r="J21" t="s">
        <v>150</v>
      </c>
      <c r="K21">
        <f>IFERROR(_xlfn.XLOOKUP($A21&amp;"|"&amp;$J21,'Response Mapping'!$C$2:$C$1086,'Response Mapping'!$D$2:$D$1086),"")</f>
        <v>4</v>
      </c>
      <c r="L21" t="str">
        <f>IFERROR(_xlfn.XLOOKUP($A21&amp;"|"&amp;$J21,'Response Mapping'!$C$2:$C$1086,'Response Mapping'!$E$2:$E$1086),"")</f>
        <v>Include</v>
      </c>
      <c r="M21" t="str">
        <f>IFERROR(_xlfn.XLOOKUP($A21&amp;"|"&amp;$J21,'Response Mapping'!$C$2:$C$1086,'Response Mapping'!$F$2:$F$1086),"")</f>
        <v>Mature Capability</v>
      </c>
      <c r="N21" t="str">
        <f>IFERROR(_xlfn.XLOOKUP($A21&amp;"|"&amp;$J21,'Response Mapping'!$C$2:$C$1086,'Response Mapping'!$G$2:$G$1086),"")</f>
        <v>REC-STR-002-L4</v>
      </c>
      <c r="O21" t="str">
        <f t="shared" si="0"/>
        <v>Yes</v>
      </c>
      <c r="Q21" t="s">
        <v>46</v>
      </c>
      <c r="R21" t="s">
        <v>56</v>
      </c>
    </row>
    <row r="22" spans="1:18" x14ac:dyDescent="0.25">
      <c r="A22" t="s">
        <v>151</v>
      </c>
      <c r="B22" t="s">
        <v>141</v>
      </c>
      <c r="C22" t="s">
        <v>142</v>
      </c>
      <c r="D22" t="s">
        <v>152</v>
      </c>
      <c r="E22" t="s">
        <v>22</v>
      </c>
      <c r="F22" t="s">
        <v>41</v>
      </c>
      <c r="G22" t="s">
        <v>130</v>
      </c>
      <c r="H22" t="s">
        <v>43</v>
      </c>
      <c r="I22" t="s">
        <v>153</v>
      </c>
      <c r="J22" t="s">
        <v>154</v>
      </c>
      <c r="K22">
        <f>IFERROR(_xlfn.XLOOKUP($A22&amp;"|"&amp;$J22,'Response Mapping'!$C$2:$C$1086,'Response Mapping'!$D$2:$D$1086),"")</f>
        <v>3</v>
      </c>
      <c r="L22" t="str">
        <f>IFERROR(_xlfn.XLOOKUP($A22&amp;"|"&amp;$J22,'Response Mapping'!$C$2:$C$1086,'Response Mapping'!$E$2:$E$1086),"")</f>
        <v>Include</v>
      </c>
      <c r="M22" t="str">
        <f>IFERROR(_xlfn.XLOOKUP($A22&amp;"|"&amp;$J22,'Response Mapping'!$C$2:$C$1086,'Response Mapping'!$F$2:$F$1086),"")</f>
        <v>Partial Capability</v>
      </c>
      <c r="N22" t="str">
        <f>IFERROR(_xlfn.XLOOKUP($A22&amp;"|"&amp;$J22,'Response Mapping'!$C$2:$C$1086,'Response Mapping'!$G$2:$G$1086),"")</f>
        <v>REC-STR-003-L3</v>
      </c>
      <c r="O22" t="str">
        <f t="shared" si="0"/>
        <v>No</v>
      </c>
      <c r="Q22" t="s">
        <v>46</v>
      </c>
      <c r="R22" t="s">
        <v>97</v>
      </c>
    </row>
    <row r="23" spans="1:18" x14ac:dyDescent="0.25">
      <c r="A23" t="s">
        <v>155</v>
      </c>
      <c r="B23" t="s">
        <v>141</v>
      </c>
      <c r="C23" t="s">
        <v>142</v>
      </c>
      <c r="D23" t="s">
        <v>156</v>
      </c>
      <c r="E23" t="s">
        <v>22</v>
      </c>
      <c r="F23" t="s">
        <v>41</v>
      </c>
      <c r="G23" t="s">
        <v>130</v>
      </c>
      <c r="H23" t="s">
        <v>43</v>
      </c>
      <c r="I23" t="s">
        <v>157</v>
      </c>
      <c r="J23" t="s">
        <v>158</v>
      </c>
      <c r="K23">
        <f>IFERROR(_xlfn.XLOOKUP($A23&amp;"|"&amp;$J23,'Response Mapping'!$C$2:$C$1086,'Response Mapping'!$D$2:$D$1086),"")</f>
        <v>2</v>
      </c>
      <c r="L23" t="str">
        <f>IFERROR(_xlfn.XLOOKUP($A23&amp;"|"&amp;$J23,'Response Mapping'!$C$2:$C$1086,'Response Mapping'!$E$2:$E$1086),"")</f>
        <v>Include</v>
      </c>
      <c r="M23" t="str">
        <f>IFERROR(_xlfn.XLOOKUP($A23&amp;"|"&amp;$J23,'Response Mapping'!$C$2:$C$1086,'Response Mapping'!$F$2:$F$1086),"")</f>
        <v>Imbalanced Portfolio</v>
      </c>
      <c r="N23" t="str">
        <f>IFERROR(_xlfn.XLOOKUP($A23&amp;"|"&amp;$J23,'Response Mapping'!$C$2:$C$1086,'Response Mapping'!$G$2:$G$1086),"")</f>
        <v>REC-STR-004-L1</v>
      </c>
      <c r="O23" t="str">
        <f t="shared" si="0"/>
        <v>No</v>
      </c>
      <c r="Q23" t="s">
        <v>46</v>
      </c>
      <c r="R23" t="s">
        <v>146</v>
      </c>
    </row>
    <row r="24" spans="1:18" x14ac:dyDescent="0.25">
      <c r="A24" t="s">
        <v>159</v>
      </c>
      <c r="B24" t="s">
        <v>141</v>
      </c>
      <c r="C24" t="s">
        <v>160</v>
      </c>
      <c r="D24" t="s">
        <v>161</v>
      </c>
      <c r="E24" t="s">
        <v>22</v>
      </c>
      <c r="F24" t="s">
        <v>76</v>
      </c>
      <c r="G24" t="s">
        <v>41</v>
      </c>
      <c r="H24" t="s">
        <v>43</v>
      </c>
      <c r="I24" t="s">
        <v>162</v>
      </c>
      <c r="J24" t="s">
        <v>163</v>
      </c>
      <c r="K24">
        <f>IFERROR(_xlfn.XLOOKUP($A24&amp;"|"&amp;$J24,'Response Mapping'!$C$2:$C$1086,'Response Mapping'!$D$2:$D$1086),"")</f>
        <v>2</v>
      </c>
      <c r="L24" t="str">
        <f>IFERROR(_xlfn.XLOOKUP($A24&amp;"|"&amp;$J24,'Response Mapping'!$C$2:$C$1086,'Response Mapping'!$E$2:$E$1086),"")</f>
        <v>Include</v>
      </c>
      <c r="M24" t="str">
        <f>IFERROR(_xlfn.XLOOKUP($A24&amp;"|"&amp;$J24,'Response Mapping'!$C$2:$C$1086,'Response Mapping'!$F$2:$F$1086),"")</f>
        <v>Unfunded Data Debt</v>
      </c>
      <c r="N24" t="str">
        <f>IFERROR(_xlfn.XLOOKUP($A24&amp;"|"&amp;$J24,'Response Mapping'!$C$2:$C$1086,'Response Mapping'!$G$2:$G$1086),"")</f>
        <v>REC-STR-005-L1</v>
      </c>
      <c r="O24" t="str">
        <f t="shared" si="0"/>
        <v>No</v>
      </c>
      <c r="Q24" t="s">
        <v>72</v>
      </c>
      <c r="R24" t="s">
        <v>164</v>
      </c>
    </row>
    <row r="25" spans="1:18" x14ac:dyDescent="0.25">
      <c r="A25" t="s">
        <v>165</v>
      </c>
      <c r="B25" t="s">
        <v>141</v>
      </c>
      <c r="C25" t="s">
        <v>160</v>
      </c>
      <c r="D25" t="s">
        <v>166</v>
      </c>
      <c r="E25" t="s">
        <v>22</v>
      </c>
      <c r="F25" t="s">
        <v>41</v>
      </c>
      <c r="G25" t="s">
        <v>130</v>
      </c>
      <c r="H25" t="s">
        <v>43</v>
      </c>
      <c r="I25" t="s">
        <v>167</v>
      </c>
      <c r="J25" t="s">
        <v>168</v>
      </c>
      <c r="K25">
        <f>IFERROR(_xlfn.XLOOKUP($A25&amp;"|"&amp;$J25,'Response Mapping'!$C$2:$C$1086,'Response Mapping'!$D$2:$D$1086),"")</f>
        <v>2</v>
      </c>
      <c r="L25" t="str">
        <f>IFERROR(_xlfn.XLOOKUP($A25&amp;"|"&amp;$J25,'Response Mapping'!$C$2:$C$1086,'Response Mapping'!$E$2:$E$1086),"")</f>
        <v>Include</v>
      </c>
      <c r="M25" t="str">
        <f>IFERROR(_xlfn.XLOOKUP($A25&amp;"|"&amp;$J25,'Response Mapping'!$C$2:$C$1086,'Response Mapping'!$F$2:$F$1086),"")</f>
        <v>Unintentional Mix</v>
      </c>
      <c r="N25" t="str">
        <f>IFERROR(_xlfn.XLOOKUP($A25&amp;"|"&amp;$J25,'Response Mapping'!$C$2:$C$1086,'Response Mapping'!$G$2:$G$1086),"")</f>
        <v>REC-STR-006-L1</v>
      </c>
      <c r="O25" t="str">
        <f t="shared" si="0"/>
        <v>No</v>
      </c>
      <c r="Q25" t="s">
        <v>46</v>
      </c>
      <c r="R25" t="s">
        <v>146</v>
      </c>
    </row>
    <row r="26" spans="1:18" x14ac:dyDescent="0.25">
      <c r="A26" t="s">
        <v>169</v>
      </c>
      <c r="B26" t="s">
        <v>141</v>
      </c>
      <c r="C26" t="s">
        <v>160</v>
      </c>
      <c r="D26" t="s">
        <v>170</v>
      </c>
      <c r="E26" t="s">
        <v>22</v>
      </c>
      <c r="F26" t="s">
        <v>69</v>
      </c>
      <c r="G26" t="s">
        <v>41</v>
      </c>
      <c r="H26" t="s">
        <v>43</v>
      </c>
      <c r="I26" t="s">
        <v>171</v>
      </c>
      <c r="J26" t="s">
        <v>172</v>
      </c>
      <c r="K26">
        <f>IFERROR(_xlfn.XLOOKUP($A26&amp;"|"&amp;$J26,'Response Mapping'!$C$2:$C$1086,'Response Mapping'!$D$2:$D$1086),"")</f>
        <v>2</v>
      </c>
      <c r="L26" t="str">
        <f>IFERROR(_xlfn.XLOOKUP($A26&amp;"|"&amp;$J26,'Response Mapping'!$C$2:$C$1086,'Response Mapping'!$E$2:$E$1086),"")</f>
        <v>Include</v>
      </c>
      <c r="M26" t="str">
        <f>IFERROR(_xlfn.XLOOKUP($A26&amp;"|"&amp;$J26,'Response Mapping'!$C$2:$C$1086,'Response Mapping'!$F$2:$F$1086),"")</f>
        <v>Tribal Knowledge</v>
      </c>
      <c r="N26" t="str">
        <f>IFERROR(_xlfn.XLOOKUP($A26&amp;"|"&amp;$J26,'Response Mapping'!$C$2:$C$1086,'Response Mapping'!$G$2:$G$1086),"")</f>
        <v>REC-STR-007-L1</v>
      </c>
      <c r="O26" t="str">
        <f t="shared" si="0"/>
        <v>No</v>
      </c>
      <c r="Q26" t="s">
        <v>72</v>
      </c>
      <c r="R26" t="s">
        <v>56</v>
      </c>
    </row>
    <row r="27" spans="1:18" x14ac:dyDescent="0.25">
      <c r="A27" t="s">
        <v>173</v>
      </c>
      <c r="B27" t="s">
        <v>141</v>
      </c>
      <c r="C27" t="s">
        <v>160</v>
      </c>
      <c r="D27" t="s">
        <v>174</v>
      </c>
      <c r="E27" t="s">
        <v>22</v>
      </c>
      <c r="F27" t="s">
        <v>41</v>
      </c>
      <c r="G27" t="s">
        <v>42</v>
      </c>
      <c r="H27" t="s">
        <v>43</v>
      </c>
      <c r="I27" t="s">
        <v>175</v>
      </c>
      <c r="J27" t="s">
        <v>176</v>
      </c>
      <c r="K27">
        <f>IFERROR(_xlfn.XLOOKUP($A27&amp;"|"&amp;$J27,'Response Mapping'!$C$2:$C$1086,'Response Mapping'!$D$2:$D$1086),"")</f>
        <v>3</v>
      </c>
      <c r="L27" t="str">
        <f>IFERROR(_xlfn.XLOOKUP($A27&amp;"|"&amp;$J27,'Response Mapping'!$C$2:$C$1086,'Response Mapping'!$E$2:$E$1086),"")</f>
        <v>Include</v>
      </c>
      <c r="M27" t="str">
        <f>IFERROR(_xlfn.XLOOKUP($A27&amp;"|"&amp;$J27,'Response Mapping'!$C$2:$C$1086,'Response Mapping'!$F$2:$F$1086),"")</f>
        <v>Partial Capability</v>
      </c>
      <c r="N27" t="str">
        <f>IFERROR(_xlfn.XLOOKUP($A27&amp;"|"&amp;$J27,'Response Mapping'!$C$2:$C$1086,'Response Mapping'!$G$2:$G$1086),"")</f>
        <v>REC-STR-008-L3</v>
      </c>
      <c r="O27" t="str">
        <f t="shared" si="0"/>
        <v>No</v>
      </c>
      <c r="Q27" t="s">
        <v>46</v>
      </c>
      <c r="R27" t="s">
        <v>61</v>
      </c>
    </row>
    <row r="28" spans="1:18" x14ac:dyDescent="0.25">
      <c r="A28" t="s">
        <v>177</v>
      </c>
      <c r="B28" t="s">
        <v>141</v>
      </c>
      <c r="C28" t="s">
        <v>178</v>
      </c>
      <c r="D28" t="s">
        <v>179</v>
      </c>
      <c r="E28" t="s">
        <v>22</v>
      </c>
      <c r="F28" t="s">
        <v>41</v>
      </c>
      <c r="G28" t="s">
        <v>89</v>
      </c>
      <c r="H28" t="s">
        <v>43</v>
      </c>
      <c r="I28" t="s">
        <v>180</v>
      </c>
      <c r="J28" t="s">
        <v>181</v>
      </c>
      <c r="K28">
        <f>IFERROR(_xlfn.XLOOKUP($A28&amp;"|"&amp;$J28,'Response Mapping'!$C$2:$C$1086,'Response Mapping'!$D$2:$D$1086),"")</f>
        <v>2</v>
      </c>
      <c r="L28" t="str">
        <f>IFERROR(_xlfn.XLOOKUP($A28&amp;"|"&amp;$J28,'Response Mapping'!$C$2:$C$1086,'Response Mapping'!$E$2:$E$1086),"")</f>
        <v>Include</v>
      </c>
      <c r="M28" t="str">
        <f>IFERROR(_xlfn.XLOOKUP($A28&amp;"|"&amp;$J28,'Response Mapping'!$C$2:$C$1086,'Response Mapping'!$F$2:$F$1086),"")</f>
        <v>External Dependency</v>
      </c>
      <c r="N28" t="str">
        <f>IFERROR(_xlfn.XLOOKUP($A28&amp;"|"&amp;$J28,'Response Mapping'!$C$2:$C$1086,'Response Mapping'!$G$2:$G$1086),"")</f>
        <v>REC-STR-009-L1</v>
      </c>
      <c r="O28" t="str">
        <f t="shared" si="0"/>
        <v>No</v>
      </c>
      <c r="Q28" t="s">
        <v>46</v>
      </c>
      <c r="R28" t="s">
        <v>127</v>
      </c>
    </row>
    <row r="29" spans="1:18" x14ac:dyDescent="0.25">
      <c r="A29" t="s">
        <v>182</v>
      </c>
      <c r="B29" t="s">
        <v>141</v>
      </c>
      <c r="C29" t="s">
        <v>178</v>
      </c>
      <c r="D29" t="s">
        <v>183</v>
      </c>
      <c r="E29" t="s">
        <v>22</v>
      </c>
      <c r="F29" t="s">
        <v>69</v>
      </c>
      <c r="G29" t="s">
        <v>130</v>
      </c>
      <c r="H29" t="s">
        <v>43</v>
      </c>
      <c r="I29" t="s">
        <v>184</v>
      </c>
      <c r="J29" t="s">
        <v>185</v>
      </c>
      <c r="K29">
        <f>IFERROR(_xlfn.XLOOKUP($A29&amp;"|"&amp;$J29,'Response Mapping'!$C$2:$C$1086,'Response Mapping'!$D$2:$D$1086),"")</f>
        <v>5</v>
      </c>
      <c r="L29" t="str">
        <f>IFERROR(_xlfn.XLOOKUP($A29&amp;"|"&amp;$J29,'Response Mapping'!$C$2:$C$1086,'Response Mapping'!$E$2:$E$1086),"")</f>
        <v>Include</v>
      </c>
      <c r="M29" t="str">
        <f>IFERROR(_xlfn.XLOOKUP($A29&amp;"|"&amp;$J29,'Response Mapping'!$C$2:$C$1086,'Response Mapping'!$F$2:$F$1086),"")</f>
        <v>Optimized Capability</v>
      </c>
      <c r="N29" t="str">
        <f>IFERROR(_xlfn.XLOOKUP($A29&amp;"|"&amp;$J29,'Response Mapping'!$C$2:$C$1086,'Response Mapping'!$G$2:$G$1086),"")</f>
        <v>REC-STR-010-L5</v>
      </c>
      <c r="O29" t="str">
        <f t="shared" si="0"/>
        <v>Yes</v>
      </c>
      <c r="Q29" t="s">
        <v>85</v>
      </c>
      <c r="R29" t="s">
        <v>164</v>
      </c>
    </row>
    <row r="30" spans="1:18" x14ac:dyDescent="0.25">
      <c r="A30" t="s">
        <v>186</v>
      </c>
      <c r="B30" t="s">
        <v>141</v>
      </c>
      <c r="C30" t="s">
        <v>178</v>
      </c>
      <c r="D30" t="s">
        <v>187</v>
      </c>
      <c r="E30" t="s">
        <v>22</v>
      </c>
      <c r="F30" t="s">
        <v>130</v>
      </c>
      <c r="G30" t="s">
        <v>41</v>
      </c>
      <c r="H30" t="s">
        <v>43</v>
      </c>
      <c r="I30" t="s">
        <v>188</v>
      </c>
      <c r="J30" t="s">
        <v>189</v>
      </c>
      <c r="K30">
        <f>IFERROR(_xlfn.XLOOKUP($A30&amp;"|"&amp;$J30,'Response Mapping'!$C$2:$C$1086,'Response Mapping'!$D$2:$D$1086),"")</f>
        <v>3</v>
      </c>
      <c r="L30" t="str">
        <f>IFERROR(_xlfn.XLOOKUP($A30&amp;"|"&amp;$J30,'Response Mapping'!$C$2:$C$1086,'Response Mapping'!$E$2:$E$1086),"")</f>
        <v>Include</v>
      </c>
      <c r="M30" t="str">
        <f>IFERROR(_xlfn.XLOOKUP($A30&amp;"|"&amp;$J30,'Response Mapping'!$C$2:$C$1086,'Response Mapping'!$F$2:$F$1086),"")</f>
        <v>Partial Capability</v>
      </c>
      <c r="N30" t="str">
        <f>IFERROR(_xlfn.XLOOKUP($A30&amp;"|"&amp;$J30,'Response Mapping'!$C$2:$C$1086,'Response Mapping'!$G$2:$G$1086),"")</f>
        <v>REC-STR-011-L3</v>
      </c>
      <c r="O30" t="str">
        <f t="shared" si="0"/>
        <v>No</v>
      </c>
      <c r="Q30" t="s">
        <v>72</v>
      </c>
      <c r="R30" t="s">
        <v>164</v>
      </c>
    </row>
    <row r="31" spans="1:18" x14ac:dyDescent="0.25">
      <c r="A31" t="s">
        <v>190</v>
      </c>
      <c r="B31" t="s">
        <v>141</v>
      </c>
      <c r="C31" t="s">
        <v>178</v>
      </c>
      <c r="D31" t="s">
        <v>191</v>
      </c>
      <c r="E31" t="s">
        <v>22</v>
      </c>
      <c r="F31" t="s">
        <v>136</v>
      </c>
      <c r="G31" t="s">
        <v>41</v>
      </c>
      <c r="H31" t="s">
        <v>43</v>
      </c>
      <c r="I31" t="s">
        <v>192</v>
      </c>
      <c r="J31" t="s">
        <v>193</v>
      </c>
      <c r="K31">
        <f>IFERROR(_xlfn.XLOOKUP($A31&amp;"|"&amp;$J31,'Response Mapping'!$C$2:$C$1086,'Response Mapping'!$D$2:$D$1086),"")</f>
        <v>4</v>
      </c>
      <c r="L31" t="str">
        <f>IFERROR(_xlfn.XLOOKUP($A31&amp;"|"&amp;$J31,'Response Mapping'!$C$2:$C$1086,'Response Mapping'!$E$2:$E$1086),"")</f>
        <v>Include</v>
      </c>
      <c r="M31" t="str">
        <f>IFERROR(_xlfn.XLOOKUP($A31&amp;"|"&amp;$J31,'Response Mapping'!$C$2:$C$1086,'Response Mapping'!$F$2:$F$1086),"")</f>
        <v>Mature Capability</v>
      </c>
      <c r="N31" t="str">
        <f>IFERROR(_xlfn.XLOOKUP($A31&amp;"|"&amp;$J31,'Response Mapping'!$C$2:$C$1086,'Response Mapping'!$G$2:$G$1086),"")</f>
        <v>REC-STR-012-L4</v>
      </c>
      <c r="O31" t="str">
        <f t="shared" si="0"/>
        <v>Yes</v>
      </c>
      <c r="Q31" t="s">
        <v>46</v>
      </c>
      <c r="R31" t="s">
        <v>127</v>
      </c>
    </row>
    <row r="32" spans="1:18" x14ac:dyDescent="0.25">
      <c r="A32" t="s">
        <v>194</v>
      </c>
      <c r="B32" t="s">
        <v>141</v>
      </c>
      <c r="C32" t="s">
        <v>195</v>
      </c>
      <c r="D32" t="s">
        <v>196</v>
      </c>
      <c r="E32" t="s">
        <v>22</v>
      </c>
      <c r="F32" t="s">
        <v>41</v>
      </c>
      <c r="G32" t="s">
        <v>130</v>
      </c>
      <c r="H32" t="s">
        <v>43</v>
      </c>
      <c r="I32" t="s">
        <v>197</v>
      </c>
      <c r="J32" t="s">
        <v>198</v>
      </c>
      <c r="K32">
        <f>IFERROR(_xlfn.XLOOKUP($A32&amp;"|"&amp;$J32,'Response Mapping'!$C$2:$C$1086,'Response Mapping'!$D$2:$D$1086),"")</f>
        <v>3</v>
      </c>
      <c r="L32" t="str">
        <f>IFERROR(_xlfn.XLOOKUP($A32&amp;"|"&amp;$J32,'Response Mapping'!$C$2:$C$1086,'Response Mapping'!$E$2:$E$1086),"")</f>
        <v>Include</v>
      </c>
      <c r="M32" t="str">
        <f>IFERROR(_xlfn.XLOOKUP($A32&amp;"|"&amp;$J32,'Response Mapping'!$C$2:$C$1086,'Response Mapping'!$F$2:$F$1086),"")</f>
        <v>Partial Capability</v>
      </c>
      <c r="N32" t="str">
        <f>IFERROR(_xlfn.XLOOKUP($A32&amp;"|"&amp;$J32,'Response Mapping'!$C$2:$C$1086,'Response Mapping'!$G$2:$G$1086),"")</f>
        <v>REC-STR-013-L3</v>
      </c>
      <c r="O32" t="str">
        <f t="shared" si="0"/>
        <v>No</v>
      </c>
      <c r="Q32" t="s">
        <v>46</v>
      </c>
      <c r="R32" t="s">
        <v>199</v>
      </c>
    </row>
    <row r="33" spans="1:18" x14ac:dyDescent="0.25">
      <c r="A33" t="s">
        <v>200</v>
      </c>
      <c r="B33" t="s">
        <v>141</v>
      </c>
      <c r="C33" t="s">
        <v>195</v>
      </c>
      <c r="D33" t="s">
        <v>201</v>
      </c>
      <c r="E33" t="s">
        <v>22</v>
      </c>
      <c r="F33" t="s">
        <v>41</v>
      </c>
      <c r="G33" t="s">
        <v>130</v>
      </c>
      <c r="H33" t="s">
        <v>43</v>
      </c>
      <c r="I33" t="s">
        <v>202</v>
      </c>
      <c r="J33" t="s">
        <v>203</v>
      </c>
      <c r="K33">
        <f>IFERROR(_xlfn.XLOOKUP($A33&amp;"|"&amp;$J33,'Response Mapping'!$C$2:$C$1086,'Response Mapping'!$D$2:$D$1086),"")</f>
        <v>4</v>
      </c>
      <c r="L33" t="str">
        <f>IFERROR(_xlfn.XLOOKUP($A33&amp;"|"&amp;$J33,'Response Mapping'!$C$2:$C$1086,'Response Mapping'!$E$2:$E$1086),"")</f>
        <v>Include</v>
      </c>
      <c r="M33" t="str">
        <f>IFERROR(_xlfn.XLOOKUP($A33&amp;"|"&amp;$J33,'Response Mapping'!$C$2:$C$1086,'Response Mapping'!$F$2:$F$1086),"")</f>
        <v>Mature Capability</v>
      </c>
      <c r="N33" t="str">
        <f>IFERROR(_xlfn.XLOOKUP($A33&amp;"|"&amp;$J33,'Response Mapping'!$C$2:$C$1086,'Response Mapping'!$G$2:$G$1086),"")</f>
        <v>REC-STR-014-L4</v>
      </c>
      <c r="O33" t="str">
        <f t="shared" si="0"/>
        <v>Yes</v>
      </c>
      <c r="Q33" t="s">
        <v>46</v>
      </c>
      <c r="R33" t="s">
        <v>146</v>
      </c>
    </row>
    <row r="34" spans="1:18" x14ac:dyDescent="0.25">
      <c r="A34" t="s">
        <v>204</v>
      </c>
      <c r="B34" t="s">
        <v>141</v>
      </c>
      <c r="C34" t="s">
        <v>195</v>
      </c>
      <c r="D34" t="s">
        <v>205</v>
      </c>
      <c r="E34" t="s">
        <v>22</v>
      </c>
      <c r="F34" t="s">
        <v>130</v>
      </c>
      <c r="G34" t="s">
        <v>76</v>
      </c>
      <c r="H34" t="s">
        <v>43</v>
      </c>
      <c r="I34" t="s">
        <v>206</v>
      </c>
      <c r="J34" t="s">
        <v>207</v>
      </c>
      <c r="K34">
        <f>IFERROR(_xlfn.XLOOKUP($A34&amp;"|"&amp;$J34,'Response Mapping'!$C$2:$C$1086,'Response Mapping'!$D$2:$D$1086),"")</f>
        <v>4</v>
      </c>
      <c r="L34" t="str">
        <f>IFERROR(_xlfn.XLOOKUP($A34&amp;"|"&amp;$J34,'Response Mapping'!$C$2:$C$1086,'Response Mapping'!$E$2:$E$1086),"")</f>
        <v>Include</v>
      </c>
      <c r="M34" t="str">
        <f>IFERROR(_xlfn.XLOOKUP($A34&amp;"|"&amp;$J34,'Response Mapping'!$C$2:$C$1086,'Response Mapping'!$F$2:$F$1086),"")</f>
        <v>Mature Capability</v>
      </c>
      <c r="N34" t="str">
        <f>IFERROR(_xlfn.XLOOKUP($A34&amp;"|"&amp;$J34,'Response Mapping'!$C$2:$C$1086,'Response Mapping'!$G$2:$G$1086),"")</f>
        <v>REC-STR-015-L4</v>
      </c>
      <c r="O34" t="str">
        <f t="shared" si="0"/>
        <v>Yes</v>
      </c>
      <c r="Q34" t="s">
        <v>79</v>
      </c>
      <c r="R34" t="s">
        <v>199</v>
      </c>
    </row>
    <row r="35" spans="1:18" x14ac:dyDescent="0.25">
      <c r="A35" t="s">
        <v>208</v>
      </c>
      <c r="B35" t="s">
        <v>209</v>
      </c>
      <c r="C35" t="s">
        <v>210</v>
      </c>
      <c r="D35" t="s">
        <v>211</v>
      </c>
      <c r="E35" t="s">
        <v>22</v>
      </c>
      <c r="F35" t="s">
        <v>76</v>
      </c>
      <c r="G35" t="s">
        <v>42</v>
      </c>
      <c r="H35" t="s">
        <v>43</v>
      </c>
      <c r="I35" t="s">
        <v>212</v>
      </c>
      <c r="J35" t="s">
        <v>213</v>
      </c>
      <c r="K35">
        <f>IFERROR(_xlfn.XLOOKUP($A35&amp;"|"&amp;$J35,'Response Mapping'!$C$2:$C$1086,'Response Mapping'!$D$2:$D$1086),"")</f>
        <v>3</v>
      </c>
      <c r="L35" t="str">
        <f>IFERROR(_xlfn.XLOOKUP($A35&amp;"|"&amp;$J35,'Response Mapping'!$C$2:$C$1086,'Response Mapping'!$E$2:$E$1086),"")</f>
        <v>Include</v>
      </c>
      <c r="M35" t="str">
        <f>IFERROR(_xlfn.XLOOKUP($A35&amp;"|"&amp;$J35,'Response Mapping'!$C$2:$C$1086,'Response Mapping'!$F$2:$F$1086),"")</f>
        <v>Partial Capability</v>
      </c>
      <c r="N35" t="str">
        <f>IFERROR(_xlfn.XLOOKUP($A35&amp;"|"&amp;$J35,'Response Mapping'!$C$2:$C$1086,'Response Mapping'!$G$2:$G$1086),"")</f>
        <v>REC-RAI-001-L3</v>
      </c>
      <c r="O35" t="str">
        <f t="shared" si="0"/>
        <v>No</v>
      </c>
      <c r="Q35" t="s">
        <v>79</v>
      </c>
      <c r="R35" t="s">
        <v>80</v>
      </c>
    </row>
    <row r="36" spans="1:18" x14ac:dyDescent="0.25">
      <c r="A36" t="s">
        <v>214</v>
      </c>
      <c r="B36" t="s">
        <v>209</v>
      </c>
      <c r="C36" t="s">
        <v>210</v>
      </c>
      <c r="D36" t="s">
        <v>215</v>
      </c>
      <c r="E36" t="s">
        <v>22</v>
      </c>
      <c r="F36" t="s">
        <v>76</v>
      </c>
      <c r="G36" t="s">
        <v>89</v>
      </c>
      <c r="H36" t="s">
        <v>43</v>
      </c>
      <c r="I36" t="s">
        <v>216</v>
      </c>
      <c r="J36" t="s">
        <v>217</v>
      </c>
      <c r="K36">
        <f>IFERROR(_xlfn.XLOOKUP($A36&amp;"|"&amp;$J36,'Response Mapping'!$C$2:$C$1086,'Response Mapping'!$D$2:$D$1086),"")</f>
        <v>4</v>
      </c>
      <c r="L36" t="str">
        <f>IFERROR(_xlfn.XLOOKUP($A36&amp;"|"&amp;$J36,'Response Mapping'!$C$2:$C$1086,'Response Mapping'!$E$2:$E$1086),"")</f>
        <v>Include</v>
      </c>
      <c r="M36" t="str">
        <f>IFERROR(_xlfn.XLOOKUP($A36&amp;"|"&amp;$J36,'Response Mapping'!$C$2:$C$1086,'Response Mapping'!$F$2:$F$1086),"")</f>
        <v>Mature Capability</v>
      </c>
      <c r="N36" t="str">
        <f>IFERROR(_xlfn.XLOOKUP($A36&amp;"|"&amp;$J36,'Response Mapping'!$C$2:$C$1086,'Response Mapping'!$G$2:$G$1086),"")</f>
        <v>REC-RAI-002-L4</v>
      </c>
      <c r="O36" t="str">
        <f t="shared" si="0"/>
        <v>Yes</v>
      </c>
      <c r="Q36" t="s">
        <v>72</v>
      </c>
      <c r="R36" t="s">
        <v>80</v>
      </c>
    </row>
    <row r="37" spans="1:18" x14ac:dyDescent="0.25">
      <c r="A37" t="s">
        <v>218</v>
      </c>
      <c r="B37" t="s">
        <v>209</v>
      </c>
      <c r="C37" t="s">
        <v>210</v>
      </c>
      <c r="D37" t="s">
        <v>219</v>
      </c>
      <c r="E37" t="s">
        <v>22</v>
      </c>
      <c r="F37" t="s">
        <v>76</v>
      </c>
      <c r="G37" t="s">
        <v>42</v>
      </c>
      <c r="H37" t="s">
        <v>43</v>
      </c>
      <c r="I37" t="s">
        <v>220</v>
      </c>
      <c r="J37" t="s">
        <v>221</v>
      </c>
      <c r="K37">
        <f>IFERROR(_xlfn.XLOOKUP($A37&amp;"|"&amp;$J37,'Response Mapping'!$C$2:$C$1086,'Response Mapping'!$D$2:$D$1086),"")</f>
        <v>4</v>
      </c>
      <c r="L37" t="str">
        <f>IFERROR(_xlfn.XLOOKUP($A37&amp;"|"&amp;$J37,'Response Mapping'!$C$2:$C$1086,'Response Mapping'!$E$2:$E$1086),"")</f>
        <v>Include</v>
      </c>
      <c r="M37" t="str">
        <f>IFERROR(_xlfn.XLOOKUP($A37&amp;"|"&amp;$J37,'Response Mapping'!$C$2:$C$1086,'Response Mapping'!$F$2:$F$1086),"")</f>
        <v>Mature Capability</v>
      </c>
      <c r="N37" t="str">
        <f>IFERROR(_xlfn.XLOOKUP($A37&amp;"|"&amp;$J37,'Response Mapping'!$C$2:$C$1086,'Response Mapping'!$G$2:$G$1086),"")</f>
        <v>REC-RAI-003-L4</v>
      </c>
      <c r="O37" t="str">
        <f t="shared" si="0"/>
        <v>Yes</v>
      </c>
      <c r="Q37" t="s">
        <v>79</v>
      </c>
      <c r="R37" t="s">
        <v>199</v>
      </c>
    </row>
    <row r="38" spans="1:18" x14ac:dyDescent="0.25">
      <c r="A38" t="s">
        <v>222</v>
      </c>
      <c r="B38" t="s">
        <v>209</v>
      </c>
      <c r="C38" t="s">
        <v>210</v>
      </c>
      <c r="D38" t="s">
        <v>223</v>
      </c>
      <c r="E38" t="s">
        <v>22</v>
      </c>
      <c r="F38" t="s">
        <v>89</v>
      </c>
      <c r="G38" t="s">
        <v>42</v>
      </c>
      <c r="H38" t="s">
        <v>43</v>
      </c>
      <c r="I38" t="s">
        <v>224</v>
      </c>
      <c r="J38" t="s">
        <v>225</v>
      </c>
      <c r="K38">
        <f>IFERROR(_xlfn.XLOOKUP($A38&amp;"|"&amp;$J38,'Response Mapping'!$C$2:$C$1086,'Response Mapping'!$D$2:$D$1086),"")</f>
        <v>3</v>
      </c>
      <c r="L38" t="str">
        <f>IFERROR(_xlfn.XLOOKUP($A38&amp;"|"&amp;$J38,'Response Mapping'!$C$2:$C$1086,'Response Mapping'!$E$2:$E$1086),"")</f>
        <v>Include</v>
      </c>
      <c r="M38" t="str">
        <f>IFERROR(_xlfn.XLOOKUP($A38&amp;"|"&amp;$J38,'Response Mapping'!$C$2:$C$1086,'Response Mapping'!$F$2:$F$1086),"")</f>
        <v>Partial Capability</v>
      </c>
      <c r="N38" t="str">
        <f>IFERROR(_xlfn.XLOOKUP($A38&amp;"|"&amp;$J38,'Response Mapping'!$C$2:$C$1086,'Response Mapping'!$G$2:$G$1086),"")</f>
        <v>REC-RAI-004-L3</v>
      </c>
      <c r="O38" t="str">
        <f t="shared" si="0"/>
        <v>No</v>
      </c>
      <c r="Q38" t="s">
        <v>85</v>
      </c>
      <c r="R38" t="s">
        <v>86</v>
      </c>
    </row>
    <row r="39" spans="1:18" x14ac:dyDescent="0.25">
      <c r="A39" t="s">
        <v>226</v>
      </c>
      <c r="B39" t="s">
        <v>209</v>
      </c>
      <c r="C39" t="s">
        <v>227</v>
      </c>
      <c r="D39" t="s">
        <v>228</v>
      </c>
      <c r="E39" t="s">
        <v>22</v>
      </c>
      <c r="F39" t="s">
        <v>89</v>
      </c>
      <c r="G39" t="s">
        <v>42</v>
      </c>
      <c r="H39" t="s">
        <v>43</v>
      </c>
      <c r="I39" t="s">
        <v>229</v>
      </c>
      <c r="J39" t="s">
        <v>230</v>
      </c>
      <c r="K39">
        <f>IFERROR(_xlfn.XLOOKUP($A39&amp;"|"&amp;$J39,'Response Mapping'!$C$2:$C$1086,'Response Mapping'!$D$2:$D$1086),"")</f>
        <v>3</v>
      </c>
      <c r="L39" t="str">
        <f>IFERROR(_xlfn.XLOOKUP($A39&amp;"|"&amp;$J39,'Response Mapping'!$C$2:$C$1086,'Response Mapping'!$E$2:$E$1086),"")</f>
        <v>Include</v>
      </c>
      <c r="M39" t="str">
        <f>IFERROR(_xlfn.XLOOKUP($A39&amp;"|"&amp;$J39,'Response Mapping'!$C$2:$C$1086,'Response Mapping'!$F$2:$F$1086),"")</f>
        <v>Partial Capability</v>
      </c>
      <c r="N39" t="str">
        <f>IFERROR(_xlfn.XLOOKUP($A39&amp;"|"&amp;$J39,'Response Mapping'!$C$2:$C$1086,'Response Mapping'!$G$2:$G$1086),"")</f>
        <v>REC-RAI-005-L3</v>
      </c>
      <c r="O39" t="str">
        <f t="shared" si="0"/>
        <v>No</v>
      </c>
      <c r="Q39" t="s">
        <v>46</v>
      </c>
      <c r="R39" t="s">
        <v>92</v>
      </c>
    </row>
    <row r="40" spans="1:18" x14ac:dyDescent="0.25">
      <c r="A40" t="s">
        <v>231</v>
      </c>
      <c r="B40" t="s">
        <v>209</v>
      </c>
      <c r="C40" t="s">
        <v>227</v>
      </c>
      <c r="D40" t="s">
        <v>232</v>
      </c>
      <c r="E40" t="s">
        <v>22</v>
      </c>
      <c r="F40" t="s">
        <v>89</v>
      </c>
      <c r="G40" t="s">
        <v>130</v>
      </c>
      <c r="H40" t="s">
        <v>43</v>
      </c>
      <c r="I40" t="s">
        <v>233</v>
      </c>
      <c r="J40" t="s">
        <v>234</v>
      </c>
      <c r="K40">
        <f>IFERROR(_xlfn.XLOOKUP($A40&amp;"|"&amp;$J40,'Response Mapping'!$C$2:$C$1086,'Response Mapping'!$D$2:$D$1086),"")</f>
        <v>4</v>
      </c>
      <c r="L40" t="str">
        <f>IFERROR(_xlfn.XLOOKUP($A40&amp;"|"&amp;$J40,'Response Mapping'!$C$2:$C$1086,'Response Mapping'!$E$2:$E$1086),"")</f>
        <v>Include</v>
      </c>
      <c r="M40" t="str">
        <f>IFERROR(_xlfn.XLOOKUP($A40&amp;"|"&amp;$J40,'Response Mapping'!$C$2:$C$1086,'Response Mapping'!$F$2:$F$1086),"")</f>
        <v>Mature Capability</v>
      </c>
      <c r="N40" t="str">
        <f>IFERROR(_xlfn.XLOOKUP($A40&amp;"|"&amp;$J40,'Response Mapping'!$C$2:$C$1086,'Response Mapping'!$G$2:$G$1086),"")</f>
        <v>REC-RAI-006-L4</v>
      </c>
      <c r="O40" t="str">
        <f t="shared" si="0"/>
        <v>Yes</v>
      </c>
      <c r="Q40" t="s">
        <v>79</v>
      </c>
      <c r="R40" t="s">
        <v>80</v>
      </c>
    </row>
    <row r="41" spans="1:18" x14ac:dyDescent="0.25">
      <c r="A41" t="s">
        <v>235</v>
      </c>
      <c r="B41" t="s">
        <v>209</v>
      </c>
      <c r="C41" t="s">
        <v>227</v>
      </c>
      <c r="D41" t="s">
        <v>236</v>
      </c>
      <c r="E41" t="s">
        <v>22</v>
      </c>
      <c r="F41" t="s">
        <v>42</v>
      </c>
      <c r="G41" t="s">
        <v>130</v>
      </c>
      <c r="H41" t="s">
        <v>43</v>
      </c>
      <c r="I41" t="s">
        <v>237</v>
      </c>
      <c r="J41" t="s">
        <v>238</v>
      </c>
      <c r="K41">
        <f>IFERROR(_xlfn.XLOOKUP($A41&amp;"|"&amp;$J41,'Response Mapping'!$C$2:$C$1086,'Response Mapping'!$D$2:$D$1086),"")</f>
        <v>3</v>
      </c>
      <c r="L41" t="str">
        <f>IFERROR(_xlfn.XLOOKUP($A41&amp;"|"&amp;$J41,'Response Mapping'!$C$2:$C$1086,'Response Mapping'!$E$2:$E$1086),"")</f>
        <v>Include</v>
      </c>
      <c r="M41" t="str">
        <f>IFERROR(_xlfn.XLOOKUP($A41&amp;"|"&amp;$J41,'Response Mapping'!$C$2:$C$1086,'Response Mapping'!$F$2:$F$1086),"")</f>
        <v>Partial Capability</v>
      </c>
      <c r="N41" t="str">
        <f>IFERROR(_xlfn.XLOOKUP($A41&amp;"|"&amp;$J41,'Response Mapping'!$C$2:$C$1086,'Response Mapping'!$G$2:$G$1086),"")</f>
        <v>REC-RAI-007-L3</v>
      </c>
      <c r="O41" t="str">
        <f t="shared" si="0"/>
        <v>No</v>
      </c>
      <c r="Q41" t="s">
        <v>85</v>
      </c>
      <c r="R41" t="s">
        <v>86</v>
      </c>
    </row>
    <row r="42" spans="1:18" x14ac:dyDescent="0.25">
      <c r="A42" t="s">
        <v>239</v>
      </c>
      <c r="B42" t="s">
        <v>209</v>
      </c>
      <c r="C42" t="s">
        <v>227</v>
      </c>
      <c r="D42" t="s">
        <v>240</v>
      </c>
      <c r="E42" t="s">
        <v>22</v>
      </c>
      <c r="F42" t="s">
        <v>42</v>
      </c>
      <c r="G42" t="s">
        <v>69</v>
      </c>
      <c r="H42" t="s">
        <v>43</v>
      </c>
      <c r="I42" t="s">
        <v>241</v>
      </c>
      <c r="J42" t="s">
        <v>242</v>
      </c>
      <c r="K42">
        <f>IFERROR(_xlfn.XLOOKUP($A42&amp;"|"&amp;$J42,'Response Mapping'!$C$2:$C$1086,'Response Mapping'!$D$2:$D$1086),"")</f>
        <v>3</v>
      </c>
      <c r="L42" t="str">
        <f>IFERROR(_xlfn.XLOOKUP($A42&amp;"|"&amp;$J42,'Response Mapping'!$C$2:$C$1086,'Response Mapping'!$E$2:$E$1086),"")</f>
        <v>Include</v>
      </c>
      <c r="M42" t="str">
        <f>IFERROR(_xlfn.XLOOKUP($A42&amp;"|"&amp;$J42,'Response Mapping'!$C$2:$C$1086,'Response Mapping'!$F$2:$F$1086),"")</f>
        <v>Partial Capability</v>
      </c>
      <c r="N42" t="str">
        <f>IFERROR(_xlfn.XLOOKUP($A42&amp;"|"&amp;$J42,'Response Mapping'!$C$2:$C$1086,'Response Mapping'!$G$2:$G$1086),"")</f>
        <v>REC-RAI-008-L3</v>
      </c>
      <c r="O42" t="str">
        <f t="shared" si="0"/>
        <v>No</v>
      </c>
      <c r="Q42" t="s">
        <v>46</v>
      </c>
      <c r="R42" t="s">
        <v>107</v>
      </c>
    </row>
    <row r="43" spans="1:18" x14ac:dyDescent="0.25">
      <c r="A43" t="s">
        <v>243</v>
      </c>
      <c r="B43" t="s">
        <v>209</v>
      </c>
      <c r="C43" t="s">
        <v>244</v>
      </c>
      <c r="D43" t="s">
        <v>245</v>
      </c>
      <c r="E43" t="s">
        <v>22</v>
      </c>
      <c r="F43" t="s">
        <v>89</v>
      </c>
      <c r="G43" t="s">
        <v>42</v>
      </c>
      <c r="H43" t="s">
        <v>43</v>
      </c>
      <c r="I43" t="s">
        <v>246</v>
      </c>
      <c r="J43" t="s">
        <v>247</v>
      </c>
      <c r="K43">
        <f>IFERROR(_xlfn.XLOOKUP($A43&amp;"|"&amp;$J43,'Response Mapping'!$C$2:$C$1086,'Response Mapping'!$D$2:$D$1086),"")</f>
        <v>3</v>
      </c>
      <c r="L43" t="str">
        <f>IFERROR(_xlfn.XLOOKUP($A43&amp;"|"&amp;$J43,'Response Mapping'!$C$2:$C$1086,'Response Mapping'!$E$2:$E$1086),"")</f>
        <v>Include</v>
      </c>
      <c r="M43" t="str">
        <f>IFERROR(_xlfn.XLOOKUP($A43&amp;"|"&amp;$J43,'Response Mapping'!$C$2:$C$1086,'Response Mapping'!$F$2:$F$1086),"")</f>
        <v>Partial Capability</v>
      </c>
      <c r="N43" t="str">
        <f>IFERROR(_xlfn.XLOOKUP($A43&amp;"|"&amp;$J43,'Response Mapping'!$C$2:$C$1086,'Response Mapping'!$G$2:$G$1086),"")</f>
        <v>REC-RAI-009-L3</v>
      </c>
      <c r="O43" t="str">
        <f t="shared" si="0"/>
        <v>No</v>
      </c>
      <c r="Q43" t="s">
        <v>79</v>
      </c>
      <c r="R43" t="s">
        <v>80</v>
      </c>
    </row>
    <row r="44" spans="1:18" x14ac:dyDescent="0.25">
      <c r="A44" t="s">
        <v>248</v>
      </c>
      <c r="B44" t="s">
        <v>209</v>
      </c>
      <c r="C44" t="s">
        <v>244</v>
      </c>
      <c r="D44" t="s">
        <v>249</v>
      </c>
      <c r="E44" t="s">
        <v>22</v>
      </c>
      <c r="F44" t="s">
        <v>76</v>
      </c>
      <c r="G44" t="s">
        <v>89</v>
      </c>
      <c r="H44" t="s">
        <v>43</v>
      </c>
      <c r="I44" t="s">
        <v>250</v>
      </c>
      <c r="J44" t="s">
        <v>251</v>
      </c>
      <c r="K44">
        <f>IFERROR(_xlfn.XLOOKUP($A44&amp;"|"&amp;$J44,'Response Mapping'!$C$2:$C$1086,'Response Mapping'!$D$2:$D$1086),"")</f>
        <v>2</v>
      </c>
      <c r="L44" t="str">
        <f>IFERROR(_xlfn.XLOOKUP($A44&amp;"|"&amp;$J44,'Response Mapping'!$C$2:$C$1086,'Response Mapping'!$E$2:$E$1086),"")</f>
        <v>Include</v>
      </c>
      <c r="M44" t="str">
        <f>IFERROR(_xlfn.XLOOKUP($A44&amp;"|"&amp;$J44,'Response Mapping'!$C$2:$C$1086,'Response Mapping'!$F$2:$F$1086),"")</f>
        <v>Manual Drift Review Only</v>
      </c>
      <c r="N44" t="str">
        <f>IFERROR(_xlfn.XLOOKUP($A44&amp;"|"&amp;$J44,'Response Mapping'!$C$2:$C$1086,'Response Mapping'!$G$2:$G$1086),"")</f>
        <v>REC-RAI-010-L1</v>
      </c>
      <c r="O44" t="str">
        <f t="shared" si="0"/>
        <v>No</v>
      </c>
      <c r="Q44" t="s">
        <v>79</v>
      </c>
      <c r="R44" t="s">
        <v>199</v>
      </c>
    </row>
    <row r="45" spans="1:18" x14ac:dyDescent="0.25">
      <c r="A45" t="s">
        <v>252</v>
      </c>
      <c r="B45" t="s">
        <v>209</v>
      </c>
      <c r="C45" t="s">
        <v>244</v>
      </c>
      <c r="D45" t="s">
        <v>253</v>
      </c>
      <c r="E45" t="s">
        <v>22</v>
      </c>
      <c r="F45" t="s">
        <v>89</v>
      </c>
      <c r="G45" t="s">
        <v>42</v>
      </c>
      <c r="H45" t="s">
        <v>43</v>
      </c>
      <c r="I45" t="s">
        <v>254</v>
      </c>
      <c r="J45" t="s">
        <v>255</v>
      </c>
      <c r="K45">
        <f>IFERROR(_xlfn.XLOOKUP($A45&amp;"|"&amp;$J45,'Response Mapping'!$C$2:$C$1086,'Response Mapping'!$D$2:$D$1086),"")</f>
        <v>4</v>
      </c>
      <c r="L45" t="str">
        <f>IFERROR(_xlfn.XLOOKUP($A45&amp;"|"&amp;$J45,'Response Mapping'!$C$2:$C$1086,'Response Mapping'!$E$2:$E$1086),"")</f>
        <v>Include</v>
      </c>
      <c r="M45" t="str">
        <f>IFERROR(_xlfn.XLOOKUP($A45&amp;"|"&amp;$J45,'Response Mapping'!$C$2:$C$1086,'Response Mapping'!$F$2:$F$1086),"")</f>
        <v>Mature Capability</v>
      </c>
      <c r="N45" t="str">
        <f>IFERROR(_xlfn.XLOOKUP($A45&amp;"|"&amp;$J45,'Response Mapping'!$C$2:$C$1086,'Response Mapping'!$G$2:$G$1086),"")</f>
        <v>REC-RAI-011-L4</v>
      </c>
      <c r="O45" t="str">
        <f t="shared" si="0"/>
        <v>Yes</v>
      </c>
      <c r="Q45" t="s">
        <v>85</v>
      </c>
      <c r="R45" t="s">
        <v>86</v>
      </c>
    </row>
    <row r="46" spans="1:18" x14ac:dyDescent="0.25">
      <c r="A46" t="s">
        <v>256</v>
      </c>
      <c r="B46" t="s">
        <v>209</v>
      </c>
      <c r="C46" t="s">
        <v>244</v>
      </c>
      <c r="D46" t="s">
        <v>257</v>
      </c>
      <c r="E46" t="s">
        <v>22</v>
      </c>
      <c r="F46" t="s">
        <v>89</v>
      </c>
      <c r="G46" t="s">
        <v>42</v>
      </c>
      <c r="H46" t="s">
        <v>43</v>
      </c>
      <c r="I46" t="s">
        <v>258</v>
      </c>
      <c r="J46" t="s">
        <v>259</v>
      </c>
      <c r="K46">
        <f>IFERROR(_xlfn.XLOOKUP($A46&amp;"|"&amp;$J46,'Response Mapping'!$C$2:$C$1086,'Response Mapping'!$D$2:$D$1086),"")</f>
        <v>4</v>
      </c>
      <c r="L46" t="str">
        <f>IFERROR(_xlfn.XLOOKUP($A46&amp;"|"&amp;$J46,'Response Mapping'!$C$2:$C$1086,'Response Mapping'!$E$2:$E$1086),"")</f>
        <v>Include</v>
      </c>
      <c r="M46" t="str">
        <f>IFERROR(_xlfn.XLOOKUP($A46&amp;"|"&amp;$J46,'Response Mapping'!$C$2:$C$1086,'Response Mapping'!$F$2:$F$1086),"")</f>
        <v>Mature Capability</v>
      </c>
      <c r="N46" t="str">
        <f>IFERROR(_xlfn.XLOOKUP($A46&amp;"|"&amp;$J46,'Response Mapping'!$C$2:$C$1086,'Response Mapping'!$G$2:$G$1086),"")</f>
        <v>REC-RAI-012-L4</v>
      </c>
      <c r="O46" t="str">
        <f t="shared" si="0"/>
        <v>Yes</v>
      </c>
      <c r="Q46" t="s">
        <v>85</v>
      </c>
      <c r="R46" t="s">
        <v>86</v>
      </c>
    </row>
    <row r="47" spans="1:18" x14ac:dyDescent="0.25">
      <c r="A47" t="s">
        <v>260</v>
      </c>
      <c r="B47" t="s">
        <v>209</v>
      </c>
      <c r="C47" t="s">
        <v>261</v>
      </c>
      <c r="D47" t="s">
        <v>262</v>
      </c>
      <c r="E47" t="s">
        <v>22</v>
      </c>
      <c r="F47" t="s">
        <v>42</v>
      </c>
      <c r="G47" t="s">
        <v>130</v>
      </c>
      <c r="H47" t="s">
        <v>43</v>
      </c>
      <c r="I47" t="s">
        <v>263</v>
      </c>
      <c r="J47" t="s">
        <v>264</v>
      </c>
      <c r="K47">
        <f>IFERROR(_xlfn.XLOOKUP($A47&amp;"|"&amp;$J47,'Response Mapping'!$C$2:$C$1086,'Response Mapping'!$D$2:$D$1086),"")</f>
        <v>3</v>
      </c>
      <c r="L47" t="str">
        <f>IFERROR(_xlfn.XLOOKUP($A47&amp;"|"&amp;$J47,'Response Mapping'!$C$2:$C$1086,'Response Mapping'!$E$2:$E$1086),"")</f>
        <v>Include</v>
      </c>
      <c r="M47" t="str">
        <f>IFERROR(_xlfn.XLOOKUP($A47&amp;"|"&amp;$J47,'Response Mapping'!$C$2:$C$1086,'Response Mapping'!$F$2:$F$1086),"")</f>
        <v>Partial Capability</v>
      </c>
      <c r="N47" t="str">
        <f>IFERROR(_xlfn.XLOOKUP($A47&amp;"|"&amp;$J47,'Response Mapping'!$C$2:$C$1086,'Response Mapping'!$G$2:$G$1086),"")</f>
        <v>REC-RAI-013-L3</v>
      </c>
      <c r="O47" t="str">
        <f t="shared" si="0"/>
        <v>No</v>
      </c>
      <c r="Q47" t="s">
        <v>46</v>
      </c>
      <c r="R47" t="s">
        <v>133</v>
      </c>
    </row>
    <row r="48" spans="1:18" x14ac:dyDescent="0.25">
      <c r="A48" t="s">
        <v>265</v>
      </c>
      <c r="B48" t="s">
        <v>209</v>
      </c>
      <c r="C48" t="s">
        <v>261</v>
      </c>
      <c r="D48" t="s">
        <v>266</v>
      </c>
      <c r="E48" t="s">
        <v>22</v>
      </c>
      <c r="F48" t="s">
        <v>76</v>
      </c>
      <c r="G48" t="s">
        <v>42</v>
      </c>
      <c r="H48" t="s">
        <v>43</v>
      </c>
      <c r="I48" t="s">
        <v>267</v>
      </c>
      <c r="J48" t="s">
        <v>268</v>
      </c>
      <c r="K48">
        <f>IFERROR(_xlfn.XLOOKUP($A48&amp;"|"&amp;$J48,'Response Mapping'!$C$2:$C$1086,'Response Mapping'!$D$2:$D$1086),"")</f>
        <v>3</v>
      </c>
      <c r="L48" t="str">
        <f>IFERROR(_xlfn.XLOOKUP($A48&amp;"|"&amp;$J48,'Response Mapping'!$C$2:$C$1086,'Response Mapping'!$E$2:$E$1086),"")</f>
        <v>Include</v>
      </c>
      <c r="M48" t="str">
        <f>IFERROR(_xlfn.XLOOKUP($A48&amp;"|"&amp;$J48,'Response Mapping'!$C$2:$C$1086,'Response Mapping'!$F$2:$F$1086),"")</f>
        <v>Partial Capability</v>
      </c>
      <c r="N48" t="str">
        <f>IFERROR(_xlfn.XLOOKUP($A48&amp;"|"&amp;$J48,'Response Mapping'!$C$2:$C$1086,'Response Mapping'!$G$2:$G$1086),"")</f>
        <v>REC-RAI-014-L3</v>
      </c>
      <c r="O48" t="str">
        <f t="shared" si="0"/>
        <v>No</v>
      </c>
      <c r="Q48" t="s">
        <v>72</v>
      </c>
      <c r="R48" t="s">
        <v>80</v>
      </c>
    </row>
    <row r="49" spans="1:18" x14ac:dyDescent="0.25">
      <c r="A49" t="s">
        <v>269</v>
      </c>
      <c r="B49" t="s">
        <v>209</v>
      </c>
      <c r="C49" t="s">
        <v>261</v>
      </c>
      <c r="D49" t="s">
        <v>270</v>
      </c>
      <c r="E49" t="s">
        <v>22</v>
      </c>
      <c r="F49" t="s">
        <v>42</v>
      </c>
      <c r="G49" t="s">
        <v>76</v>
      </c>
      <c r="H49" t="s">
        <v>43</v>
      </c>
      <c r="I49" t="s">
        <v>271</v>
      </c>
      <c r="J49" t="s">
        <v>272</v>
      </c>
      <c r="K49">
        <f>IFERROR(_xlfn.XLOOKUP($A49&amp;"|"&amp;$J49,'Response Mapping'!$C$2:$C$1086,'Response Mapping'!$D$2:$D$1086),"")</f>
        <v>2</v>
      </c>
      <c r="L49" t="str">
        <f>IFERROR(_xlfn.XLOOKUP($A49&amp;"|"&amp;$J49,'Response Mapping'!$C$2:$C$1086,'Response Mapping'!$E$2:$E$1086),"")</f>
        <v>Include</v>
      </c>
      <c r="M49" t="str">
        <f>IFERROR(_xlfn.XLOOKUP($A49&amp;"|"&amp;$J49,'Response Mapping'!$C$2:$C$1086,'Response Mapping'!$F$2:$F$1086),"")</f>
        <v>Untracked Consent</v>
      </c>
      <c r="N49" t="str">
        <f>IFERROR(_xlfn.XLOOKUP($A49&amp;"|"&amp;$J49,'Response Mapping'!$C$2:$C$1086,'Response Mapping'!$G$2:$G$1086),"")</f>
        <v>REC-RAI-015-L1</v>
      </c>
      <c r="O49" t="str">
        <f t="shared" si="0"/>
        <v>No</v>
      </c>
      <c r="Q49" t="s">
        <v>46</v>
      </c>
      <c r="R49" t="s">
        <v>80</v>
      </c>
    </row>
    <row r="50" spans="1:18" x14ac:dyDescent="0.25">
      <c r="A50" t="s">
        <v>273</v>
      </c>
      <c r="B50" t="s">
        <v>209</v>
      </c>
      <c r="C50" t="s">
        <v>261</v>
      </c>
      <c r="D50" t="s">
        <v>274</v>
      </c>
      <c r="E50" t="s">
        <v>22</v>
      </c>
      <c r="F50" t="s">
        <v>69</v>
      </c>
      <c r="G50" t="s">
        <v>42</v>
      </c>
      <c r="H50" t="s">
        <v>43</v>
      </c>
      <c r="I50" t="s">
        <v>275</v>
      </c>
      <c r="J50" t="s">
        <v>276</v>
      </c>
      <c r="K50">
        <f>IFERROR(_xlfn.XLOOKUP($A50&amp;"|"&amp;$J50,'Response Mapping'!$C$2:$C$1086,'Response Mapping'!$D$2:$D$1086),"")</f>
        <v>4</v>
      </c>
      <c r="L50" t="str">
        <f>IFERROR(_xlfn.XLOOKUP($A50&amp;"|"&amp;$J50,'Response Mapping'!$C$2:$C$1086,'Response Mapping'!$E$2:$E$1086),"")</f>
        <v>Include</v>
      </c>
      <c r="M50" t="str">
        <f>IFERROR(_xlfn.XLOOKUP($A50&amp;"|"&amp;$J50,'Response Mapping'!$C$2:$C$1086,'Response Mapping'!$F$2:$F$1086),"")</f>
        <v>Mature Capability</v>
      </c>
      <c r="N50" t="str">
        <f>IFERROR(_xlfn.XLOOKUP($A50&amp;"|"&amp;$J50,'Response Mapping'!$C$2:$C$1086,'Response Mapping'!$G$2:$G$1086),"")</f>
        <v>REC-RAI-016-L4</v>
      </c>
      <c r="O50" t="str">
        <f t="shared" si="0"/>
        <v>Yes</v>
      </c>
      <c r="Q50" t="s">
        <v>79</v>
      </c>
      <c r="R50" t="s">
        <v>199</v>
      </c>
    </row>
    <row r="51" spans="1:18" x14ac:dyDescent="0.25">
      <c r="A51" t="s">
        <v>277</v>
      </c>
      <c r="B51" t="s">
        <v>278</v>
      </c>
      <c r="C51" t="s">
        <v>279</v>
      </c>
      <c r="D51" t="s">
        <v>280</v>
      </c>
      <c r="E51" t="s">
        <v>22</v>
      </c>
      <c r="F51" t="s">
        <v>130</v>
      </c>
      <c r="G51" t="s">
        <v>41</v>
      </c>
      <c r="H51" t="s">
        <v>43</v>
      </c>
      <c r="I51" t="s">
        <v>281</v>
      </c>
      <c r="J51" t="s">
        <v>282</v>
      </c>
      <c r="K51">
        <f>IFERROR(_xlfn.XLOOKUP($A51&amp;"|"&amp;$J51,'Response Mapping'!$C$2:$C$1086,'Response Mapping'!$D$2:$D$1086),"")</f>
        <v>4</v>
      </c>
      <c r="L51" t="str">
        <f>IFERROR(_xlfn.XLOOKUP($A51&amp;"|"&amp;$J51,'Response Mapping'!$C$2:$C$1086,'Response Mapping'!$E$2:$E$1086),"")</f>
        <v>Include</v>
      </c>
      <c r="M51" t="str">
        <f>IFERROR(_xlfn.XLOOKUP($A51&amp;"|"&amp;$J51,'Response Mapping'!$C$2:$C$1086,'Response Mapping'!$F$2:$F$1086),"")</f>
        <v>Mature Capability</v>
      </c>
      <c r="N51" t="str">
        <f>IFERROR(_xlfn.XLOOKUP($A51&amp;"|"&amp;$J51,'Response Mapping'!$C$2:$C$1086,'Response Mapping'!$G$2:$G$1086),"")</f>
        <v>REC-PMF-001-L4</v>
      </c>
      <c r="O51" t="str">
        <f t="shared" si="0"/>
        <v>Yes</v>
      </c>
      <c r="Q51" t="s">
        <v>79</v>
      </c>
      <c r="R51" t="s">
        <v>199</v>
      </c>
    </row>
    <row r="52" spans="1:18" x14ac:dyDescent="0.25">
      <c r="A52" t="s">
        <v>283</v>
      </c>
      <c r="B52" t="s">
        <v>278</v>
      </c>
      <c r="C52" t="s">
        <v>279</v>
      </c>
      <c r="D52" t="s">
        <v>284</v>
      </c>
      <c r="E52" t="s">
        <v>22</v>
      </c>
      <c r="F52" t="s">
        <v>130</v>
      </c>
      <c r="G52" t="s">
        <v>89</v>
      </c>
      <c r="H52" t="s">
        <v>43</v>
      </c>
      <c r="I52" t="s">
        <v>285</v>
      </c>
      <c r="J52" t="s">
        <v>286</v>
      </c>
      <c r="K52">
        <f>IFERROR(_xlfn.XLOOKUP($A52&amp;"|"&amp;$J52,'Response Mapping'!$C$2:$C$1086,'Response Mapping'!$D$2:$D$1086),"")</f>
        <v>3</v>
      </c>
      <c r="L52" t="str">
        <f>IFERROR(_xlfn.XLOOKUP($A52&amp;"|"&amp;$J52,'Response Mapping'!$C$2:$C$1086,'Response Mapping'!$E$2:$E$1086),"")</f>
        <v>Include</v>
      </c>
      <c r="M52" t="str">
        <f>IFERROR(_xlfn.XLOOKUP($A52&amp;"|"&amp;$J52,'Response Mapping'!$C$2:$C$1086,'Response Mapping'!$F$2:$F$1086),"")</f>
        <v>Partial Capability</v>
      </c>
      <c r="N52" t="str">
        <f>IFERROR(_xlfn.XLOOKUP($A52&amp;"|"&amp;$J52,'Response Mapping'!$C$2:$C$1086,'Response Mapping'!$G$2:$G$1086),"")</f>
        <v>REC-PMF-002-L3</v>
      </c>
      <c r="O52" t="str">
        <f t="shared" si="0"/>
        <v>No</v>
      </c>
      <c r="Q52" t="s">
        <v>79</v>
      </c>
      <c r="R52" t="s">
        <v>199</v>
      </c>
    </row>
    <row r="53" spans="1:18" x14ac:dyDescent="0.25">
      <c r="A53" t="s">
        <v>287</v>
      </c>
      <c r="B53" t="s">
        <v>278</v>
      </c>
      <c r="C53" t="s">
        <v>279</v>
      </c>
      <c r="D53" t="s">
        <v>288</v>
      </c>
      <c r="E53" t="s">
        <v>22</v>
      </c>
      <c r="F53" t="s">
        <v>130</v>
      </c>
      <c r="G53" t="s">
        <v>136</v>
      </c>
      <c r="H53" t="s">
        <v>43</v>
      </c>
      <c r="I53" t="s">
        <v>289</v>
      </c>
      <c r="J53" t="s">
        <v>290</v>
      </c>
      <c r="K53">
        <f>IFERROR(_xlfn.XLOOKUP($A53&amp;"|"&amp;$J53,'Response Mapping'!$C$2:$C$1086,'Response Mapping'!$D$2:$D$1086),"")</f>
        <v>3</v>
      </c>
      <c r="L53" t="str">
        <f>IFERROR(_xlfn.XLOOKUP($A53&amp;"|"&amp;$J53,'Response Mapping'!$C$2:$C$1086,'Response Mapping'!$E$2:$E$1086),"")</f>
        <v>Include</v>
      </c>
      <c r="M53" t="str">
        <f>IFERROR(_xlfn.XLOOKUP($A53&amp;"|"&amp;$J53,'Response Mapping'!$C$2:$C$1086,'Response Mapping'!$F$2:$F$1086),"")</f>
        <v>Partial Capability</v>
      </c>
      <c r="N53" t="str">
        <f>IFERROR(_xlfn.XLOOKUP($A53&amp;"|"&amp;$J53,'Response Mapping'!$C$2:$C$1086,'Response Mapping'!$G$2:$G$1086),"")</f>
        <v>REC-PMF-003-L3</v>
      </c>
      <c r="O53" t="str">
        <f t="shared" si="0"/>
        <v>No</v>
      </c>
      <c r="Q53" t="s">
        <v>79</v>
      </c>
      <c r="R53" t="s">
        <v>199</v>
      </c>
    </row>
    <row r="54" spans="1:18" x14ac:dyDescent="0.25">
      <c r="A54" t="s">
        <v>291</v>
      </c>
      <c r="B54" t="s">
        <v>278</v>
      </c>
      <c r="C54" t="s">
        <v>279</v>
      </c>
      <c r="D54" t="s">
        <v>292</v>
      </c>
      <c r="E54" t="s">
        <v>22</v>
      </c>
      <c r="F54" t="s">
        <v>130</v>
      </c>
      <c r="G54" t="s">
        <v>41</v>
      </c>
      <c r="H54" t="s">
        <v>43</v>
      </c>
      <c r="I54" t="s">
        <v>293</v>
      </c>
      <c r="J54" t="s">
        <v>294</v>
      </c>
      <c r="K54">
        <f>IFERROR(_xlfn.XLOOKUP($A54&amp;"|"&amp;$J54,'Response Mapping'!$C$2:$C$1086,'Response Mapping'!$D$2:$D$1086),"")</f>
        <v>3</v>
      </c>
      <c r="L54" t="str">
        <f>IFERROR(_xlfn.XLOOKUP($A54&amp;"|"&amp;$J54,'Response Mapping'!$C$2:$C$1086,'Response Mapping'!$E$2:$E$1086),"")</f>
        <v>Include</v>
      </c>
      <c r="M54" t="str">
        <f>IFERROR(_xlfn.XLOOKUP($A54&amp;"|"&amp;$J54,'Response Mapping'!$C$2:$C$1086,'Response Mapping'!$F$2:$F$1086),"")</f>
        <v>Partial Capability</v>
      </c>
      <c r="N54" t="str">
        <f>IFERROR(_xlfn.XLOOKUP($A54&amp;"|"&amp;$J54,'Response Mapping'!$C$2:$C$1086,'Response Mapping'!$G$2:$G$1086),"")</f>
        <v>REC-PMF-004-L3</v>
      </c>
      <c r="O54" t="str">
        <f t="shared" ref="O54:O112" si="1">IF($K54="","",IF($K54&gt;=4,"Yes","No"))</f>
        <v>No</v>
      </c>
      <c r="Q54" t="s">
        <v>79</v>
      </c>
      <c r="R54" t="s">
        <v>199</v>
      </c>
    </row>
    <row r="55" spans="1:18" x14ac:dyDescent="0.25">
      <c r="A55" t="s">
        <v>295</v>
      </c>
      <c r="B55" t="s">
        <v>278</v>
      </c>
      <c r="C55" t="s">
        <v>296</v>
      </c>
      <c r="D55" t="s">
        <v>297</v>
      </c>
      <c r="E55" t="s">
        <v>22</v>
      </c>
      <c r="F55" t="s">
        <v>76</v>
      </c>
      <c r="G55" t="s">
        <v>89</v>
      </c>
      <c r="H55" t="s">
        <v>43</v>
      </c>
      <c r="I55" t="s">
        <v>298</v>
      </c>
      <c r="J55" t="s">
        <v>299</v>
      </c>
      <c r="K55">
        <f>IFERROR(_xlfn.XLOOKUP($A55&amp;"|"&amp;$J55,'Response Mapping'!$C$2:$C$1086,'Response Mapping'!$D$2:$D$1086),"")</f>
        <v>2</v>
      </c>
      <c r="L55" t="str">
        <f>IFERROR(_xlfn.XLOOKUP($A55&amp;"|"&amp;$J55,'Response Mapping'!$C$2:$C$1086,'Response Mapping'!$E$2:$E$1086),"")</f>
        <v>Include</v>
      </c>
      <c r="M55" t="str">
        <f>IFERROR(_xlfn.XLOOKUP($A55&amp;"|"&amp;$J55,'Response Mapping'!$C$2:$C$1086,'Response Mapping'!$F$2:$F$1086),"")</f>
        <v>Informal Eval</v>
      </c>
      <c r="N55" t="str">
        <f>IFERROR(_xlfn.XLOOKUP($A55&amp;"|"&amp;$J55,'Response Mapping'!$C$2:$C$1086,'Response Mapping'!$G$2:$G$1086),"")</f>
        <v>REC-PMF-005-L1</v>
      </c>
      <c r="O55" t="str">
        <f t="shared" si="1"/>
        <v>No</v>
      </c>
      <c r="Q55" t="s">
        <v>79</v>
      </c>
      <c r="R55" t="s">
        <v>199</v>
      </c>
    </row>
    <row r="56" spans="1:18" x14ac:dyDescent="0.25">
      <c r="A56" t="s">
        <v>300</v>
      </c>
      <c r="B56" t="s">
        <v>278</v>
      </c>
      <c r="C56" t="s">
        <v>296</v>
      </c>
      <c r="D56" t="s">
        <v>301</v>
      </c>
      <c r="E56" t="s">
        <v>22</v>
      </c>
      <c r="F56" t="s">
        <v>89</v>
      </c>
      <c r="G56" t="s">
        <v>69</v>
      </c>
      <c r="H56" t="s">
        <v>43</v>
      </c>
      <c r="I56" t="s">
        <v>302</v>
      </c>
      <c r="J56" t="s">
        <v>303</v>
      </c>
      <c r="K56">
        <f>IFERROR(_xlfn.XLOOKUP($A56&amp;"|"&amp;$J56,'Response Mapping'!$C$2:$C$1086,'Response Mapping'!$D$2:$D$1086),"")</f>
        <v>2</v>
      </c>
      <c r="L56" t="str">
        <f>IFERROR(_xlfn.XLOOKUP($A56&amp;"|"&amp;$J56,'Response Mapping'!$C$2:$C$1086,'Response Mapping'!$E$2:$E$1086),"")</f>
        <v>Include</v>
      </c>
      <c r="M56" t="str">
        <f>IFERROR(_xlfn.XLOOKUP($A56&amp;"|"&amp;$J56,'Response Mapping'!$C$2:$C$1086,'Response Mapping'!$F$2:$F$1086),"")</f>
        <v>Untied Monitoring</v>
      </c>
      <c r="N56" t="str">
        <f>IFERROR(_xlfn.XLOOKUP($A56&amp;"|"&amp;$J56,'Response Mapping'!$C$2:$C$1086,'Response Mapping'!$G$2:$G$1086),"")</f>
        <v>REC-PMF-006-L1</v>
      </c>
      <c r="O56" t="str">
        <f t="shared" si="1"/>
        <v>No</v>
      </c>
      <c r="Q56" t="s">
        <v>79</v>
      </c>
      <c r="R56" t="s">
        <v>199</v>
      </c>
    </row>
    <row r="57" spans="1:18" x14ac:dyDescent="0.25">
      <c r="A57" t="s">
        <v>304</v>
      </c>
      <c r="B57" t="s">
        <v>278</v>
      </c>
      <c r="C57" t="s">
        <v>296</v>
      </c>
      <c r="D57" t="s">
        <v>305</v>
      </c>
      <c r="E57" t="s">
        <v>22</v>
      </c>
      <c r="F57" t="s">
        <v>76</v>
      </c>
      <c r="G57" t="s">
        <v>89</v>
      </c>
      <c r="H57" t="s">
        <v>43</v>
      </c>
      <c r="I57" t="s">
        <v>306</v>
      </c>
      <c r="J57" t="s">
        <v>307</v>
      </c>
      <c r="K57">
        <f>IFERROR(_xlfn.XLOOKUP($A57&amp;"|"&amp;$J57,'Response Mapping'!$C$2:$C$1086,'Response Mapping'!$D$2:$D$1086),"")</f>
        <v>2</v>
      </c>
      <c r="L57" t="str">
        <f>IFERROR(_xlfn.XLOOKUP($A57&amp;"|"&amp;$J57,'Response Mapping'!$C$2:$C$1086,'Response Mapping'!$E$2:$E$1086),"")</f>
        <v>Include</v>
      </c>
      <c r="M57" t="str">
        <f>IFERROR(_xlfn.XLOOKUP($A57&amp;"|"&amp;$J57,'Response Mapping'!$C$2:$C$1086,'Response Mapping'!$F$2:$F$1086),"")</f>
        <v>Reactive Quality Review</v>
      </c>
      <c r="N57" t="str">
        <f>IFERROR(_xlfn.XLOOKUP($A57&amp;"|"&amp;$J57,'Response Mapping'!$C$2:$C$1086,'Response Mapping'!$G$2:$G$1086),"")</f>
        <v>REC-PMF-007-L1</v>
      </c>
      <c r="O57" t="str">
        <f t="shared" si="1"/>
        <v>No</v>
      </c>
      <c r="Q57" t="s">
        <v>79</v>
      </c>
      <c r="R57" t="s">
        <v>199</v>
      </c>
    </row>
    <row r="58" spans="1:18" x14ac:dyDescent="0.25">
      <c r="A58" t="s">
        <v>308</v>
      </c>
      <c r="B58" t="s">
        <v>278</v>
      </c>
      <c r="C58" t="s">
        <v>296</v>
      </c>
      <c r="D58" t="s">
        <v>309</v>
      </c>
      <c r="E58" t="s">
        <v>22</v>
      </c>
      <c r="F58" t="s">
        <v>76</v>
      </c>
      <c r="G58" t="s">
        <v>89</v>
      </c>
      <c r="H58" t="s">
        <v>43</v>
      </c>
      <c r="I58" t="s">
        <v>310</v>
      </c>
      <c r="J58" t="s">
        <v>311</v>
      </c>
      <c r="K58">
        <f>IFERROR(_xlfn.XLOOKUP($A58&amp;"|"&amp;$J58,'Response Mapping'!$C$2:$C$1086,'Response Mapping'!$D$2:$D$1086),"")</f>
        <v>2</v>
      </c>
      <c r="L58" t="str">
        <f>IFERROR(_xlfn.XLOOKUP($A58&amp;"|"&amp;$J58,'Response Mapping'!$C$2:$C$1086,'Response Mapping'!$E$2:$E$1086),"")</f>
        <v>Include</v>
      </c>
      <c r="M58" t="str">
        <f>IFERROR(_xlfn.XLOOKUP($A58&amp;"|"&amp;$J58,'Response Mapping'!$C$2:$C$1086,'Response Mapping'!$F$2:$F$1086),"")</f>
        <v>Calendar-Only Retraining</v>
      </c>
      <c r="N58" t="str">
        <f>IFERROR(_xlfn.XLOOKUP($A58&amp;"|"&amp;$J58,'Response Mapping'!$C$2:$C$1086,'Response Mapping'!$G$2:$G$1086),"")</f>
        <v>REC-PMF-008-L1</v>
      </c>
      <c r="O58" t="str">
        <f t="shared" si="1"/>
        <v>No</v>
      </c>
      <c r="Q58" t="s">
        <v>79</v>
      </c>
      <c r="R58" t="s">
        <v>199</v>
      </c>
    </row>
    <row r="59" spans="1:18" x14ac:dyDescent="0.25">
      <c r="A59" t="s">
        <v>312</v>
      </c>
      <c r="B59" t="s">
        <v>278</v>
      </c>
      <c r="C59" t="s">
        <v>313</v>
      </c>
      <c r="D59" t="s">
        <v>314</v>
      </c>
      <c r="E59" t="s">
        <v>22</v>
      </c>
      <c r="F59" t="s">
        <v>69</v>
      </c>
      <c r="G59" t="s">
        <v>130</v>
      </c>
      <c r="H59" t="s">
        <v>43</v>
      </c>
      <c r="I59" t="s">
        <v>315</v>
      </c>
      <c r="J59" t="s">
        <v>316</v>
      </c>
      <c r="K59">
        <f>IFERROR(_xlfn.XLOOKUP($A59&amp;"|"&amp;$J59,'Response Mapping'!$C$2:$C$1086,'Response Mapping'!$D$2:$D$1086),"")</f>
        <v>2</v>
      </c>
      <c r="L59" t="str">
        <f>IFERROR(_xlfn.XLOOKUP($A59&amp;"|"&amp;$J59,'Response Mapping'!$C$2:$C$1086,'Response Mapping'!$E$2:$E$1086),"")</f>
        <v>Include</v>
      </c>
      <c r="M59" t="str">
        <f>IFERROR(_xlfn.XLOOKUP($A59&amp;"|"&amp;$J59,'Response Mapping'!$C$2:$C$1086,'Response Mapping'!$F$2:$F$1086),"")</f>
        <v>Coarse Cost Tracking</v>
      </c>
      <c r="N59" t="str">
        <f>IFERROR(_xlfn.XLOOKUP($A59&amp;"|"&amp;$J59,'Response Mapping'!$C$2:$C$1086,'Response Mapping'!$G$2:$G$1086),"")</f>
        <v>REC-PMF-009-L1</v>
      </c>
      <c r="O59" t="str">
        <f t="shared" si="1"/>
        <v>No</v>
      </c>
      <c r="Q59" t="s">
        <v>79</v>
      </c>
      <c r="R59" t="s">
        <v>199</v>
      </c>
    </row>
    <row r="60" spans="1:18" x14ac:dyDescent="0.25">
      <c r="A60" t="s">
        <v>317</v>
      </c>
      <c r="B60" t="s">
        <v>278</v>
      </c>
      <c r="C60" t="s">
        <v>313</v>
      </c>
      <c r="D60" t="s">
        <v>318</v>
      </c>
      <c r="E60" t="s">
        <v>22</v>
      </c>
      <c r="F60" t="s">
        <v>69</v>
      </c>
      <c r="G60" t="s">
        <v>89</v>
      </c>
      <c r="H60" t="s">
        <v>43</v>
      </c>
      <c r="I60" t="s">
        <v>319</v>
      </c>
      <c r="J60" t="s">
        <v>320</v>
      </c>
      <c r="K60">
        <f>IFERROR(_xlfn.XLOOKUP($A60&amp;"|"&amp;$J60,'Response Mapping'!$C$2:$C$1086,'Response Mapping'!$D$2:$D$1086),"")</f>
        <v>3</v>
      </c>
      <c r="L60" t="str">
        <f>IFERROR(_xlfn.XLOOKUP($A60&amp;"|"&amp;$J60,'Response Mapping'!$C$2:$C$1086,'Response Mapping'!$E$2:$E$1086),"")</f>
        <v>Include</v>
      </c>
      <c r="M60" t="str">
        <f>IFERROR(_xlfn.XLOOKUP($A60&amp;"|"&amp;$J60,'Response Mapping'!$C$2:$C$1086,'Response Mapping'!$F$2:$F$1086),"")</f>
        <v>Partial Capability</v>
      </c>
      <c r="N60" t="str">
        <f>IFERROR(_xlfn.XLOOKUP($A60&amp;"|"&amp;$J60,'Response Mapping'!$C$2:$C$1086,'Response Mapping'!$G$2:$G$1086),"")</f>
        <v>REC-PMF-010-L3</v>
      </c>
      <c r="O60" t="str">
        <f t="shared" si="1"/>
        <v>No</v>
      </c>
      <c r="Q60" t="s">
        <v>79</v>
      </c>
      <c r="R60" t="s">
        <v>199</v>
      </c>
    </row>
    <row r="61" spans="1:18" x14ac:dyDescent="0.25">
      <c r="A61" t="s">
        <v>321</v>
      </c>
      <c r="B61" t="s">
        <v>278</v>
      </c>
      <c r="C61" t="s">
        <v>313</v>
      </c>
      <c r="D61" t="s">
        <v>322</v>
      </c>
      <c r="E61" t="s">
        <v>22</v>
      </c>
      <c r="F61" t="s">
        <v>69</v>
      </c>
      <c r="G61" t="s">
        <v>130</v>
      </c>
      <c r="H61" t="s">
        <v>43</v>
      </c>
      <c r="I61" t="s">
        <v>323</v>
      </c>
      <c r="J61" t="s">
        <v>324</v>
      </c>
      <c r="K61">
        <f>IFERROR(_xlfn.XLOOKUP($A61&amp;"|"&amp;$J61,'Response Mapping'!$C$2:$C$1086,'Response Mapping'!$D$2:$D$1086),"")</f>
        <v>3</v>
      </c>
      <c r="L61" t="str">
        <f>IFERROR(_xlfn.XLOOKUP($A61&amp;"|"&amp;$J61,'Response Mapping'!$C$2:$C$1086,'Response Mapping'!$E$2:$E$1086),"")</f>
        <v>Include</v>
      </c>
      <c r="M61" t="str">
        <f>IFERROR(_xlfn.XLOOKUP($A61&amp;"|"&amp;$J61,'Response Mapping'!$C$2:$C$1086,'Response Mapping'!$F$2:$F$1086),"")</f>
        <v>Partial Capability</v>
      </c>
      <c r="N61" t="str">
        <f>IFERROR(_xlfn.XLOOKUP($A61&amp;"|"&amp;$J61,'Response Mapping'!$C$2:$C$1086,'Response Mapping'!$G$2:$G$1086),"")</f>
        <v>REC-PMF-011-L3</v>
      </c>
      <c r="O61" t="str">
        <f t="shared" si="1"/>
        <v>No</v>
      </c>
      <c r="Q61" t="s">
        <v>46</v>
      </c>
      <c r="R61" t="s">
        <v>164</v>
      </c>
    </row>
    <row r="62" spans="1:18" x14ac:dyDescent="0.25">
      <c r="A62" t="s">
        <v>325</v>
      </c>
      <c r="B62" t="s">
        <v>278</v>
      </c>
      <c r="C62" t="s">
        <v>313</v>
      </c>
      <c r="D62" t="s">
        <v>326</v>
      </c>
      <c r="E62" t="s">
        <v>22</v>
      </c>
      <c r="F62" t="s">
        <v>69</v>
      </c>
      <c r="G62" t="s">
        <v>42</v>
      </c>
      <c r="H62" t="s">
        <v>43</v>
      </c>
      <c r="I62" t="s">
        <v>327</v>
      </c>
      <c r="J62" t="s">
        <v>328</v>
      </c>
      <c r="K62">
        <f>IFERROR(_xlfn.XLOOKUP($A62&amp;"|"&amp;$J62,'Response Mapping'!$C$2:$C$1086,'Response Mapping'!$D$2:$D$1086),"")</f>
        <v>4</v>
      </c>
      <c r="L62" t="str">
        <f>IFERROR(_xlfn.XLOOKUP($A62&amp;"|"&amp;$J62,'Response Mapping'!$C$2:$C$1086,'Response Mapping'!$E$2:$E$1086),"")</f>
        <v>Include</v>
      </c>
      <c r="M62" t="str">
        <f>IFERROR(_xlfn.XLOOKUP($A62&amp;"|"&amp;$J62,'Response Mapping'!$C$2:$C$1086,'Response Mapping'!$F$2:$F$1086),"")</f>
        <v>Mature Capability</v>
      </c>
      <c r="N62" t="str">
        <f>IFERROR(_xlfn.XLOOKUP($A62&amp;"|"&amp;$J62,'Response Mapping'!$C$2:$C$1086,'Response Mapping'!$G$2:$G$1086),"")</f>
        <v>REC-PMF-012-L4</v>
      </c>
      <c r="O62" t="str">
        <f t="shared" si="1"/>
        <v>Yes</v>
      </c>
      <c r="Q62" t="s">
        <v>79</v>
      </c>
      <c r="R62" t="s">
        <v>199</v>
      </c>
    </row>
    <row r="63" spans="1:18" x14ac:dyDescent="0.25">
      <c r="A63" t="s">
        <v>329</v>
      </c>
      <c r="B63" t="s">
        <v>278</v>
      </c>
      <c r="C63" t="s">
        <v>330</v>
      </c>
      <c r="D63" t="s">
        <v>331</v>
      </c>
      <c r="E63" t="s">
        <v>22</v>
      </c>
      <c r="F63" t="s">
        <v>42</v>
      </c>
      <c r="G63" t="s">
        <v>76</v>
      </c>
      <c r="H63" t="s">
        <v>43</v>
      </c>
      <c r="I63" t="s">
        <v>332</v>
      </c>
      <c r="J63" t="s">
        <v>333</v>
      </c>
      <c r="K63">
        <f>IFERROR(_xlfn.XLOOKUP($A63&amp;"|"&amp;$J63,'Response Mapping'!$C$2:$C$1086,'Response Mapping'!$D$2:$D$1086),"")</f>
        <v>2</v>
      </c>
      <c r="L63" t="str">
        <f>IFERROR(_xlfn.XLOOKUP($A63&amp;"|"&amp;$J63,'Response Mapping'!$C$2:$C$1086,'Response Mapping'!$E$2:$E$1086),"")</f>
        <v>Include</v>
      </c>
      <c r="M63" t="str">
        <f>IFERROR(_xlfn.XLOOKUP($A63&amp;"|"&amp;$J63,'Response Mapping'!$C$2:$C$1086,'Response Mapping'!$F$2:$F$1086),"")</f>
        <v>Unreported Fairness Data</v>
      </c>
      <c r="N63" t="str">
        <f>IFERROR(_xlfn.XLOOKUP($A63&amp;"|"&amp;$J63,'Response Mapping'!$C$2:$C$1086,'Response Mapping'!$G$2:$G$1086),"")</f>
        <v>REC-PMF-013-L1</v>
      </c>
      <c r="O63" t="str">
        <f t="shared" si="1"/>
        <v>No</v>
      </c>
      <c r="Q63" t="s">
        <v>79</v>
      </c>
      <c r="R63" t="s">
        <v>199</v>
      </c>
    </row>
    <row r="64" spans="1:18" x14ac:dyDescent="0.25">
      <c r="A64" t="s">
        <v>334</v>
      </c>
      <c r="B64" t="s">
        <v>278</v>
      </c>
      <c r="C64" t="s">
        <v>330</v>
      </c>
      <c r="D64" t="s">
        <v>335</v>
      </c>
      <c r="E64" t="s">
        <v>22</v>
      </c>
      <c r="F64" t="s">
        <v>42</v>
      </c>
      <c r="G64" t="s">
        <v>130</v>
      </c>
      <c r="H64" t="s">
        <v>43</v>
      </c>
      <c r="I64" t="s">
        <v>336</v>
      </c>
      <c r="J64" t="s">
        <v>337</v>
      </c>
      <c r="K64">
        <f>IFERROR(_xlfn.XLOOKUP($A64&amp;"|"&amp;$J64,'Response Mapping'!$C$2:$C$1086,'Response Mapping'!$D$2:$D$1086),"")</f>
        <v>3</v>
      </c>
      <c r="L64" t="str">
        <f>IFERROR(_xlfn.XLOOKUP($A64&amp;"|"&amp;$J64,'Response Mapping'!$C$2:$C$1086,'Response Mapping'!$E$2:$E$1086),"")</f>
        <v>Include</v>
      </c>
      <c r="M64" t="str">
        <f>IFERROR(_xlfn.XLOOKUP($A64&amp;"|"&amp;$J64,'Response Mapping'!$C$2:$C$1086,'Response Mapping'!$F$2:$F$1086),"")</f>
        <v>Partial Capability</v>
      </c>
      <c r="N64" t="str">
        <f>IFERROR(_xlfn.XLOOKUP($A64&amp;"|"&amp;$J64,'Response Mapping'!$C$2:$C$1086,'Response Mapping'!$G$2:$G$1086),"")</f>
        <v>REC-PMF-014-L3</v>
      </c>
      <c r="O64" t="str">
        <f t="shared" si="1"/>
        <v>No</v>
      </c>
      <c r="Q64" t="s">
        <v>79</v>
      </c>
      <c r="R64" t="s">
        <v>199</v>
      </c>
    </row>
    <row r="65" spans="1:18" x14ac:dyDescent="0.25">
      <c r="A65" t="s">
        <v>338</v>
      </c>
      <c r="B65" t="s">
        <v>278</v>
      </c>
      <c r="C65" t="s">
        <v>330</v>
      </c>
      <c r="D65" t="s">
        <v>339</v>
      </c>
      <c r="E65" t="s">
        <v>22</v>
      </c>
      <c r="F65" t="s">
        <v>42</v>
      </c>
      <c r="G65" t="s">
        <v>69</v>
      </c>
      <c r="H65" t="s">
        <v>43</v>
      </c>
      <c r="I65" t="s">
        <v>340</v>
      </c>
      <c r="J65" t="s">
        <v>341</v>
      </c>
      <c r="K65">
        <f>IFERROR(_xlfn.XLOOKUP($A65&amp;"|"&amp;$J65,'Response Mapping'!$C$2:$C$1086,'Response Mapping'!$D$2:$D$1086),"")</f>
        <v>2</v>
      </c>
      <c r="L65" t="str">
        <f>IFERROR(_xlfn.XLOOKUP($A65&amp;"|"&amp;$J65,'Response Mapping'!$C$2:$C$1086,'Response Mapping'!$E$2:$E$1086),"")</f>
        <v>Include</v>
      </c>
      <c r="M65" t="str">
        <f>IFERROR(_xlfn.XLOOKUP($A65&amp;"|"&amp;$J65,'Response Mapping'!$C$2:$C$1086,'Response Mapping'!$F$2:$F$1086),"")</f>
        <v>High-Effort Audit</v>
      </c>
      <c r="N65" t="str">
        <f>IFERROR(_xlfn.XLOOKUP($A65&amp;"|"&amp;$J65,'Response Mapping'!$C$2:$C$1086,'Response Mapping'!$G$2:$G$1086),"")</f>
        <v>REC-PMF-015-L1</v>
      </c>
      <c r="O65" t="str">
        <f t="shared" si="1"/>
        <v>No</v>
      </c>
      <c r="Q65" t="s">
        <v>46</v>
      </c>
      <c r="R65" t="s">
        <v>342</v>
      </c>
    </row>
    <row r="66" spans="1:18" x14ac:dyDescent="0.25">
      <c r="A66" t="s">
        <v>343</v>
      </c>
      <c r="B66" t="s">
        <v>278</v>
      </c>
      <c r="C66" t="s">
        <v>330</v>
      </c>
      <c r="D66" t="s">
        <v>344</v>
      </c>
      <c r="E66" t="s">
        <v>22</v>
      </c>
      <c r="F66" t="s">
        <v>42</v>
      </c>
      <c r="G66" t="s">
        <v>89</v>
      </c>
      <c r="H66" t="s">
        <v>43</v>
      </c>
      <c r="I66" t="s">
        <v>345</v>
      </c>
      <c r="J66" t="s">
        <v>346</v>
      </c>
      <c r="K66">
        <f>IFERROR(_xlfn.XLOOKUP($A66&amp;"|"&amp;$J66,'Response Mapping'!$C$2:$C$1086,'Response Mapping'!$D$2:$D$1086),"")</f>
        <v>4</v>
      </c>
      <c r="L66" t="str">
        <f>IFERROR(_xlfn.XLOOKUP($A66&amp;"|"&amp;$J66,'Response Mapping'!$C$2:$C$1086,'Response Mapping'!$E$2:$E$1086),"")</f>
        <v>Include</v>
      </c>
      <c r="M66" t="str">
        <f>IFERROR(_xlfn.XLOOKUP($A66&amp;"|"&amp;$J66,'Response Mapping'!$C$2:$C$1086,'Response Mapping'!$F$2:$F$1086),"")</f>
        <v>Mature Capability</v>
      </c>
      <c r="N66" t="str">
        <f>IFERROR(_xlfn.XLOOKUP($A66&amp;"|"&amp;$J66,'Response Mapping'!$C$2:$C$1086,'Response Mapping'!$G$2:$G$1086),"")</f>
        <v>REC-PMF-016-L4</v>
      </c>
      <c r="O66" t="str">
        <f t="shared" si="1"/>
        <v>Yes</v>
      </c>
      <c r="Q66" t="s">
        <v>46</v>
      </c>
      <c r="R66" t="s">
        <v>92</v>
      </c>
    </row>
    <row r="67" spans="1:18" x14ac:dyDescent="0.25">
      <c r="A67" t="s">
        <v>347</v>
      </c>
      <c r="B67" t="s">
        <v>348</v>
      </c>
      <c r="C67" t="s">
        <v>349</v>
      </c>
      <c r="D67" t="s">
        <v>350</v>
      </c>
      <c r="E67" t="s">
        <v>22</v>
      </c>
      <c r="F67" t="s">
        <v>41</v>
      </c>
      <c r="G67" t="s">
        <v>130</v>
      </c>
      <c r="H67" t="s">
        <v>43</v>
      </c>
      <c r="I67" t="s">
        <v>351</v>
      </c>
      <c r="J67" t="s">
        <v>352</v>
      </c>
      <c r="K67">
        <f>IFERROR(_xlfn.XLOOKUP($A67&amp;"|"&amp;$J67,'Response Mapping'!$C$2:$C$1086,'Response Mapping'!$D$2:$D$1086),"")</f>
        <v>1</v>
      </c>
      <c r="L67" t="str">
        <f>IFERROR(_xlfn.XLOOKUP($A67&amp;"|"&amp;$J67,'Response Mapping'!$C$2:$C$1086,'Response Mapping'!$E$2:$E$1086),"")</f>
        <v>Include</v>
      </c>
      <c r="M67" t="str">
        <f>IFERROR(_xlfn.XLOOKUP($A67&amp;"|"&amp;$J67,'Response Mapping'!$C$2:$C$1086,'Response Mapping'!$F$2:$F$1086),"")</f>
        <v>Operating Model Gap</v>
      </c>
      <c r="N67" t="str">
        <f>IFERROR(_xlfn.XLOOKUP($A67&amp;"|"&amp;$J67,'Response Mapping'!$C$2:$C$1086,'Response Mapping'!$G$2:$G$1086),"")</f>
        <v>REC-AOM-001-L1</v>
      </c>
      <c r="O67" t="str">
        <f t="shared" si="1"/>
        <v>No</v>
      </c>
      <c r="Q67" t="s">
        <v>46</v>
      </c>
      <c r="R67" t="s">
        <v>133</v>
      </c>
    </row>
    <row r="68" spans="1:18" x14ac:dyDescent="0.25">
      <c r="A68" t="s">
        <v>353</v>
      </c>
      <c r="B68" t="s">
        <v>348</v>
      </c>
      <c r="C68" t="s">
        <v>349</v>
      </c>
      <c r="D68" t="s">
        <v>354</v>
      </c>
      <c r="E68" t="s">
        <v>22</v>
      </c>
      <c r="F68" t="s">
        <v>130</v>
      </c>
      <c r="G68" t="s">
        <v>89</v>
      </c>
      <c r="H68" t="s">
        <v>43</v>
      </c>
      <c r="I68" t="s">
        <v>355</v>
      </c>
      <c r="J68" t="s">
        <v>356</v>
      </c>
      <c r="K68">
        <f>IFERROR(_xlfn.XLOOKUP($A68&amp;"|"&amp;$J68,'Response Mapping'!$C$2:$C$1086,'Response Mapping'!$D$2:$D$1086),"")</f>
        <v>1</v>
      </c>
      <c r="L68" t="str">
        <f>IFERROR(_xlfn.XLOOKUP($A68&amp;"|"&amp;$J68,'Response Mapping'!$C$2:$C$1086,'Response Mapping'!$E$2:$E$1086),"")</f>
        <v>Include</v>
      </c>
      <c r="M68" t="str">
        <f>IFERROR(_xlfn.XLOOKUP($A68&amp;"|"&amp;$J68,'Response Mapping'!$C$2:$C$1086,'Response Mapping'!$F$2:$F$1086),"")</f>
        <v>Ownership Gap</v>
      </c>
      <c r="N68" t="str">
        <f>IFERROR(_xlfn.XLOOKUP($A68&amp;"|"&amp;$J68,'Response Mapping'!$C$2:$C$1086,'Response Mapping'!$G$2:$G$1086),"")</f>
        <v>REC-AOM-002-L1</v>
      </c>
      <c r="O68" t="str">
        <f t="shared" si="1"/>
        <v>No</v>
      </c>
      <c r="Q68" t="s">
        <v>46</v>
      </c>
      <c r="R68" t="s">
        <v>133</v>
      </c>
    </row>
    <row r="69" spans="1:18" x14ac:dyDescent="0.25">
      <c r="A69" t="s">
        <v>357</v>
      </c>
      <c r="B69" t="s">
        <v>348</v>
      </c>
      <c r="C69" t="s">
        <v>349</v>
      </c>
      <c r="D69" t="s">
        <v>358</v>
      </c>
      <c r="E69" t="s">
        <v>22</v>
      </c>
      <c r="F69" t="s">
        <v>69</v>
      </c>
      <c r="G69" t="s">
        <v>42</v>
      </c>
      <c r="H69" t="s">
        <v>43</v>
      </c>
      <c r="I69" t="s">
        <v>359</v>
      </c>
      <c r="J69" t="s">
        <v>360</v>
      </c>
      <c r="K69">
        <f>IFERROR(_xlfn.XLOOKUP($A69&amp;"|"&amp;$J69,'Response Mapping'!$C$2:$C$1086,'Response Mapping'!$D$2:$D$1086),"")</f>
        <v>1</v>
      </c>
      <c r="L69" t="str">
        <f>IFERROR(_xlfn.XLOOKUP($A69&amp;"|"&amp;$J69,'Response Mapping'!$C$2:$C$1086,'Response Mapping'!$E$2:$E$1086),"")</f>
        <v>Include</v>
      </c>
      <c r="M69" t="str">
        <f>IFERROR(_xlfn.XLOOKUP($A69&amp;"|"&amp;$J69,'Response Mapping'!$C$2:$C$1086,'Response Mapping'!$F$2:$F$1086),"")</f>
        <v>Shadow AI Discovery Gap</v>
      </c>
      <c r="N69" t="str">
        <f>IFERROR(_xlfn.XLOOKUP($A69&amp;"|"&amp;$J69,'Response Mapping'!$C$2:$C$1086,'Response Mapping'!$G$2:$G$1086),"")</f>
        <v>REC-AOM-003-L1</v>
      </c>
      <c r="O69" t="str">
        <f t="shared" si="1"/>
        <v>No</v>
      </c>
      <c r="Q69" t="s">
        <v>72</v>
      </c>
      <c r="R69" t="s">
        <v>86</v>
      </c>
    </row>
    <row r="70" spans="1:18" x14ac:dyDescent="0.25">
      <c r="A70" t="s">
        <v>361</v>
      </c>
      <c r="B70" t="s">
        <v>348</v>
      </c>
      <c r="C70" t="s">
        <v>349</v>
      </c>
      <c r="D70" t="s">
        <v>362</v>
      </c>
      <c r="E70" t="s">
        <v>22</v>
      </c>
      <c r="F70" t="s">
        <v>41</v>
      </c>
      <c r="G70" t="s">
        <v>130</v>
      </c>
      <c r="H70" t="s">
        <v>43</v>
      </c>
      <c r="I70" t="s">
        <v>363</v>
      </c>
      <c r="J70" t="s">
        <v>364</v>
      </c>
      <c r="K70">
        <f>IFERROR(_xlfn.XLOOKUP($A70&amp;"|"&amp;$J70,'Response Mapping'!$C$2:$C$1086,'Response Mapping'!$D$2:$D$1086),"")</f>
        <v>1</v>
      </c>
      <c r="L70" t="str">
        <f>IFERROR(_xlfn.XLOOKUP($A70&amp;"|"&amp;$J70,'Response Mapping'!$C$2:$C$1086,'Response Mapping'!$E$2:$E$1086),"")</f>
        <v>Include</v>
      </c>
      <c r="M70" t="str">
        <f>IFERROR(_xlfn.XLOOKUP($A70&amp;"|"&amp;$J70,'Response Mapping'!$C$2:$C$1086,'Response Mapping'!$F$2:$F$1086),"")</f>
        <v>Funding Model Gap</v>
      </c>
      <c r="N70" t="str">
        <f>IFERROR(_xlfn.XLOOKUP($A70&amp;"|"&amp;$J70,'Response Mapping'!$C$2:$C$1086,'Response Mapping'!$G$2:$G$1086),"")</f>
        <v>REC-AOM-004-L1</v>
      </c>
      <c r="O70" t="str">
        <f t="shared" si="1"/>
        <v>No</v>
      </c>
      <c r="Q70" t="s">
        <v>46</v>
      </c>
      <c r="R70" t="s">
        <v>164</v>
      </c>
    </row>
    <row r="71" spans="1:18" x14ac:dyDescent="0.25">
      <c r="A71" t="s">
        <v>365</v>
      </c>
      <c r="B71" t="s">
        <v>348</v>
      </c>
      <c r="C71" t="s">
        <v>366</v>
      </c>
      <c r="D71" t="s">
        <v>367</v>
      </c>
      <c r="E71" t="s">
        <v>22</v>
      </c>
      <c r="F71" t="s">
        <v>130</v>
      </c>
      <c r="G71" t="s">
        <v>42</v>
      </c>
      <c r="H71" t="s">
        <v>43</v>
      </c>
      <c r="I71" t="s">
        <v>368</v>
      </c>
      <c r="J71" t="s">
        <v>369</v>
      </c>
      <c r="K71">
        <f>IFERROR(_xlfn.XLOOKUP($A71&amp;"|"&amp;$J71,'Response Mapping'!$C$2:$C$1086,'Response Mapping'!$D$2:$D$1086),"")</f>
        <v>4</v>
      </c>
      <c r="L71" t="str">
        <f>IFERROR(_xlfn.XLOOKUP($A71&amp;"|"&amp;$J71,'Response Mapping'!$C$2:$C$1086,'Response Mapping'!$E$2:$E$1086),"")</f>
        <v>Include</v>
      </c>
      <c r="M71" t="str">
        <f>IFERROR(_xlfn.XLOOKUP($A71&amp;"|"&amp;$J71,'Response Mapping'!$C$2:$C$1086,'Response Mapping'!$F$2:$F$1086),"")</f>
        <v>Mature Capability</v>
      </c>
      <c r="N71" t="str">
        <f>IFERROR(_xlfn.XLOOKUP($A71&amp;"|"&amp;$J71,'Response Mapping'!$C$2:$C$1086,'Response Mapping'!$G$2:$G$1086),"")</f>
        <v>REC-AOM-005-L4</v>
      </c>
      <c r="O71" t="str">
        <f t="shared" si="1"/>
        <v>Yes</v>
      </c>
      <c r="Q71" t="s">
        <v>72</v>
      </c>
      <c r="R71" t="s">
        <v>80</v>
      </c>
    </row>
    <row r="72" spans="1:18" x14ac:dyDescent="0.25">
      <c r="A72" t="s">
        <v>370</v>
      </c>
      <c r="B72" t="s">
        <v>348</v>
      </c>
      <c r="C72" t="s">
        <v>366</v>
      </c>
      <c r="D72" t="s">
        <v>371</v>
      </c>
      <c r="E72" t="s">
        <v>22</v>
      </c>
      <c r="F72" t="s">
        <v>89</v>
      </c>
      <c r="G72" t="s">
        <v>130</v>
      </c>
      <c r="H72" t="s">
        <v>43</v>
      </c>
      <c r="I72" t="s">
        <v>372</v>
      </c>
      <c r="J72" t="s">
        <v>373</v>
      </c>
      <c r="K72">
        <f>IFERROR(_xlfn.XLOOKUP($A72&amp;"|"&amp;$J72,'Response Mapping'!$C$2:$C$1086,'Response Mapping'!$D$2:$D$1086),"")</f>
        <v>1</v>
      </c>
      <c r="L72" t="str">
        <f>IFERROR(_xlfn.XLOOKUP($A72&amp;"|"&amp;$J72,'Response Mapping'!$C$2:$C$1086,'Response Mapping'!$E$2:$E$1086),"")</f>
        <v>Include</v>
      </c>
      <c r="M72" t="str">
        <f>IFERROR(_xlfn.XLOOKUP($A72&amp;"|"&amp;$J72,'Response Mapping'!$C$2:$C$1086,'Response Mapping'!$F$2:$F$1086),"")</f>
        <v>HITL Design Gap</v>
      </c>
      <c r="N72" t="str">
        <f>IFERROR(_xlfn.XLOOKUP($A72&amp;"|"&amp;$J72,'Response Mapping'!$C$2:$C$1086,'Response Mapping'!$G$2:$G$1086),"")</f>
        <v>REC-AOM-006-L1</v>
      </c>
      <c r="O72" t="str">
        <f t="shared" si="1"/>
        <v>No</v>
      </c>
      <c r="Q72" t="s">
        <v>85</v>
      </c>
      <c r="R72" t="s">
        <v>80</v>
      </c>
    </row>
    <row r="73" spans="1:18" x14ac:dyDescent="0.25">
      <c r="A73" t="s">
        <v>374</v>
      </c>
      <c r="B73" t="s">
        <v>348</v>
      </c>
      <c r="C73" t="s">
        <v>366</v>
      </c>
      <c r="D73" t="s">
        <v>375</v>
      </c>
      <c r="E73" t="s">
        <v>22</v>
      </c>
      <c r="F73" t="s">
        <v>89</v>
      </c>
      <c r="G73" t="s">
        <v>69</v>
      </c>
      <c r="H73" t="s">
        <v>43</v>
      </c>
      <c r="I73" t="s">
        <v>376</v>
      </c>
      <c r="J73" t="s">
        <v>377</v>
      </c>
      <c r="K73">
        <f>IFERROR(_xlfn.XLOOKUP($A73&amp;"|"&amp;$J73,'Response Mapping'!$C$2:$C$1086,'Response Mapping'!$D$2:$D$1086),"")</f>
        <v>1</v>
      </c>
      <c r="L73" t="str">
        <f>IFERROR(_xlfn.XLOOKUP($A73&amp;"|"&amp;$J73,'Response Mapping'!$C$2:$C$1086,'Response Mapping'!$E$2:$E$1086),"")</f>
        <v>Include</v>
      </c>
      <c r="M73" t="str">
        <f>IFERROR(_xlfn.XLOOKUP($A73&amp;"|"&amp;$J73,'Response Mapping'!$C$2:$C$1086,'Response Mapping'!$F$2:$F$1086),"")</f>
        <v>Decommissioning Gap</v>
      </c>
      <c r="N73" t="str">
        <f>IFERROR(_xlfn.XLOOKUP($A73&amp;"|"&amp;$J73,'Response Mapping'!$C$2:$C$1086,'Response Mapping'!$G$2:$G$1086),"")</f>
        <v>REC-AOM-007-L1</v>
      </c>
      <c r="O73" t="str">
        <f t="shared" si="1"/>
        <v>No</v>
      </c>
      <c r="Q73" t="s">
        <v>85</v>
      </c>
      <c r="R73" t="s">
        <v>80</v>
      </c>
    </row>
    <row r="74" spans="1:18" x14ac:dyDescent="0.25">
      <c r="A74" t="s">
        <v>378</v>
      </c>
      <c r="B74" t="s">
        <v>348</v>
      </c>
      <c r="C74" t="s">
        <v>366</v>
      </c>
      <c r="D74" t="s">
        <v>379</v>
      </c>
      <c r="E74" t="s">
        <v>380</v>
      </c>
      <c r="F74" t="s">
        <v>42</v>
      </c>
      <c r="G74" t="s">
        <v>89</v>
      </c>
      <c r="H74" t="s">
        <v>43</v>
      </c>
      <c r="I74" t="s">
        <v>381</v>
      </c>
      <c r="J74" t="s">
        <v>382</v>
      </c>
      <c r="K74">
        <f>IFERROR(_xlfn.XLOOKUP($A74&amp;"|"&amp;$J74,'Response Mapping'!$C$2:$C$1086,'Response Mapping'!$D$2:$D$1086),"")</f>
        <v>1</v>
      </c>
      <c r="L74" t="str">
        <f>IFERROR(_xlfn.XLOOKUP($A74&amp;"|"&amp;$J74,'Response Mapping'!$C$2:$C$1086,'Response Mapping'!$E$2:$E$1086),"")</f>
        <v>Include</v>
      </c>
      <c r="M74" t="str">
        <f>IFERROR(_xlfn.XLOOKUP($A74&amp;"|"&amp;$J74,'Response Mapping'!$C$2:$C$1086,'Response Mapping'!$F$2:$F$1086),"")</f>
        <v>Operational RACI Gap</v>
      </c>
      <c r="N74" t="str">
        <f>IFERROR(_xlfn.XLOOKUP($A74&amp;"|"&amp;$J74,'Response Mapping'!$C$2:$C$1086,'Response Mapping'!$G$2:$G$1086),"")</f>
        <v>REC-AOM-008-L1</v>
      </c>
      <c r="O74" t="str">
        <f t="shared" si="1"/>
        <v>No</v>
      </c>
      <c r="Q74" t="s">
        <v>46</v>
      </c>
      <c r="R74" t="s">
        <v>133</v>
      </c>
    </row>
    <row r="75" spans="1:18" x14ac:dyDescent="0.25">
      <c r="A75" t="s">
        <v>383</v>
      </c>
      <c r="B75" t="s">
        <v>348</v>
      </c>
      <c r="C75" t="s">
        <v>384</v>
      </c>
      <c r="D75" t="s">
        <v>385</v>
      </c>
      <c r="E75" t="s">
        <v>22</v>
      </c>
      <c r="F75" t="s">
        <v>76</v>
      </c>
      <c r="G75" t="s">
        <v>89</v>
      </c>
      <c r="H75" t="s">
        <v>43</v>
      </c>
      <c r="I75" t="s">
        <v>386</v>
      </c>
      <c r="J75" t="s">
        <v>387</v>
      </c>
      <c r="K75">
        <f>IFERROR(_xlfn.XLOOKUP($A75&amp;"|"&amp;$J75,'Response Mapping'!$C$2:$C$1086,'Response Mapping'!$D$2:$D$1086),"")</f>
        <v>1</v>
      </c>
      <c r="L75" t="str">
        <f>IFERROR(_xlfn.XLOOKUP($A75&amp;"|"&amp;$J75,'Response Mapping'!$C$2:$C$1086,'Response Mapping'!$E$2:$E$1086),"")</f>
        <v>Include</v>
      </c>
      <c r="M75" t="str">
        <f>IFERROR(_xlfn.XLOOKUP($A75&amp;"|"&amp;$J75,'Response Mapping'!$C$2:$C$1086,'Response Mapping'!$F$2:$F$1086),"")</f>
        <v>Data Supply Chain Gap</v>
      </c>
      <c r="N75" t="str">
        <f>IFERROR(_xlfn.XLOOKUP($A75&amp;"|"&amp;$J75,'Response Mapping'!$C$2:$C$1086,'Response Mapping'!$G$2:$G$1086),"")</f>
        <v>REC-AOM-009-L1</v>
      </c>
      <c r="O75" t="str">
        <f t="shared" si="1"/>
        <v>No</v>
      </c>
      <c r="Q75" t="s">
        <v>72</v>
      </c>
      <c r="R75" t="s">
        <v>164</v>
      </c>
    </row>
    <row r="76" spans="1:18" x14ac:dyDescent="0.25">
      <c r="A76" t="s">
        <v>388</v>
      </c>
      <c r="B76" t="s">
        <v>348</v>
      </c>
      <c r="C76" t="s">
        <v>384</v>
      </c>
      <c r="D76" t="s">
        <v>389</v>
      </c>
      <c r="E76" t="s">
        <v>22</v>
      </c>
      <c r="F76" t="s">
        <v>69</v>
      </c>
      <c r="G76" t="s">
        <v>42</v>
      </c>
      <c r="H76" t="s">
        <v>43</v>
      </c>
      <c r="I76" t="s">
        <v>390</v>
      </c>
      <c r="J76" t="s">
        <v>391</v>
      </c>
      <c r="K76">
        <f>IFERROR(_xlfn.XLOOKUP($A76&amp;"|"&amp;$J76,'Response Mapping'!$C$2:$C$1086,'Response Mapping'!$D$2:$D$1086),"")</f>
        <v>1</v>
      </c>
      <c r="L76" t="str">
        <f>IFERROR(_xlfn.XLOOKUP($A76&amp;"|"&amp;$J76,'Response Mapping'!$C$2:$C$1086,'Response Mapping'!$E$2:$E$1086),"")</f>
        <v>Include</v>
      </c>
      <c r="M76" t="str">
        <f>IFERROR(_xlfn.XLOOKUP($A76&amp;"|"&amp;$J76,'Response Mapping'!$C$2:$C$1086,'Response Mapping'!$F$2:$F$1086),"")</f>
        <v>Live Inventory Gap</v>
      </c>
      <c r="N76" t="str">
        <f>IFERROR(_xlfn.XLOOKUP($A76&amp;"|"&amp;$J76,'Response Mapping'!$C$2:$C$1086,'Response Mapping'!$G$2:$G$1086),"")</f>
        <v>REC-AOM-010-L1</v>
      </c>
      <c r="O76" t="str">
        <f t="shared" si="1"/>
        <v>No</v>
      </c>
      <c r="Q76" t="s">
        <v>72</v>
      </c>
      <c r="R76" t="s">
        <v>92</v>
      </c>
    </row>
    <row r="77" spans="1:18" x14ac:dyDescent="0.25">
      <c r="A77" t="s">
        <v>392</v>
      </c>
      <c r="B77" t="s">
        <v>348</v>
      </c>
      <c r="C77" t="s">
        <v>384</v>
      </c>
      <c r="D77" t="s">
        <v>393</v>
      </c>
      <c r="E77" t="s">
        <v>22</v>
      </c>
      <c r="F77" t="s">
        <v>69</v>
      </c>
      <c r="G77" t="s">
        <v>89</v>
      </c>
      <c r="H77" t="s">
        <v>43</v>
      </c>
      <c r="I77" t="s">
        <v>394</v>
      </c>
      <c r="J77" t="s">
        <v>395</v>
      </c>
      <c r="K77">
        <f>IFERROR(_xlfn.XLOOKUP($A77&amp;"|"&amp;$J77,'Response Mapping'!$C$2:$C$1086,'Response Mapping'!$D$2:$D$1086),"")</f>
        <v>1</v>
      </c>
      <c r="L77" t="str">
        <f>IFERROR(_xlfn.XLOOKUP($A77&amp;"|"&amp;$J77,'Response Mapping'!$C$2:$C$1086,'Response Mapping'!$E$2:$E$1086),"")</f>
        <v>Include</v>
      </c>
      <c r="M77" t="str">
        <f>IFERROR(_xlfn.XLOOKUP($A77&amp;"|"&amp;$J77,'Response Mapping'!$C$2:$C$1086,'Response Mapping'!$F$2:$F$1086),"")</f>
        <v>Tooling Standards Gap</v>
      </c>
      <c r="N77" t="str">
        <f>IFERROR(_xlfn.XLOOKUP($A77&amp;"|"&amp;$J77,'Response Mapping'!$C$2:$C$1086,'Response Mapping'!$G$2:$G$1086),"")</f>
        <v>REC-AOM-011-L1</v>
      </c>
      <c r="O77" t="str">
        <f t="shared" si="1"/>
        <v>No</v>
      </c>
      <c r="Q77" t="s">
        <v>46</v>
      </c>
      <c r="R77" t="s">
        <v>80</v>
      </c>
    </row>
    <row r="78" spans="1:18" x14ac:dyDescent="0.25">
      <c r="A78" t="s">
        <v>396</v>
      </c>
      <c r="B78" t="s">
        <v>348</v>
      </c>
      <c r="C78" t="s">
        <v>384</v>
      </c>
      <c r="D78" t="s">
        <v>397</v>
      </c>
      <c r="E78" t="s">
        <v>22</v>
      </c>
      <c r="F78" t="s">
        <v>89</v>
      </c>
      <c r="G78" t="s">
        <v>42</v>
      </c>
      <c r="H78" t="s">
        <v>43</v>
      </c>
      <c r="I78" t="s">
        <v>398</v>
      </c>
      <c r="J78" t="s">
        <v>399</v>
      </c>
      <c r="K78">
        <f>IFERROR(_xlfn.XLOOKUP($A78&amp;"|"&amp;$J78,'Response Mapping'!$C$2:$C$1086,'Response Mapping'!$D$2:$D$1086),"")</f>
        <v>1</v>
      </c>
      <c r="L78" t="str">
        <f>IFERROR(_xlfn.XLOOKUP($A78&amp;"|"&amp;$J78,'Response Mapping'!$C$2:$C$1086,'Response Mapping'!$E$2:$E$1086),"")</f>
        <v>Include</v>
      </c>
      <c r="M78" t="str">
        <f>IFERROR(_xlfn.XLOOKUP($A78&amp;"|"&amp;$J78,'Response Mapping'!$C$2:$C$1086,'Response Mapping'!$F$2:$F$1086),"")</f>
        <v>Pipeline Guardrails Gap</v>
      </c>
      <c r="N78" t="str">
        <f>IFERROR(_xlfn.XLOOKUP($A78&amp;"|"&amp;$J78,'Response Mapping'!$C$2:$C$1086,'Response Mapping'!$G$2:$G$1086),"")</f>
        <v>REC-AOM-012-L1</v>
      </c>
      <c r="O78" t="str">
        <f t="shared" si="1"/>
        <v>No</v>
      </c>
      <c r="Q78" t="s">
        <v>85</v>
      </c>
      <c r="R78" t="s">
        <v>86</v>
      </c>
    </row>
    <row r="79" spans="1:18" x14ac:dyDescent="0.25">
      <c r="A79" t="s">
        <v>400</v>
      </c>
      <c r="B79" t="s">
        <v>348</v>
      </c>
      <c r="C79" t="s">
        <v>401</v>
      </c>
      <c r="D79" t="s">
        <v>402</v>
      </c>
      <c r="E79" t="s">
        <v>22</v>
      </c>
      <c r="F79" t="s">
        <v>41</v>
      </c>
      <c r="G79" t="s">
        <v>136</v>
      </c>
      <c r="H79" t="s">
        <v>43</v>
      </c>
      <c r="I79" t="s">
        <v>403</v>
      </c>
      <c r="J79" t="s">
        <v>404</v>
      </c>
      <c r="K79">
        <f>IFERROR(_xlfn.XLOOKUP($A79&amp;"|"&amp;$J79,'Response Mapping'!$C$2:$C$1086,'Response Mapping'!$D$2:$D$1086),"")</f>
        <v>5</v>
      </c>
      <c r="L79" t="str">
        <f>IFERROR(_xlfn.XLOOKUP($A79&amp;"|"&amp;$J79,'Response Mapping'!$C$2:$C$1086,'Response Mapping'!$E$2:$E$1086),"")</f>
        <v>Include</v>
      </c>
      <c r="M79" t="str">
        <f>IFERROR(_xlfn.XLOOKUP($A79&amp;"|"&amp;$J79,'Response Mapping'!$C$2:$C$1086,'Response Mapping'!$F$2:$F$1086),"")</f>
        <v>Optimized Capability</v>
      </c>
      <c r="N79" t="str">
        <f>IFERROR(_xlfn.XLOOKUP($A79&amp;"|"&amp;$J79,'Response Mapping'!$C$2:$C$1086,'Response Mapping'!$G$2:$G$1086),"")</f>
        <v>REC-AOM-013-L5</v>
      </c>
      <c r="O79" t="str">
        <f t="shared" si="1"/>
        <v>Yes</v>
      </c>
      <c r="Q79" t="s">
        <v>46</v>
      </c>
      <c r="R79" t="s">
        <v>127</v>
      </c>
    </row>
    <row r="80" spans="1:18" x14ac:dyDescent="0.25">
      <c r="A80" t="s">
        <v>405</v>
      </c>
      <c r="B80" t="s">
        <v>348</v>
      </c>
      <c r="C80" t="s">
        <v>401</v>
      </c>
      <c r="D80" t="s">
        <v>406</v>
      </c>
      <c r="E80" t="s">
        <v>22</v>
      </c>
      <c r="F80" t="s">
        <v>41</v>
      </c>
      <c r="G80" t="s">
        <v>89</v>
      </c>
      <c r="H80" t="s">
        <v>43</v>
      </c>
      <c r="I80" t="s">
        <v>407</v>
      </c>
      <c r="J80" t="s">
        <v>408</v>
      </c>
      <c r="K80">
        <f>IFERROR(_xlfn.XLOOKUP($A80&amp;"|"&amp;$J80,'Response Mapping'!$C$2:$C$1086,'Response Mapping'!$D$2:$D$1086),"")</f>
        <v>2</v>
      </c>
      <c r="L80" t="str">
        <f>IFERROR(_xlfn.XLOOKUP($A80&amp;"|"&amp;$J80,'Response Mapping'!$C$2:$C$1086,'Response Mapping'!$E$2:$E$1086),"")</f>
        <v>Include</v>
      </c>
      <c r="M80" t="str">
        <f>IFERROR(_xlfn.XLOOKUP($A80&amp;"|"&amp;$J80,'Response Mapping'!$C$2:$C$1086,'Response Mapping'!$F$2:$F$1086),"")</f>
        <v>Informal Balance</v>
      </c>
      <c r="N80" t="str">
        <f>IFERROR(_xlfn.XLOOKUP($A80&amp;"|"&amp;$J80,'Response Mapping'!$C$2:$C$1086,'Response Mapping'!$G$2:$G$1086),"")</f>
        <v>REC-AOM-014-L1</v>
      </c>
      <c r="O80" t="str">
        <f t="shared" si="1"/>
        <v>No</v>
      </c>
      <c r="Q80" t="s">
        <v>46</v>
      </c>
      <c r="R80" t="s">
        <v>133</v>
      </c>
    </row>
    <row r="81" spans="1:18" x14ac:dyDescent="0.25">
      <c r="A81" t="s">
        <v>409</v>
      </c>
      <c r="B81" t="s">
        <v>348</v>
      </c>
      <c r="C81" t="s">
        <v>401</v>
      </c>
      <c r="D81" t="s">
        <v>410</v>
      </c>
      <c r="E81" t="s">
        <v>22</v>
      </c>
      <c r="F81" t="s">
        <v>42</v>
      </c>
      <c r="G81" t="s">
        <v>136</v>
      </c>
      <c r="H81" t="s">
        <v>43</v>
      </c>
      <c r="I81" t="s">
        <v>411</v>
      </c>
      <c r="J81" t="s">
        <v>412</v>
      </c>
      <c r="K81">
        <f>IFERROR(_xlfn.XLOOKUP($A81&amp;"|"&amp;$J81,'Response Mapping'!$C$2:$C$1086,'Response Mapping'!$D$2:$D$1086),"")</f>
        <v>2</v>
      </c>
      <c r="L81" t="str">
        <f>IFERROR(_xlfn.XLOOKUP($A81&amp;"|"&amp;$J81,'Response Mapping'!$C$2:$C$1086,'Response Mapping'!$E$2:$E$1086),"")</f>
        <v>Include</v>
      </c>
      <c r="M81" t="str">
        <f>IFERROR(_xlfn.XLOOKUP($A81&amp;"|"&amp;$J81,'Response Mapping'!$C$2:$C$1086,'Response Mapping'!$F$2:$F$1086),"")</f>
        <v>Self-Directed Only</v>
      </c>
      <c r="N81" t="str">
        <f>IFERROR(_xlfn.XLOOKUP($A81&amp;"|"&amp;$J81,'Response Mapping'!$C$2:$C$1086,'Response Mapping'!$G$2:$G$1086),"")</f>
        <v>REC-AOM-015-L1</v>
      </c>
      <c r="O81" t="str">
        <f t="shared" si="1"/>
        <v>No</v>
      </c>
      <c r="Q81" t="s">
        <v>46</v>
      </c>
      <c r="R81" t="s">
        <v>127</v>
      </c>
    </row>
    <row r="82" spans="1:18" x14ac:dyDescent="0.25">
      <c r="A82" t="s">
        <v>413</v>
      </c>
      <c r="B82" t="s">
        <v>414</v>
      </c>
      <c r="C82" t="s">
        <v>415</v>
      </c>
      <c r="D82" t="s">
        <v>416</v>
      </c>
      <c r="E82" t="s">
        <v>22</v>
      </c>
      <c r="F82" t="s">
        <v>130</v>
      </c>
      <c r="G82" t="s">
        <v>41</v>
      </c>
      <c r="H82" t="s">
        <v>43</v>
      </c>
      <c r="I82" t="s">
        <v>417</v>
      </c>
      <c r="J82" t="s">
        <v>418</v>
      </c>
      <c r="K82">
        <f>IFERROR(_xlfn.XLOOKUP($A82&amp;"|"&amp;$J82,'Response Mapping'!$C$2:$C$1086,'Response Mapping'!$D$2:$D$1086),"")</f>
        <v>1</v>
      </c>
      <c r="L82" t="str">
        <f>IFERROR(_xlfn.XLOOKUP($A82&amp;"|"&amp;$J82,'Response Mapping'!$C$2:$C$1086,'Response Mapping'!$E$2:$E$1086),"")</f>
        <v>Include</v>
      </c>
      <c r="M82" t="str">
        <f>IFERROR(_xlfn.XLOOKUP($A82&amp;"|"&amp;$J82,'Response Mapping'!$C$2:$C$1086,'Response Mapping'!$F$2:$F$1086),"")</f>
        <v>Scoring Rubric Gap</v>
      </c>
      <c r="N82" t="str">
        <f>IFERROR(_xlfn.XLOOKUP($A82&amp;"|"&amp;$J82,'Response Mapping'!$C$2:$C$1086,'Response Mapping'!$G$2:$G$1086),"")</f>
        <v>REC-UCP-001-L1</v>
      </c>
      <c r="O82" t="str">
        <f t="shared" si="1"/>
        <v>No</v>
      </c>
      <c r="Q82" t="s">
        <v>46</v>
      </c>
      <c r="R82" t="s">
        <v>56</v>
      </c>
    </row>
    <row r="83" spans="1:18" x14ac:dyDescent="0.25">
      <c r="A83" t="s">
        <v>419</v>
      </c>
      <c r="B83" t="s">
        <v>414</v>
      </c>
      <c r="C83" t="s">
        <v>415</v>
      </c>
      <c r="D83" t="s">
        <v>420</v>
      </c>
      <c r="E83" t="s">
        <v>22</v>
      </c>
      <c r="F83" t="s">
        <v>130</v>
      </c>
      <c r="G83" t="s">
        <v>41</v>
      </c>
      <c r="H83" t="s">
        <v>43</v>
      </c>
      <c r="I83" t="s">
        <v>421</v>
      </c>
      <c r="J83" t="s">
        <v>422</v>
      </c>
      <c r="K83">
        <f>IFERROR(_xlfn.XLOOKUP($A83&amp;"|"&amp;$J83,'Response Mapping'!$C$2:$C$1086,'Response Mapping'!$D$2:$D$1086),"")</f>
        <v>1</v>
      </c>
      <c r="L83" t="str">
        <f>IFERROR(_xlfn.XLOOKUP($A83&amp;"|"&amp;$J83,'Response Mapping'!$C$2:$C$1086,'Response Mapping'!$E$2:$E$1086),"")</f>
        <v>Include</v>
      </c>
      <c r="M83" t="str">
        <f>IFERROR(_xlfn.XLOOKUP($A83&amp;"|"&amp;$J83,'Response Mapping'!$C$2:$C$1086,'Response Mapping'!$F$2:$F$1086),"")</f>
        <v>Single-Lens Value</v>
      </c>
      <c r="N83" t="str">
        <f>IFERROR(_xlfn.XLOOKUP($A83&amp;"|"&amp;$J83,'Response Mapping'!$C$2:$C$1086,'Response Mapping'!$G$2:$G$1086),"")</f>
        <v>REC-UCP-002-L1</v>
      </c>
      <c r="O83" t="str">
        <f t="shared" si="1"/>
        <v>No</v>
      </c>
      <c r="Q83" t="s">
        <v>46</v>
      </c>
      <c r="R83" t="s">
        <v>146</v>
      </c>
    </row>
    <row r="84" spans="1:18" x14ac:dyDescent="0.25">
      <c r="A84" t="s">
        <v>423</v>
      </c>
      <c r="B84" t="s">
        <v>414</v>
      </c>
      <c r="C84" t="s">
        <v>415</v>
      </c>
      <c r="D84" t="s">
        <v>424</v>
      </c>
      <c r="E84" t="s">
        <v>22</v>
      </c>
      <c r="F84" t="s">
        <v>69</v>
      </c>
      <c r="G84" t="s">
        <v>76</v>
      </c>
      <c r="H84" t="s">
        <v>43</v>
      </c>
      <c r="I84" t="s">
        <v>425</v>
      </c>
      <c r="J84" t="s">
        <v>426</v>
      </c>
      <c r="K84">
        <f>IFERROR(_xlfn.XLOOKUP($A84&amp;"|"&amp;$J84,'Response Mapping'!$C$2:$C$1086,'Response Mapping'!$D$2:$D$1086),"")</f>
        <v>1</v>
      </c>
      <c r="L84" t="str">
        <f>IFERROR(_xlfn.XLOOKUP($A84&amp;"|"&amp;$J84,'Response Mapping'!$C$2:$C$1086,'Response Mapping'!$E$2:$E$1086),"")</f>
        <v>Include</v>
      </c>
      <c r="M84" t="str">
        <f>IFERROR(_xlfn.XLOOKUP($A84&amp;"|"&amp;$J84,'Response Mapping'!$C$2:$C$1086,'Response Mapping'!$F$2:$F$1086),"")</f>
        <v>Shallow Feasibility</v>
      </c>
      <c r="N84" t="str">
        <f>IFERROR(_xlfn.XLOOKUP($A84&amp;"|"&amp;$J84,'Response Mapping'!$C$2:$C$1086,'Response Mapping'!$G$2:$G$1086),"")</f>
        <v>REC-UCP-003-L1</v>
      </c>
      <c r="O84" t="str">
        <f t="shared" si="1"/>
        <v>No</v>
      </c>
      <c r="Q84" t="s">
        <v>72</v>
      </c>
      <c r="R84" t="s">
        <v>56</v>
      </c>
    </row>
    <row r="85" spans="1:18" x14ac:dyDescent="0.25">
      <c r="A85" t="s">
        <v>427</v>
      </c>
      <c r="B85" t="s">
        <v>414</v>
      </c>
      <c r="C85" t="s">
        <v>415</v>
      </c>
      <c r="D85" t="s">
        <v>428</v>
      </c>
      <c r="E85" t="s">
        <v>22</v>
      </c>
      <c r="F85" t="s">
        <v>130</v>
      </c>
      <c r="G85" t="s">
        <v>69</v>
      </c>
      <c r="H85" t="s">
        <v>43</v>
      </c>
      <c r="I85" t="s">
        <v>429</v>
      </c>
      <c r="J85" t="s">
        <v>430</v>
      </c>
      <c r="K85">
        <f>IFERROR(_xlfn.XLOOKUP($A85&amp;"|"&amp;$J85,'Response Mapping'!$C$2:$C$1086,'Response Mapping'!$D$2:$D$1086),"")</f>
        <v>1</v>
      </c>
      <c r="L85" t="str">
        <f>IFERROR(_xlfn.XLOOKUP($A85&amp;"|"&amp;$J85,'Response Mapping'!$C$2:$C$1086,'Response Mapping'!$E$2:$E$1086),"")</f>
        <v>Include</v>
      </c>
      <c r="M85" t="str">
        <f>IFERROR(_xlfn.XLOOKUP($A85&amp;"|"&amp;$J85,'Response Mapping'!$C$2:$C$1086,'Response Mapping'!$F$2:$F$1086),"")</f>
        <v>Right-Tool Gap</v>
      </c>
      <c r="N85" t="str">
        <f>IFERROR(_xlfn.XLOOKUP($A85&amp;"|"&amp;$J85,'Response Mapping'!$C$2:$C$1086,'Response Mapping'!$G$2:$G$1086),"")</f>
        <v>REC-UCP-004-L1</v>
      </c>
      <c r="O85" t="str">
        <f t="shared" si="1"/>
        <v>No</v>
      </c>
      <c r="Q85" t="s">
        <v>72</v>
      </c>
      <c r="R85" t="s">
        <v>56</v>
      </c>
    </row>
    <row r="86" spans="1:18" x14ac:dyDescent="0.25">
      <c r="A86" t="s">
        <v>431</v>
      </c>
      <c r="B86" t="s">
        <v>414</v>
      </c>
      <c r="C86" t="s">
        <v>432</v>
      </c>
      <c r="D86" t="s">
        <v>433</v>
      </c>
      <c r="E86" t="s">
        <v>22</v>
      </c>
      <c r="F86" t="s">
        <v>41</v>
      </c>
      <c r="G86" t="s">
        <v>130</v>
      </c>
      <c r="H86" t="s">
        <v>43</v>
      </c>
      <c r="I86" t="s">
        <v>434</v>
      </c>
      <c r="J86" t="s">
        <v>435</v>
      </c>
      <c r="K86">
        <f>IFERROR(_xlfn.XLOOKUP($A86&amp;"|"&amp;$J86,'Response Mapping'!$C$2:$C$1086,'Response Mapping'!$D$2:$D$1086),"")</f>
        <v>1</v>
      </c>
      <c r="L86" t="str">
        <f>IFERROR(_xlfn.XLOOKUP($A86&amp;"|"&amp;$J86,'Response Mapping'!$C$2:$C$1086,'Response Mapping'!$E$2:$E$1086),"")</f>
        <v>Include</v>
      </c>
      <c r="M86" t="str">
        <f>IFERROR(_xlfn.XLOOKUP($A86&amp;"|"&amp;$J86,'Response Mapping'!$C$2:$C$1086,'Response Mapping'!$F$2:$F$1086),"")</f>
        <v>Strategic Alignment Gap</v>
      </c>
      <c r="N86" t="str">
        <f>IFERROR(_xlfn.XLOOKUP($A86&amp;"|"&amp;$J86,'Response Mapping'!$C$2:$C$1086,'Response Mapping'!$G$2:$G$1086),"")</f>
        <v>REC-UCP-005-L1</v>
      </c>
      <c r="O86" t="str">
        <f t="shared" si="1"/>
        <v>No</v>
      </c>
      <c r="Q86" t="s">
        <v>46</v>
      </c>
      <c r="R86" t="s">
        <v>146</v>
      </c>
    </row>
    <row r="87" spans="1:18" x14ac:dyDescent="0.25">
      <c r="A87" t="s">
        <v>436</v>
      </c>
      <c r="B87" t="s">
        <v>414</v>
      </c>
      <c r="C87" t="s">
        <v>432</v>
      </c>
      <c r="D87" t="s">
        <v>437</v>
      </c>
      <c r="E87" t="s">
        <v>22</v>
      </c>
      <c r="F87" t="s">
        <v>41</v>
      </c>
      <c r="G87" t="s">
        <v>130</v>
      </c>
      <c r="H87" t="s">
        <v>43</v>
      </c>
      <c r="I87" t="s">
        <v>438</v>
      </c>
      <c r="J87" t="s">
        <v>439</v>
      </c>
      <c r="K87">
        <f>IFERROR(_xlfn.XLOOKUP($A87&amp;"|"&amp;$J87,'Response Mapping'!$C$2:$C$1086,'Response Mapping'!$D$2:$D$1086),"")</f>
        <v>1</v>
      </c>
      <c r="L87" t="str">
        <f>IFERROR(_xlfn.XLOOKUP($A87&amp;"|"&amp;$J87,'Response Mapping'!$C$2:$C$1086,'Response Mapping'!$E$2:$E$1086),"")</f>
        <v>Include</v>
      </c>
      <c r="M87" t="str">
        <f>IFERROR(_xlfn.XLOOKUP($A87&amp;"|"&amp;$J87,'Response Mapping'!$C$2:$C$1086,'Response Mapping'!$F$2:$F$1086),"")</f>
        <v>Horizon Mix Gap</v>
      </c>
      <c r="N87" t="str">
        <f>IFERROR(_xlfn.XLOOKUP($A87&amp;"|"&amp;$J87,'Response Mapping'!$C$2:$C$1086,'Response Mapping'!$G$2:$G$1086),"")</f>
        <v>REC-UCP-006-L1</v>
      </c>
      <c r="O87" t="str">
        <f t="shared" si="1"/>
        <v>No</v>
      </c>
      <c r="Q87" t="s">
        <v>46</v>
      </c>
      <c r="R87" t="s">
        <v>146</v>
      </c>
    </row>
    <row r="88" spans="1:18" x14ac:dyDescent="0.25">
      <c r="A88" t="s">
        <v>440</v>
      </c>
      <c r="B88" t="s">
        <v>414</v>
      </c>
      <c r="C88" t="s">
        <v>432</v>
      </c>
      <c r="D88" t="s">
        <v>441</v>
      </c>
      <c r="E88" t="s">
        <v>22</v>
      </c>
      <c r="F88" t="s">
        <v>41</v>
      </c>
      <c r="G88" t="s">
        <v>42</v>
      </c>
      <c r="H88" t="s">
        <v>43</v>
      </c>
      <c r="I88" t="s">
        <v>442</v>
      </c>
      <c r="J88" t="s">
        <v>443</v>
      </c>
      <c r="K88">
        <f>IFERROR(_xlfn.XLOOKUP($A88&amp;"|"&amp;$J88,'Response Mapping'!$C$2:$C$1086,'Response Mapping'!$D$2:$D$1086),"")</f>
        <v>1</v>
      </c>
      <c r="L88" t="str">
        <f>IFERROR(_xlfn.XLOOKUP($A88&amp;"|"&amp;$J88,'Response Mapping'!$C$2:$C$1086,'Response Mapping'!$E$2:$E$1086),"")</f>
        <v>Include</v>
      </c>
      <c r="M88" t="str">
        <f>IFERROR(_xlfn.XLOOKUP($A88&amp;"|"&amp;$J88,'Response Mapping'!$C$2:$C$1086,'Response Mapping'!$F$2:$F$1086),"")</f>
        <v>Sunk Cost Bias</v>
      </c>
      <c r="N88" t="str">
        <f>IFERROR(_xlfn.XLOOKUP($A88&amp;"|"&amp;$J88,'Response Mapping'!$C$2:$C$1086,'Response Mapping'!$G$2:$G$1086),"")</f>
        <v>REC-UCP-007-L1</v>
      </c>
      <c r="O88" t="str">
        <f t="shared" si="1"/>
        <v>No</v>
      </c>
      <c r="Q88" t="s">
        <v>46</v>
      </c>
      <c r="R88" t="s">
        <v>61</v>
      </c>
    </row>
    <row r="89" spans="1:18" x14ac:dyDescent="0.25">
      <c r="A89" t="s">
        <v>444</v>
      </c>
      <c r="B89" t="s">
        <v>414</v>
      </c>
      <c r="C89" t="s">
        <v>432</v>
      </c>
      <c r="D89" t="s">
        <v>445</v>
      </c>
      <c r="E89" t="s">
        <v>22</v>
      </c>
      <c r="F89" t="s">
        <v>41</v>
      </c>
      <c r="G89" t="s">
        <v>130</v>
      </c>
      <c r="H89" t="s">
        <v>43</v>
      </c>
      <c r="I89" t="s">
        <v>446</v>
      </c>
      <c r="J89" t="s">
        <v>447</v>
      </c>
      <c r="K89">
        <f>IFERROR(_xlfn.XLOOKUP($A89&amp;"|"&amp;$J89,'Response Mapping'!$C$2:$C$1086,'Response Mapping'!$D$2:$D$1086),"")</f>
        <v>1</v>
      </c>
      <c r="L89" t="str">
        <f>IFERROR(_xlfn.XLOOKUP($A89&amp;"|"&amp;$J89,'Response Mapping'!$C$2:$C$1086,'Response Mapping'!$E$2:$E$1086),"")</f>
        <v>Include</v>
      </c>
      <c r="M89" t="str">
        <f>IFERROR(_xlfn.XLOOKUP($A89&amp;"|"&amp;$J89,'Response Mapping'!$C$2:$C$1086,'Response Mapping'!$F$2:$F$1086),"")</f>
        <v>Allocation Gap</v>
      </c>
      <c r="N89" t="str">
        <f>IFERROR(_xlfn.XLOOKUP($A89&amp;"|"&amp;$J89,'Response Mapping'!$C$2:$C$1086,'Response Mapping'!$G$2:$G$1086),"")</f>
        <v>REC-UCP-008-L1</v>
      </c>
      <c r="O89" t="str">
        <f t="shared" si="1"/>
        <v>No</v>
      </c>
      <c r="Q89" t="s">
        <v>46</v>
      </c>
      <c r="R89" t="s">
        <v>164</v>
      </c>
    </row>
    <row r="90" spans="1:18" x14ac:dyDescent="0.25">
      <c r="A90" t="s">
        <v>448</v>
      </c>
      <c r="B90" t="s">
        <v>414</v>
      </c>
      <c r="C90" t="s">
        <v>449</v>
      </c>
      <c r="D90" t="s">
        <v>450</v>
      </c>
      <c r="E90" t="s">
        <v>22</v>
      </c>
      <c r="F90" t="s">
        <v>42</v>
      </c>
      <c r="G90" t="s">
        <v>130</v>
      </c>
      <c r="H90" t="s">
        <v>43</v>
      </c>
      <c r="I90" t="s">
        <v>451</v>
      </c>
      <c r="J90" t="s">
        <v>452</v>
      </c>
      <c r="K90">
        <f>IFERROR(_xlfn.XLOOKUP($A90&amp;"|"&amp;$J90,'Response Mapping'!$C$2:$C$1086,'Response Mapping'!$D$2:$D$1086),"")</f>
        <v>1</v>
      </c>
      <c r="L90" t="str">
        <f>IFERROR(_xlfn.XLOOKUP($A90&amp;"|"&amp;$J90,'Response Mapping'!$C$2:$C$1086,'Response Mapping'!$E$2:$E$1086),"")</f>
        <v>Include</v>
      </c>
      <c r="M90" t="str">
        <f>IFERROR(_xlfn.XLOOKUP($A90&amp;"|"&amp;$J90,'Response Mapping'!$C$2:$C$1086,'Response Mapping'!$F$2:$F$1086),"")</f>
        <v>Late Risk Discovery</v>
      </c>
      <c r="N90" t="str">
        <f>IFERROR(_xlfn.XLOOKUP($A90&amp;"|"&amp;$J90,'Response Mapping'!$C$2:$C$1086,'Response Mapping'!$G$2:$G$1086),"")</f>
        <v>REC-UCP-009-L1</v>
      </c>
      <c r="O90" t="str">
        <f t="shared" si="1"/>
        <v>No</v>
      </c>
      <c r="Q90" t="s">
        <v>72</v>
      </c>
      <c r="R90" t="s">
        <v>73</v>
      </c>
    </row>
    <row r="91" spans="1:18" x14ac:dyDescent="0.25">
      <c r="A91" t="s">
        <v>453</v>
      </c>
      <c r="B91" t="s">
        <v>414</v>
      </c>
      <c r="C91" t="s">
        <v>449</v>
      </c>
      <c r="D91" t="s">
        <v>454</v>
      </c>
      <c r="E91" t="s">
        <v>22</v>
      </c>
      <c r="F91" t="s">
        <v>42</v>
      </c>
      <c r="G91" t="s">
        <v>130</v>
      </c>
      <c r="H91" t="s">
        <v>43</v>
      </c>
      <c r="I91" t="s">
        <v>455</v>
      </c>
      <c r="J91" t="s">
        <v>456</v>
      </c>
      <c r="K91">
        <f>IFERROR(_xlfn.XLOOKUP($A91&amp;"|"&amp;$J91,'Response Mapping'!$C$2:$C$1086,'Response Mapping'!$D$2:$D$1086),"")</f>
        <v>1</v>
      </c>
      <c r="L91" t="str">
        <f>IFERROR(_xlfn.XLOOKUP($A91&amp;"|"&amp;$J91,'Response Mapping'!$C$2:$C$1086,'Response Mapping'!$E$2:$E$1086),"")</f>
        <v>Include</v>
      </c>
      <c r="M91" t="str">
        <f>IFERROR(_xlfn.XLOOKUP($A91&amp;"|"&amp;$J91,'Response Mapping'!$C$2:$C$1086,'Response Mapping'!$F$2:$F$1086),"")</f>
        <v>Cost-of-Governance Blind Spot</v>
      </c>
      <c r="N91" t="str">
        <f>IFERROR(_xlfn.XLOOKUP($A91&amp;"|"&amp;$J91,'Response Mapping'!$C$2:$C$1086,'Response Mapping'!$G$2:$G$1086),"")</f>
        <v>REC-UCP-010-L1</v>
      </c>
      <c r="O91" t="str">
        <f t="shared" si="1"/>
        <v>No</v>
      </c>
      <c r="Q91" t="s">
        <v>46</v>
      </c>
      <c r="R91" t="s">
        <v>164</v>
      </c>
    </row>
    <row r="92" spans="1:18" x14ac:dyDescent="0.25">
      <c r="A92" t="s">
        <v>457</v>
      </c>
      <c r="B92" t="s">
        <v>414</v>
      </c>
      <c r="C92" t="s">
        <v>449</v>
      </c>
      <c r="D92" t="s">
        <v>458</v>
      </c>
      <c r="E92" t="s">
        <v>22</v>
      </c>
      <c r="F92" t="s">
        <v>42</v>
      </c>
      <c r="G92" t="s">
        <v>69</v>
      </c>
      <c r="H92" t="s">
        <v>43</v>
      </c>
      <c r="I92" t="s">
        <v>459</v>
      </c>
      <c r="J92" t="s">
        <v>460</v>
      </c>
      <c r="K92">
        <f>IFERROR(_xlfn.XLOOKUP($A92&amp;"|"&amp;$J92,'Response Mapping'!$C$2:$C$1086,'Response Mapping'!$D$2:$D$1086),"")</f>
        <v>1</v>
      </c>
      <c r="L92" t="str">
        <f>IFERROR(_xlfn.XLOOKUP($A92&amp;"|"&amp;$J92,'Response Mapping'!$C$2:$C$1086,'Response Mapping'!$E$2:$E$1086),"")</f>
        <v>Include</v>
      </c>
      <c r="M92" t="str">
        <f>IFERROR(_xlfn.XLOOKUP($A92&amp;"|"&amp;$J92,'Response Mapping'!$C$2:$C$1086,'Response Mapping'!$F$2:$F$1086),"")</f>
        <v>Sovereignty Risk Gap</v>
      </c>
      <c r="N92" t="str">
        <f>IFERROR(_xlfn.XLOOKUP($A92&amp;"|"&amp;$J92,'Response Mapping'!$C$2:$C$1086,'Response Mapping'!$G$2:$G$1086),"")</f>
        <v>REC-UCP-011-L1</v>
      </c>
      <c r="O92" t="str">
        <f t="shared" si="1"/>
        <v>No</v>
      </c>
      <c r="Q92" t="s">
        <v>72</v>
      </c>
      <c r="R92" t="s">
        <v>107</v>
      </c>
    </row>
    <row r="93" spans="1:18" x14ac:dyDescent="0.25">
      <c r="A93" t="s">
        <v>461</v>
      </c>
      <c r="B93" t="s">
        <v>414</v>
      </c>
      <c r="C93" t="s">
        <v>462</v>
      </c>
      <c r="D93" t="s">
        <v>463</v>
      </c>
      <c r="E93" t="s">
        <v>22</v>
      </c>
      <c r="F93" t="s">
        <v>130</v>
      </c>
      <c r="G93" t="s">
        <v>41</v>
      </c>
      <c r="H93" t="s">
        <v>43</v>
      </c>
      <c r="I93" t="s">
        <v>464</v>
      </c>
      <c r="J93" t="s">
        <v>465</v>
      </c>
      <c r="K93">
        <f>IFERROR(_xlfn.XLOOKUP($A93&amp;"|"&amp;$J93,'Response Mapping'!$C$2:$C$1086,'Response Mapping'!$D$2:$D$1086),"")</f>
        <v>1</v>
      </c>
      <c r="L93" t="str">
        <f>IFERROR(_xlfn.XLOOKUP($A93&amp;"|"&amp;$J93,'Response Mapping'!$C$2:$C$1086,'Response Mapping'!$E$2:$E$1086),"")</f>
        <v>Include</v>
      </c>
      <c r="M93" t="str">
        <f>IFERROR(_xlfn.XLOOKUP($A93&amp;"|"&amp;$J93,'Response Mapping'!$C$2:$C$1086,'Response Mapping'!$F$2:$F$1086),"")</f>
        <v>Champion Gap</v>
      </c>
      <c r="N93" t="str">
        <f>IFERROR(_xlfn.XLOOKUP($A93&amp;"|"&amp;$J93,'Response Mapping'!$C$2:$C$1086,'Response Mapping'!$G$2:$G$1086),"")</f>
        <v>REC-UCP-012-L1</v>
      </c>
      <c r="O93" t="str">
        <f t="shared" si="1"/>
        <v>No</v>
      </c>
      <c r="Q93" t="s">
        <v>46</v>
      </c>
      <c r="R93" t="s">
        <v>133</v>
      </c>
    </row>
    <row r="94" spans="1:18" x14ac:dyDescent="0.25">
      <c r="A94" t="s">
        <v>466</v>
      </c>
      <c r="B94" t="s">
        <v>414</v>
      </c>
      <c r="C94" t="s">
        <v>462</v>
      </c>
      <c r="D94" t="s">
        <v>467</v>
      </c>
      <c r="E94" t="s">
        <v>22</v>
      </c>
      <c r="F94" t="s">
        <v>130</v>
      </c>
      <c r="G94" t="s">
        <v>136</v>
      </c>
      <c r="H94" t="s">
        <v>43</v>
      </c>
      <c r="I94" t="s">
        <v>468</v>
      </c>
      <c r="J94" t="s">
        <v>469</v>
      </c>
      <c r="K94">
        <f>IFERROR(_xlfn.XLOOKUP($A94&amp;"|"&amp;$J94,'Response Mapping'!$C$2:$C$1086,'Response Mapping'!$D$2:$D$1086),"")</f>
        <v>1</v>
      </c>
      <c r="L94" t="str">
        <f>IFERROR(_xlfn.XLOOKUP($A94&amp;"|"&amp;$J94,'Response Mapping'!$C$2:$C$1086,'Response Mapping'!$E$2:$E$1086),"")</f>
        <v>Include</v>
      </c>
      <c r="M94" t="str">
        <f>IFERROR(_xlfn.XLOOKUP($A94&amp;"|"&amp;$J94,'Response Mapping'!$C$2:$C$1086,'Response Mapping'!$F$2:$F$1086),"")</f>
        <v>Adoption Effort Blind Spot</v>
      </c>
      <c r="N94" t="str">
        <f>IFERROR(_xlfn.XLOOKUP($A94&amp;"|"&amp;$J94,'Response Mapping'!$C$2:$C$1086,'Response Mapping'!$G$2:$G$1086),"")</f>
        <v>REC-UCP-013-L1</v>
      </c>
      <c r="O94" t="str">
        <f t="shared" si="1"/>
        <v>No</v>
      </c>
      <c r="Q94" t="s">
        <v>46</v>
      </c>
      <c r="R94" t="s">
        <v>56</v>
      </c>
    </row>
    <row r="95" spans="1:18" x14ac:dyDescent="0.25">
      <c r="A95" t="s">
        <v>470</v>
      </c>
      <c r="B95" t="s">
        <v>414</v>
      </c>
      <c r="C95" t="s">
        <v>462</v>
      </c>
      <c r="D95" t="s">
        <v>471</v>
      </c>
      <c r="E95" t="s">
        <v>22</v>
      </c>
      <c r="F95" t="s">
        <v>130</v>
      </c>
      <c r="G95" t="s">
        <v>42</v>
      </c>
      <c r="H95" t="s">
        <v>43</v>
      </c>
      <c r="I95" t="s">
        <v>472</v>
      </c>
      <c r="J95" t="s">
        <v>473</v>
      </c>
      <c r="K95">
        <f>IFERROR(_xlfn.XLOOKUP($A95&amp;"|"&amp;$J95,'Response Mapping'!$C$2:$C$1086,'Response Mapping'!$D$2:$D$1086),"")</f>
        <v>1</v>
      </c>
      <c r="L95" t="str">
        <f>IFERROR(_xlfn.XLOOKUP($A95&amp;"|"&amp;$J95,'Response Mapping'!$C$2:$C$1086,'Response Mapping'!$E$2:$E$1086),"")</f>
        <v>Include</v>
      </c>
      <c r="M95" t="str">
        <f>IFERROR(_xlfn.XLOOKUP($A95&amp;"|"&amp;$J95,'Response Mapping'!$C$2:$C$1086,'Response Mapping'!$F$2:$F$1086),"")</f>
        <v>Learning Loop Gap</v>
      </c>
      <c r="N95" t="str">
        <f>IFERROR(_xlfn.XLOOKUP($A95&amp;"|"&amp;$J95,'Response Mapping'!$C$2:$C$1086,'Response Mapping'!$G$2:$G$1086),"")</f>
        <v>REC-UCP-014-L1</v>
      </c>
      <c r="O95" t="str">
        <f t="shared" si="1"/>
        <v>No</v>
      </c>
      <c r="Q95" t="s">
        <v>79</v>
      </c>
      <c r="R95" t="s">
        <v>474</v>
      </c>
    </row>
    <row r="96" spans="1:18" x14ac:dyDescent="0.25">
      <c r="A96" t="s">
        <v>475</v>
      </c>
      <c r="B96" t="s">
        <v>476</v>
      </c>
      <c r="C96" t="s">
        <v>477</v>
      </c>
      <c r="D96" t="s">
        <v>478</v>
      </c>
      <c r="E96" t="s">
        <v>22</v>
      </c>
      <c r="F96" t="s">
        <v>42</v>
      </c>
      <c r="G96" t="s">
        <v>41</v>
      </c>
      <c r="H96" t="s">
        <v>43</v>
      </c>
      <c r="I96" t="s">
        <v>479</v>
      </c>
      <c r="J96" t="s">
        <v>480</v>
      </c>
      <c r="K96">
        <f>IFERROR(_xlfn.XLOOKUP($A96&amp;"|"&amp;$J96,'Response Mapping'!$C$2:$C$1086,'Response Mapping'!$D$2:$D$1086),"")</f>
        <v>1</v>
      </c>
      <c r="L96" t="str">
        <f>IFERROR(_xlfn.XLOOKUP($A96&amp;"|"&amp;$J96,'Response Mapping'!$C$2:$C$1086,'Response Mapping'!$E$2:$E$1086),"")</f>
        <v>Include</v>
      </c>
      <c r="M96" t="str">
        <f>IFERROR(_xlfn.XLOOKUP($A96&amp;"|"&amp;$J96,'Response Mapping'!$C$2:$C$1086,'Response Mapping'!$F$2:$F$1086),"")</f>
        <v>Council Fluency Gap</v>
      </c>
      <c r="N96" t="str">
        <f>IFERROR(_xlfn.XLOOKUP($A96&amp;"|"&amp;$J96,'Response Mapping'!$C$2:$C$1086,'Response Mapping'!$G$2:$G$1086),"")</f>
        <v>REC-TRN-001-L1</v>
      </c>
      <c r="O96" t="str">
        <f t="shared" si="1"/>
        <v>No</v>
      </c>
      <c r="Q96" t="s">
        <v>46</v>
      </c>
      <c r="R96" t="s">
        <v>127</v>
      </c>
    </row>
    <row r="97" spans="1:18" x14ac:dyDescent="0.25">
      <c r="A97" t="s">
        <v>481</v>
      </c>
      <c r="B97" t="s">
        <v>476</v>
      </c>
      <c r="C97" t="s">
        <v>477</v>
      </c>
      <c r="D97" t="s">
        <v>482</v>
      </c>
      <c r="E97" t="s">
        <v>22</v>
      </c>
      <c r="F97" t="s">
        <v>42</v>
      </c>
      <c r="G97" t="s">
        <v>41</v>
      </c>
      <c r="H97" t="s">
        <v>43</v>
      </c>
      <c r="I97" t="s">
        <v>483</v>
      </c>
      <c r="J97" t="s">
        <v>484</v>
      </c>
      <c r="K97">
        <f>IFERROR(_xlfn.XLOOKUP($A97&amp;"|"&amp;$J97,'Response Mapping'!$C$2:$C$1086,'Response Mapping'!$D$2:$D$1086),"")</f>
        <v>1</v>
      </c>
      <c r="L97" t="str">
        <f>IFERROR(_xlfn.XLOOKUP($A97&amp;"|"&amp;$J97,'Response Mapping'!$C$2:$C$1086,'Response Mapping'!$E$2:$E$1086),"")</f>
        <v>Include</v>
      </c>
      <c r="M97" t="str">
        <f>IFERROR(_xlfn.XLOOKUP($A97&amp;"|"&amp;$J97,'Response Mapping'!$C$2:$C$1086,'Response Mapping'!$F$2:$F$1086),"")</f>
        <v>Regulatory Training Gap</v>
      </c>
      <c r="N97" t="str">
        <f>IFERROR(_xlfn.XLOOKUP($A97&amp;"|"&amp;$J97,'Response Mapping'!$C$2:$C$1086,'Response Mapping'!$G$2:$G$1086),"")</f>
        <v>REC-TRN-002-L1</v>
      </c>
      <c r="O97" t="str">
        <f t="shared" si="1"/>
        <v>No</v>
      </c>
      <c r="Q97" t="s">
        <v>46</v>
      </c>
      <c r="R97" t="s">
        <v>127</v>
      </c>
    </row>
    <row r="98" spans="1:18" x14ac:dyDescent="0.25">
      <c r="A98" t="s">
        <v>485</v>
      </c>
      <c r="B98" t="s">
        <v>476</v>
      </c>
      <c r="C98" t="s">
        <v>477</v>
      </c>
      <c r="D98" t="s">
        <v>486</v>
      </c>
      <c r="E98" t="s">
        <v>22</v>
      </c>
      <c r="F98" t="s">
        <v>42</v>
      </c>
      <c r="G98" t="s">
        <v>41</v>
      </c>
      <c r="H98" t="s">
        <v>43</v>
      </c>
      <c r="I98" t="s">
        <v>487</v>
      </c>
      <c r="J98" t="s">
        <v>488</v>
      </c>
      <c r="K98">
        <f>IFERROR(_xlfn.XLOOKUP($A98&amp;"|"&amp;$J98,'Response Mapping'!$C$2:$C$1086,'Response Mapping'!$D$2:$D$1086),"")</f>
        <v>1</v>
      </c>
      <c r="L98" t="str">
        <f>IFERROR(_xlfn.XLOOKUP($A98&amp;"|"&amp;$J98,'Response Mapping'!$C$2:$C$1086,'Response Mapping'!$E$2:$E$1086),"")</f>
        <v>Include</v>
      </c>
      <c r="M98" t="str">
        <f>IFERROR(_xlfn.XLOOKUP($A98&amp;"|"&amp;$J98,'Response Mapping'!$C$2:$C$1086,'Response Mapping'!$F$2:$F$1086),"")</f>
        <v>Calibration Gap</v>
      </c>
      <c r="N98" t="str">
        <f>IFERROR(_xlfn.XLOOKUP($A98&amp;"|"&amp;$J98,'Response Mapping'!$C$2:$C$1086,'Response Mapping'!$G$2:$G$1086),"")</f>
        <v>REC-TRN-003-L1</v>
      </c>
      <c r="O98" t="str">
        <f t="shared" si="1"/>
        <v>No</v>
      </c>
      <c r="Q98" t="s">
        <v>72</v>
      </c>
      <c r="R98" t="s">
        <v>127</v>
      </c>
    </row>
    <row r="99" spans="1:18" x14ac:dyDescent="0.25">
      <c r="A99" t="s">
        <v>489</v>
      </c>
      <c r="B99" t="s">
        <v>476</v>
      </c>
      <c r="C99" t="s">
        <v>477</v>
      </c>
      <c r="D99" t="s">
        <v>490</v>
      </c>
      <c r="E99" t="s">
        <v>22</v>
      </c>
      <c r="F99" t="s">
        <v>42</v>
      </c>
      <c r="G99" t="s">
        <v>41</v>
      </c>
      <c r="H99" t="s">
        <v>43</v>
      </c>
      <c r="I99" t="s">
        <v>491</v>
      </c>
      <c r="J99" t="s">
        <v>492</v>
      </c>
      <c r="K99">
        <f>IFERROR(_xlfn.XLOOKUP($A99&amp;"|"&amp;$J99,'Response Mapping'!$C$2:$C$1086,'Response Mapping'!$D$2:$D$1086),"")</f>
        <v>1</v>
      </c>
      <c r="L99" t="str">
        <f>IFERROR(_xlfn.XLOOKUP($A99&amp;"|"&amp;$J99,'Response Mapping'!$C$2:$C$1086,'Response Mapping'!$E$2:$E$1086),"")</f>
        <v>Include</v>
      </c>
      <c r="M99" t="str">
        <f>IFERROR(_xlfn.XLOOKUP($A99&amp;"|"&amp;$J99,'Response Mapping'!$C$2:$C$1086,'Response Mapping'!$F$2:$F$1086),"")</f>
        <v>Black Box Acceptance</v>
      </c>
      <c r="N99" t="str">
        <f>IFERROR(_xlfn.XLOOKUP($A99&amp;"|"&amp;$J99,'Response Mapping'!$C$2:$C$1086,'Response Mapping'!$G$2:$G$1086),"")</f>
        <v>REC-TRN-004-L1</v>
      </c>
      <c r="O99" t="str">
        <f t="shared" si="1"/>
        <v>No</v>
      </c>
      <c r="Q99" t="s">
        <v>46</v>
      </c>
      <c r="R99" t="s">
        <v>127</v>
      </c>
    </row>
    <row r="100" spans="1:18" x14ac:dyDescent="0.25">
      <c r="A100" t="s">
        <v>493</v>
      </c>
      <c r="B100" t="s">
        <v>476</v>
      </c>
      <c r="C100" t="s">
        <v>477</v>
      </c>
      <c r="D100" t="s">
        <v>494</v>
      </c>
      <c r="E100" t="s">
        <v>22</v>
      </c>
      <c r="F100" t="s">
        <v>42</v>
      </c>
      <c r="G100" t="s">
        <v>41</v>
      </c>
      <c r="H100" t="s">
        <v>43</v>
      </c>
      <c r="I100" t="s">
        <v>495</v>
      </c>
      <c r="J100" t="s">
        <v>496</v>
      </c>
      <c r="K100">
        <f>IFERROR(_xlfn.XLOOKUP($A100&amp;"|"&amp;$J100,'Response Mapping'!$C$2:$C$1086,'Response Mapping'!$D$2:$D$1086),"")</f>
        <v>1</v>
      </c>
      <c r="L100" t="str">
        <f>IFERROR(_xlfn.XLOOKUP($A100&amp;"|"&amp;$J100,'Response Mapping'!$C$2:$C$1086,'Response Mapping'!$E$2:$E$1086),"")</f>
        <v>Include</v>
      </c>
      <c r="M100" t="str">
        <f>IFERROR(_xlfn.XLOOKUP($A100&amp;"|"&amp;$J100,'Response Mapping'!$C$2:$C$1086,'Response Mapping'!$F$2:$F$1086),"")</f>
        <v>Intuition Gap</v>
      </c>
      <c r="N100" t="str">
        <f>IFERROR(_xlfn.XLOOKUP($A100&amp;"|"&amp;$J100,'Response Mapping'!$C$2:$C$1086,'Response Mapping'!$G$2:$G$1086),"")</f>
        <v>REC-TRN-005-L1</v>
      </c>
      <c r="O100" t="str">
        <f t="shared" si="1"/>
        <v>No</v>
      </c>
      <c r="Q100" t="s">
        <v>79</v>
      </c>
      <c r="R100" t="s">
        <v>127</v>
      </c>
    </row>
    <row r="101" spans="1:18" x14ac:dyDescent="0.25">
      <c r="A101" t="s">
        <v>497</v>
      </c>
      <c r="B101" t="s">
        <v>476</v>
      </c>
      <c r="C101" t="s">
        <v>498</v>
      </c>
      <c r="D101" t="s">
        <v>499</v>
      </c>
      <c r="E101" t="s">
        <v>22</v>
      </c>
      <c r="F101" t="s">
        <v>136</v>
      </c>
      <c r="G101" t="s">
        <v>42</v>
      </c>
      <c r="H101" t="s">
        <v>43</v>
      </c>
      <c r="I101" t="s">
        <v>500</v>
      </c>
      <c r="J101" t="s">
        <v>501</v>
      </c>
      <c r="K101">
        <f>IFERROR(_xlfn.XLOOKUP($A101&amp;"|"&amp;$J101,'Response Mapping'!$C$2:$C$1086,'Response Mapping'!$D$2:$D$1086),"")</f>
        <v>1</v>
      </c>
      <c r="L101" t="str">
        <f>IFERROR(_xlfn.XLOOKUP($A101&amp;"|"&amp;$J101,'Response Mapping'!$C$2:$C$1086,'Response Mapping'!$E$2:$E$1086),"")</f>
        <v>Include</v>
      </c>
      <c r="M101" t="str">
        <f>IFERROR(_xlfn.XLOOKUP($A101&amp;"|"&amp;$J101,'Response Mapping'!$C$2:$C$1086,'Response Mapping'!$F$2:$F$1086),"")</f>
        <v>Tool Awareness Gap</v>
      </c>
      <c r="N101" t="str">
        <f>IFERROR(_xlfn.XLOOKUP($A101&amp;"|"&amp;$J101,'Response Mapping'!$C$2:$C$1086,'Response Mapping'!$G$2:$G$1086),"")</f>
        <v>REC-TRN-006-L1</v>
      </c>
      <c r="O101" t="str">
        <f t="shared" si="1"/>
        <v>No</v>
      </c>
      <c r="Q101" t="s">
        <v>46</v>
      </c>
      <c r="R101" t="s">
        <v>502</v>
      </c>
    </row>
    <row r="102" spans="1:18" x14ac:dyDescent="0.25">
      <c r="A102" t="s">
        <v>503</v>
      </c>
      <c r="B102" t="s">
        <v>476</v>
      </c>
      <c r="C102" t="s">
        <v>498</v>
      </c>
      <c r="D102" t="s">
        <v>504</v>
      </c>
      <c r="E102" t="s">
        <v>22</v>
      </c>
      <c r="F102" t="s">
        <v>136</v>
      </c>
      <c r="G102" t="s">
        <v>130</v>
      </c>
      <c r="H102" t="s">
        <v>43</v>
      </c>
      <c r="I102" t="s">
        <v>505</v>
      </c>
      <c r="J102" t="s">
        <v>506</v>
      </c>
      <c r="K102">
        <f>IFERROR(_xlfn.XLOOKUP($A102&amp;"|"&amp;$J102,'Response Mapping'!$C$2:$C$1086,'Response Mapping'!$D$2:$D$1086),"")</f>
        <v>1</v>
      </c>
      <c r="L102" t="str">
        <f>IFERROR(_xlfn.XLOOKUP($A102&amp;"|"&amp;$J102,'Response Mapping'!$C$2:$C$1086,'Response Mapping'!$E$2:$E$1086),"")</f>
        <v>Include</v>
      </c>
      <c r="M102" t="str">
        <f>IFERROR(_xlfn.XLOOKUP($A102&amp;"|"&amp;$J102,'Response Mapping'!$C$2:$C$1086,'Response Mapping'!$F$2:$F$1086),"")</f>
        <v>Prompt/Verify Training Gap</v>
      </c>
      <c r="N102" t="str">
        <f>IFERROR(_xlfn.XLOOKUP($A102&amp;"|"&amp;$J102,'Response Mapping'!$C$2:$C$1086,'Response Mapping'!$G$2:$G$1086),"")</f>
        <v>REC-TRN-007-L1</v>
      </c>
      <c r="O102" t="str">
        <f t="shared" si="1"/>
        <v>No</v>
      </c>
      <c r="Q102" t="s">
        <v>46</v>
      </c>
      <c r="R102" t="s">
        <v>127</v>
      </c>
    </row>
    <row r="103" spans="1:18" x14ac:dyDescent="0.25">
      <c r="A103" t="s">
        <v>507</v>
      </c>
      <c r="B103" t="s">
        <v>476</v>
      </c>
      <c r="C103" t="s">
        <v>498</v>
      </c>
      <c r="D103" t="s">
        <v>508</v>
      </c>
      <c r="E103" t="s">
        <v>22</v>
      </c>
      <c r="F103" t="s">
        <v>136</v>
      </c>
      <c r="G103" t="s">
        <v>42</v>
      </c>
      <c r="H103" t="s">
        <v>43</v>
      </c>
      <c r="I103" t="s">
        <v>509</v>
      </c>
      <c r="J103" t="s">
        <v>510</v>
      </c>
      <c r="K103">
        <f>IFERROR(_xlfn.XLOOKUP($A103&amp;"|"&amp;$J103,'Response Mapping'!$C$2:$C$1086,'Response Mapping'!$D$2:$D$1086),"")</f>
        <v>1</v>
      </c>
      <c r="L103" t="str">
        <f>IFERROR(_xlfn.XLOOKUP($A103&amp;"|"&amp;$J103,'Response Mapping'!$C$2:$C$1086,'Response Mapping'!$E$2:$E$1086),"")</f>
        <v>Include</v>
      </c>
      <c r="M103" t="str">
        <f>IFERROR(_xlfn.XLOOKUP($A103&amp;"|"&amp;$J103,'Response Mapping'!$C$2:$C$1086,'Response Mapping'!$F$2:$F$1086),"")</f>
        <v>Sensitive Data Awareness Gap</v>
      </c>
      <c r="N103" t="str">
        <f>IFERROR(_xlfn.XLOOKUP($A103&amp;"|"&amp;$J103,'Response Mapping'!$C$2:$C$1086,'Response Mapping'!$G$2:$G$1086),"")</f>
        <v>REC-TRN-008-L1</v>
      </c>
      <c r="O103" t="str">
        <f t="shared" si="1"/>
        <v>No</v>
      </c>
      <c r="Q103" t="s">
        <v>46</v>
      </c>
      <c r="R103" t="s">
        <v>127</v>
      </c>
    </row>
    <row r="104" spans="1:18" x14ac:dyDescent="0.25">
      <c r="A104" t="s">
        <v>511</v>
      </c>
      <c r="B104" t="s">
        <v>476</v>
      </c>
      <c r="C104" t="s">
        <v>498</v>
      </c>
      <c r="D104" t="s">
        <v>512</v>
      </c>
      <c r="E104" t="s">
        <v>22</v>
      </c>
      <c r="F104" t="s">
        <v>136</v>
      </c>
      <c r="G104" t="s">
        <v>130</v>
      </c>
      <c r="H104" t="s">
        <v>43</v>
      </c>
      <c r="I104" t="s">
        <v>513</v>
      </c>
      <c r="J104" t="s">
        <v>514</v>
      </c>
      <c r="K104">
        <f>IFERROR(_xlfn.XLOOKUP($A104&amp;"|"&amp;$J104,'Response Mapping'!$C$2:$C$1086,'Response Mapping'!$D$2:$D$1086),"")</f>
        <v>1</v>
      </c>
      <c r="L104" t="str">
        <f>IFERROR(_xlfn.XLOOKUP($A104&amp;"|"&amp;$J104,'Response Mapping'!$C$2:$C$1086,'Response Mapping'!$E$2:$E$1086),"")</f>
        <v>Include</v>
      </c>
      <c r="M104" t="str">
        <f>IFERROR(_xlfn.XLOOKUP($A104&amp;"|"&amp;$J104,'Response Mapping'!$C$2:$C$1086,'Response Mapping'!$F$2:$F$1086),"")</f>
        <v>Accountability Gap</v>
      </c>
      <c r="N104" t="str">
        <f>IFERROR(_xlfn.XLOOKUP($A104&amp;"|"&amp;$J104,'Response Mapping'!$C$2:$C$1086,'Response Mapping'!$G$2:$G$1086),"")</f>
        <v>REC-TRN-009-L1</v>
      </c>
      <c r="O104" t="str">
        <f t="shared" si="1"/>
        <v>No</v>
      </c>
      <c r="Q104" t="s">
        <v>46</v>
      </c>
      <c r="R104" t="s">
        <v>502</v>
      </c>
    </row>
    <row r="105" spans="1:18" x14ac:dyDescent="0.25">
      <c r="A105" t="s">
        <v>515</v>
      </c>
      <c r="B105" t="s">
        <v>476</v>
      </c>
      <c r="C105" t="s">
        <v>498</v>
      </c>
      <c r="D105" t="s">
        <v>516</v>
      </c>
      <c r="E105" t="s">
        <v>22</v>
      </c>
      <c r="F105" t="s">
        <v>130</v>
      </c>
      <c r="G105" t="s">
        <v>136</v>
      </c>
      <c r="H105" t="s">
        <v>43</v>
      </c>
      <c r="I105" t="s">
        <v>517</v>
      </c>
      <c r="J105" t="s">
        <v>518</v>
      </c>
      <c r="K105">
        <f>IFERROR(_xlfn.XLOOKUP($A105&amp;"|"&amp;$J105,'Response Mapping'!$C$2:$C$1086,'Response Mapping'!$D$2:$D$1086),"")</f>
        <v>1</v>
      </c>
      <c r="L105" t="str">
        <f>IFERROR(_xlfn.XLOOKUP($A105&amp;"|"&amp;$J105,'Response Mapping'!$C$2:$C$1086,'Response Mapping'!$E$2:$E$1086),"")</f>
        <v>Include</v>
      </c>
      <c r="M105" t="str">
        <f>IFERROR(_xlfn.XLOOKUP($A105&amp;"|"&amp;$J105,'Response Mapping'!$C$2:$C$1086,'Response Mapping'!$F$2:$F$1086),"")</f>
        <v>Use Case Recognition Gap</v>
      </c>
      <c r="N105" t="str">
        <f>IFERROR(_xlfn.XLOOKUP($A105&amp;"|"&amp;$J105,'Response Mapping'!$C$2:$C$1086,'Response Mapping'!$G$2:$G$1086),"")</f>
        <v>REC-TRN-010-L1</v>
      </c>
      <c r="O105" t="str">
        <f t="shared" si="1"/>
        <v>No</v>
      </c>
      <c r="Q105" t="s">
        <v>72</v>
      </c>
      <c r="R105" t="s">
        <v>127</v>
      </c>
    </row>
    <row r="106" spans="1:18" x14ac:dyDescent="0.25">
      <c r="A106" t="s">
        <v>519</v>
      </c>
      <c r="B106" t="s">
        <v>476</v>
      </c>
      <c r="C106" t="s">
        <v>520</v>
      </c>
      <c r="D106" t="s">
        <v>521</v>
      </c>
      <c r="E106" t="s">
        <v>22</v>
      </c>
      <c r="F106" t="s">
        <v>130</v>
      </c>
      <c r="G106" t="s">
        <v>136</v>
      </c>
      <c r="H106" t="s">
        <v>43</v>
      </c>
      <c r="I106" t="s">
        <v>522</v>
      </c>
      <c r="J106" t="s">
        <v>523</v>
      </c>
      <c r="K106">
        <f>IFERROR(_xlfn.XLOOKUP($A106&amp;"|"&amp;$J106,'Response Mapping'!$C$2:$C$1086,'Response Mapping'!$D$2:$D$1086),"")</f>
        <v>1</v>
      </c>
      <c r="L106" t="str">
        <f>IFERROR(_xlfn.XLOOKUP($A106&amp;"|"&amp;$J106,'Response Mapping'!$C$2:$C$1086,'Response Mapping'!$E$2:$E$1086),"")</f>
        <v>Include</v>
      </c>
      <c r="M106" t="str">
        <f>IFERROR(_xlfn.XLOOKUP($A106&amp;"|"&amp;$J106,'Response Mapping'!$C$2:$C$1086,'Response Mapping'!$F$2:$F$1086),"")</f>
        <v>Persona Differentiation Gap</v>
      </c>
      <c r="N106" t="str">
        <f>IFERROR(_xlfn.XLOOKUP($A106&amp;"|"&amp;$J106,'Response Mapping'!$C$2:$C$1086,'Response Mapping'!$G$2:$G$1086),"")</f>
        <v>REC-TRN-011-L1</v>
      </c>
      <c r="O106" t="str">
        <f t="shared" si="1"/>
        <v>No</v>
      </c>
      <c r="Q106" t="s">
        <v>46</v>
      </c>
      <c r="R106" t="s">
        <v>127</v>
      </c>
    </row>
    <row r="107" spans="1:18" x14ac:dyDescent="0.25">
      <c r="A107" t="s">
        <v>524</v>
      </c>
      <c r="B107" t="s">
        <v>476</v>
      </c>
      <c r="C107" t="s">
        <v>520</v>
      </c>
      <c r="D107" t="s">
        <v>525</v>
      </c>
      <c r="E107" t="s">
        <v>22</v>
      </c>
      <c r="F107" t="s">
        <v>130</v>
      </c>
      <c r="G107" t="s">
        <v>136</v>
      </c>
      <c r="H107" t="s">
        <v>43</v>
      </c>
      <c r="I107" t="s">
        <v>526</v>
      </c>
      <c r="J107" t="s">
        <v>527</v>
      </c>
      <c r="K107">
        <f>IFERROR(_xlfn.XLOOKUP($A107&amp;"|"&amp;$J107,'Response Mapping'!$C$2:$C$1086,'Response Mapping'!$D$2:$D$1086),"")</f>
        <v>1</v>
      </c>
      <c r="L107" t="str">
        <f>IFERROR(_xlfn.XLOOKUP($A107&amp;"|"&amp;$J107,'Response Mapping'!$C$2:$C$1086,'Response Mapping'!$E$2:$E$1086),"")</f>
        <v>Include</v>
      </c>
      <c r="M107" t="str">
        <f>IFERROR(_xlfn.XLOOKUP($A107&amp;"|"&amp;$J107,'Response Mapping'!$C$2:$C$1086,'Response Mapping'!$F$2:$F$1086),"")</f>
        <v>Stale Training</v>
      </c>
      <c r="N107" t="str">
        <f>IFERROR(_xlfn.XLOOKUP($A107&amp;"|"&amp;$J107,'Response Mapping'!$C$2:$C$1086,'Response Mapping'!$G$2:$G$1086),"")</f>
        <v>REC-TRN-012-L1</v>
      </c>
      <c r="O107" t="str">
        <f t="shared" si="1"/>
        <v>No</v>
      </c>
      <c r="Q107" t="s">
        <v>46</v>
      </c>
      <c r="R107" t="s">
        <v>127</v>
      </c>
    </row>
    <row r="108" spans="1:18" x14ac:dyDescent="0.25">
      <c r="A108" t="s">
        <v>528</v>
      </c>
      <c r="B108" t="s">
        <v>476</v>
      </c>
      <c r="C108" t="s">
        <v>520</v>
      </c>
      <c r="D108" t="s">
        <v>529</v>
      </c>
      <c r="E108" t="s">
        <v>22</v>
      </c>
      <c r="F108" t="s">
        <v>130</v>
      </c>
      <c r="G108" t="s">
        <v>42</v>
      </c>
      <c r="H108" t="s">
        <v>43</v>
      </c>
      <c r="I108" t="s">
        <v>530</v>
      </c>
      <c r="J108" t="s">
        <v>531</v>
      </c>
      <c r="K108">
        <f>IFERROR(_xlfn.XLOOKUP($A108&amp;"|"&amp;$J108,'Response Mapping'!$C$2:$C$1086,'Response Mapping'!$D$2:$D$1086),"")</f>
        <v>1</v>
      </c>
      <c r="L108" t="str">
        <f>IFERROR(_xlfn.XLOOKUP($A108&amp;"|"&amp;$J108,'Response Mapping'!$C$2:$C$1086,'Response Mapping'!$E$2:$E$1086),"")</f>
        <v>Include</v>
      </c>
      <c r="M108" t="str">
        <f>IFERROR(_xlfn.XLOOKUP($A108&amp;"|"&amp;$J108,'Response Mapping'!$C$2:$C$1086,'Response Mapping'!$F$2:$F$1086),"")</f>
        <v>Impact Measurement Gap</v>
      </c>
      <c r="N108" t="str">
        <f>IFERROR(_xlfn.XLOOKUP($A108&amp;"|"&amp;$J108,'Response Mapping'!$C$2:$C$1086,'Response Mapping'!$G$2:$G$1086),"")</f>
        <v>REC-TRN-013-L1</v>
      </c>
      <c r="O108" t="str">
        <f t="shared" si="1"/>
        <v>No</v>
      </c>
      <c r="Q108" t="s">
        <v>79</v>
      </c>
      <c r="R108" t="s">
        <v>199</v>
      </c>
    </row>
    <row r="109" spans="1:18" x14ac:dyDescent="0.25">
      <c r="A109" t="s">
        <v>532</v>
      </c>
      <c r="B109" t="s">
        <v>476</v>
      </c>
      <c r="C109" t="s">
        <v>520</v>
      </c>
      <c r="D109" t="s">
        <v>533</v>
      </c>
      <c r="E109" t="s">
        <v>22</v>
      </c>
      <c r="F109" t="s">
        <v>136</v>
      </c>
      <c r="G109" t="s">
        <v>130</v>
      </c>
      <c r="H109" t="s">
        <v>43</v>
      </c>
      <c r="I109" t="s">
        <v>534</v>
      </c>
      <c r="J109" t="s">
        <v>535</v>
      </c>
      <c r="K109">
        <f>IFERROR(_xlfn.XLOOKUP($A109&amp;"|"&amp;$J109,'Response Mapping'!$C$2:$C$1086,'Response Mapping'!$D$2:$D$1086),"")</f>
        <v>1</v>
      </c>
      <c r="L109" t="str">
        <f>IFERROR(_xlfn.XLOOKUP($A109&amp;"|"&amp;$J109,'Response Mapping'!$C$2:$C$1086,'Response Mapping'!$E$2:$E$1086),"")</f>
        <v>Include</v>
      </c>
      <c r="M109" t="str">
        <f>IFERROR(_xlfn.XLOOKUP($A109&amp;"|"&amp;$J109,'Response Mapping'!$C$2:$C$1086,'Response Mapping'!$F$2:$F$1086),"")</f>
        <v>Expert Access Gap</v>
      </c>
      <c r="N109" t="str">
        <f>IFERROR(_xlfn.XLOOKUP($A109&amp;"|"&amp;$J109,'Response Mapping'!$C$2:$C$1086,'Response Mapping'!$G$2:$G$1086),"")</f>
        <v>REC-TRN-014-L1</v>
      </c>
      <c r="O109" t="str">
        <f t="shared" si="1"/>
        <v>No</v>
      </c>
      <c r="Q109" t="s">
        <v>46</v>
      </c>
      <c r="R109" t="s">
        <v>502</v>
      </c>
    </row>
    <row r="110" spans="1:18" x14ac:dyDescent="0.25">
      <c r="A110" t="s">
        <v>536</v>
      </c>
      <c r="B110" t="s">
        <v>537</v>
      </c>
      <c r="C110" t="s">
        <v>538</v>
      </c>
      <c r="D110" t="s">
        <v>539</v>
      </c>
      <c r="E110" t="s">
        <v>22</v>
      </c>
      <c r="F110" t="s">
        <v>41</v>
      </c>
      <c r="G110" t="s">
        <v>130</v>
      </c>
      <c r="H110" t="s">
        <v>43</v>
      </c>
      <c r="I110" t="s">
        <v>540</v>
      </c>
      <c r="J110" t="s">
        <v>541</v>
      </c>
      <c r="K110">
        <f>IFERROR(_xlfn.XLOOKUP($A110&amp;"|"&amp;$J110,'Response Mapping'!$C$2:$C$1086,'Response Mapping'!$D$2:$D$1086),"")</f>
        <v>1</v>
      </c>
      <c r="L110" t="str">
        <f>IFERROR(_xlfn.XLOOKUP($A110&amp;"|"&amp;$J110,'Response Mapping'!$C$2:$C$1086,'Response Mapping'!$E$2:$E$1086),"")</f>
        <v>Include</v>
      </c>
      <c r="M110" t="str">
        <f>IFERROR(_xlfn.XLOOKUP($A110&amp;"|"&amp;$J110,'Response Mapping'!$C$2:$C$1086,'Response Mapping'!$F$2:$F$1086),"")</f>
        <v>Vision Framing Gap</v>
      </c>
      <c r="N110" t="str">
        <f>IFERROR(_xlfn.XLOOKUP($A110&amp;"|"&amp;$J110,'Response Mapping'!$C$2:$C$1086,'Response Mapping'!$G$2:$G$1086),"")</f>
        <v>REC-CMA-001-L1</v>
      </c>
      <c r="O110" t="str">
        <f t="shared" si="1"/>
        <v>No</v>
      </c>
      <c r="Q110" t="s">
        <v>46</v>
      </c>
      <c r="R110" t="s">
        <v>139</v>
      </c>
    </row>
    <row r="111" spans="1:18" x14ac:dyDescent="0.25">
      <c r="A111" t="s">
        <v>542</v>
      </c>
      <c r="B111" t="s">
        <v>537</v>
      </c>
      <c r="C111" t="s">
        <v>538</v>
      </c>
      <c r="D111" t="s">
        <v>543</v>
      </c>
      <c r="E111" t="s">
        <v>22</v>
      </c>
      <c r="F111" t="s">
        <v>130</v>
      </c>
      <c r="G111" t="s">
        <v>136</v>
      </c>
      <c r="H111" t="s">
        <v>43</v>
      </c>
      <c r="I111" t="s">
        <v>544</v>
      </c>
      <c r="J111" t="s">
        <v>545</v>
      </c>
      <c r="K111">
        <f>IFERROR(_xlfn.XLOOKUP($A111&amp;"|"&amp;$J111,'Response Mapping'!$C$2:$C$1086,'Response Mapping'!$D$2:$D$1086),"")</f>
        <v>1</v>
      </c>
      <c r="L111" t="str">
        <f>IFERROR(_xlfn.XLOOKUP($A111&amp;"|"&amp;$J111,'Response Mapping'!$C$2:$C$1086,'Response Mapping'!$E$2:$E$1086),"")</f>
        <v>Include</v>
      </c>
      <c r="M111" t="str">
        <f>IFERROR(_xlfn.XLOOKUP($A111&amp;"|"&amp;$J111,'Response Mapping'!$C$2:$C$1086,'Response Mapping'!$F$2:$F$1086),"")</f>
        <v>Portfolio Transparency Gap</v>
      </c>
      <c r="N111" t="str">
        <f>IFERROR(_xlfn.XLOOKUP($A111&amp;"|"&amp;$J111,'Response Mapping'!$C$2:$C$1086,'Response Mapping'!$G$2:$G$1086),"")</f>
        <v>REC-CMA-002-L1</v>
      </c>
      <c r="O111" t="str">
        <f t="shared" si="1"/>
        <v>No</v>
      </c>
      <c r="Q111" t="s">
        <v>46</v>
      </c>
      <c r="R111" t="s">
        <v>139</v>
      </c>
    </row>
    <row r="112" spans="1:18" x14ac:dyDescent="0.25">
      <c r="A112" t="s">
        <v>546</v>
      </c>
      <c r="B112" t="s">
        <v>537</v>
      </c>
      <c r="C112" t="s">
        <v>538</v>
      </c>
      <c r="D112" t="s">
        <v>547</v>
      </c>
      <c r="E112" t="s">
        <v>22</v>
      </c>
      <c r="F112" t="s">
        <v>130</v>
      </c>
      <c r="G112" t="s">
        <v>136</v>
      </c>
      <c r="H112" t="s">
        <v>43</v>
      </c>
      <c r="I112" t="s">
        <v>548</v>
      </c>
      <c r="J112" t="s">
        <v>549</v>
      </c>
      <c r="K112">
        <f>IFERROR(_xlfn.XLOOKUP($A112&amp;"|"&amp;$J112,'Response Mapping'!$C$2:$C$1086,'Response Mapping'!$D$2:$D$1086),"")</f>
        <v>1</v>
      </c>
      <c r="L112" t="str">
        <f>IFERROR(_xlfn.XLOOKUP($A112&amp;"|"&amp;$J112,'Response Mapping'!$C$2:$C$1086,'Response Mapping'!$E$2:$E$1086),"")</f>
        <v>Include</v>
      </c>
      <c r="M112" t="str">
        <f>IFERROR(_xlfn.XLOOKUP($A112&amp;"|"&amp;$J112,'Response Mapping'!$C$2:$C$1086,'Response Mapping'!$F$2:$F$1086),"")</f>
        <v>WIIFM Gap</v>
      </c>
      <c r="N112" t="str">
        <f>IFERROR(_xlfn.XLOOKUP($A112&amp;"|"&amp;$J112,'Response Mapping'!$C$2:$C$1086,'Response Mapping'!$G$2:$G$1086),"")</f>
        <v>REC-CMA-003-L1</v>
      </c>
      <c r="O112" t="str">
        <f t="shared" si="1"/>
        <v>No</v>
      </c>
      <c r="Q112" t="s">
        <v>46</v>
      </c>
      <c r="R112" t="s">
        <v>139</v>
      </c>
    </row>
    <row r="113" spans="1:18" x14ac:dyDescent="0.25">
      <c r="A113" t="s">
        <v>550</v>
      </c>
      <c r="B113" t="s">
        <v>537</v>
      </c>
      <c r="C113" t="s">
        <v>538</v>
      </c>
      <c r="D113" t="s">
        <v>551</v>
      </c>
      <c r="E113" t="s">
        <v>22</v>
      </c>
      <c r="F113" t="s">
        <v>41</v>
      </c>
      <c r="G113" t="s">
        <v>130</v>
      </c>
      <c r="H113" t="s">
        <v>43</v>
      </c>
      <c r="I113" t="s">
        <v>552</v>
      </c>
      <c r="J113" t="s">
        <v>553</v>
      </c>
      <c r="K113">
        <f>IFERROR(_xlfn.XLOOKUP($A113&amp;"|"&amp;$J113,'Response Mapping'!$C$2:$C$1086,'Response Mapping'!$D$2:$D$1086),"")</f>
        <v>1</v>
      </c>
      <c r="L113" t="str">
        <f>IFERROR(_xlfn.XLOOKUP($A113&amp;"|"&amp;$J113,'Response Mapping'!$C$2:$C$1086,'Response Mapping'!$E$2:$E$1086),"")</f>
        <v>Include</v>
      </c>
      <c r="M113" t="str">
        <f>IFERROR(_xlfn.XLOOKUP($A113&amp;"|"&amp;$J113,'Response Mapping'!$C$2:$C$1086,'Response Mapping'!$F$2:$F$1086),"")</f>
        <v>Message Cascade Gap</v>
      </c>
      <c r="N113" t="str">
        <f>IFERROR(_xlfn.XLOOKUP($A113&amp;"|"&amp;$J113,'Response Mapping'!$C$2:$C$1086,'Response Mapping'!$G$2:$G$1086),"")</f>
        <v>REC-CMA-004-L1</v>
      </c>
      <c r="O113" t="str">
        <f t="shared" ref="O113:O156" si="2">IF($K113="","",IF($K113&gt;=4,"Yes","No"))</f>
        <v>No</v>
      </c>
      <c r="Q113" t="s">
        <v>46</v>
      </c>
      <c r="R113" t="s">
        <v>139</v>
      </c>
    </row>
    <row r="114" spans="1:18" x14ac:dyDescent="0.25">
      <c r="A114" t="s">
        <v>554</v>
      </c>
      <c r="B114" t="s">
        <v>537</v>
      </c>
      <c r="C114" t="s">
        <v>555</v>
      </c>
      <c r="D114" t="s">
        <v>556</v>
      </c>
      <c r="E114" t="s">
        <v>22</v>
      </c>
      <c r="F114" t="s">
        <v>130</v>
      </c>
      <c r="G114" t="s">
        <v>136</v>
      </c>
      <c r="H114" t="s">
        <v>43</v>
      </c>
      <c r="I114" t="s">
        <v>557</v>
      </c>
      <c r="J114" t="s">
        <v>558</v>
      </c>
      <c r="K114">
        <f>IFERROR(_xlfn.XLOOKUP($A114&amp;"|"&amp;$J114,'Response Mapping'!$C$2:$C$1086,'Response Mapping'!$D$2:$D$1086),"")</f>
        <v>1</v>
      </c>
      <c r="L114" t="str">
        <f>IFERROR(_xlfn.XLOOKUP($A114&amp;"|"&amp;$J114,'Response Mapping'!$C$2:$C$1086,'Response Mapping'!$E$2:$E$1086),"")</f>
        <v>Include</v>
      </c>
      <c r="M114" t="str">
        <f>IFERROR(_xlfn.XLOOKUP($A114&amp;"|"&amp;$J114,'Response Mapping'!$C$2:$C$1086,'Response Mapping'!$F$2:$F$1086),"")</f>
        <v>Champion Network Gap</v>
      </c>
      <c r="N114" t="str">
        <f>IFERROR(_xlfn.XLOOKUP($A114&amp;"|"&amp;$J114,'Response Mapping'!$C$2:$C$1086,'Response Mapping'!$G$2:$G$1086),"")</f>
        <v>REC-CMA-005-L1</v>
      </c>
      <c r="O114" t="str">
        <f t="shared" si="2"/>
        <v>No</v>
      </c>
      <c r="Q114" t="s">
        <v>46</v>
      </c>
      <c r="R114" t="s">
        <v>133</v>
      </c>
    </row>
    <row r="115" spans="1:18" x14ac:dyDescent="0.25">
      <c r="A115" t="s">
        <v>559</v>
      </c>
      <c r="B115" t="s">
        <v>537</v>
      </c>
      <c r="C115" t="s">
        <v>555</v>
      </c>
      <c r="D115" t="s">
        <v>560</v>
      </c>
      <c r="E115" t="s">
        <v>22</v>
      </c>
      <c r="F115" t="s">
        <v>41</v>
      </c>
      <c r="G115" t="s">
        <v>136</v>
      </c>
      <c r="H115" t="s">
        <v>43</v>
      </c>
      <c r="I115" t="s">
        <v>561</v>
      </c>
      <c r="J115" t="s">
        <v>562</v>
      </c>
      <c r="K115">
        <f>IFERROR(_xlfn.XLOOKUP($A115&amp;"|"&amp;$J115,'Response Mapping'!$C$2:$C$1086,'Response Mapping'!$D$2:$D$1086),"")</f>
        <v>1</v>
      </c>
      <c r="L115" t="str">
        <f>IFERROR(_xlfn.XLOOKUP($A115&amp;"|"&amp;$J115,'Response Mapping'!$C$2:$C$1086,'Response Mapping'!$E$2:$E$1086),"")</f>
        <v>Include</v>
      </c>
      <c r="M115" t="str">
        <f>IFERROR(_xlfn.XLOOKUP($A115&amp;"|"&amp;$J115,'Response Mapping'!$C$2:$C$1086,'Response Mapping'!$F$2:$F$1086),"")</f>
        <v>Leadership Modeling Gap</v>
      </c>
      <c r="N115" t="str">
        <f>IFERROR(_xlfn.XLOOKUP($A115&amp;"|"&amp;$J115,'Response Mapping'!$C$2:$C$1086,'Response Mapping'!$G$2:$G$1086),"")</f>
        <v>REC-CMA-006-L1</v>
      </c>
      <c r="O115" t="str">
        <f t="shared" si="2"/>
        <v>No</v>
      </c>
      <c r="Q115" t="s">
        <v>46</v>
      </c>
      <c r="R115" t="s">
        <v>563</v>
      </c>
    </row>
    <row r="116" spans="1:18" x14ac:dyDescent="0.25">
      <c r="A116" t="s">
        <v>564</v>
      </c>
      <c r="B116" t="s">
        <v>537</v>
      </c>
      <c r="C116" t="s">
        <v>555</v>
      </c>
      <c r="D116" t="s">
        <v>565</v>
      </c>
      <c r="E116" t="s">
        <v>22</v>
      </c>
      <c r="F116" t="s">
        <v>130</v>
      </c>
      <c r="G116" t="s">
        <v>41</v>
      </c>
      <c r="H116" t="s">
        <v>43</v>
      </c>
      <c r="I116" t="s">
        <v>566</v>
      </c>
      <c r="J116" t="s">
        <v>567</v>
      </c>
      <c r="K116">
        <f>IFERROR(_xlfn.XLOOKUP($A116&amp;"|"&amp;$J116,'Response Mapping'!$C$2:$C$1086,'Response Mapping'!$D$2:$D$1086),"")</f>
        <v>1</v>
      </c>
      <c r="L116" t="str">
        <f>IFERROR(_xlfn.XLOOKUP($A116&amp;"|"&amp;$J116,'Response Mapping'!$C$2:$C$1086,'Response Mapping'!$E$2:$E$1086),"")</f>
        <v>Include</v>
      </c>
      <c r="M116" t="str">
        <f>IFERROR(_xlfn.XLOOKUP($A116&amp;"|"&amp;$J116,'Response Mapping'!$C$2:$C$1086,'Response Mapping'!$F$2:$F$1086),"")</f>
        <v>Resistance Awareness Gap</v>
      </c>
      <c r="N116" t="str">
        <f>IFERROR(_xlfn.XLOOKUP($A116&amp;"|"&amp;$J116,'Response Mapping'!$C$2:$C$1086,'Response Mapping'!$G$2:$G$1086),"")</f>
        <v>REC-CMA-007-L1</v>
      </c>
      <c r="O116" t="str">
        <f t="shared" si="2"/>
        <v>No</v>
      </c>
      <c r="Q116" t="s">
        <v>72</v>
      </c>
      <c r="R116" t="s">
        <v>139</v>
      </c>
    </row>
    <row r="117" spans="1:18" x14ac:dyDescent="0.25">
      <c r="A117" t="s">
        <v>568</v>
      </c>
      <c r="B117" t="s">
        <v>537</v>
      </c>
      <c r="C117" t="s">
        <v>555</v>
      </c>
      <c r="D117" t="s">
        <v>569</v>
      </c>
      <c r="E117" t="s">
        <v>22</v>
      </c>
      <c r="F117" t="s">
        <v>130</v>
      </c>
      <c r="G117" t="s">
        <v>136</v>
      </c>
      <c r="H117" t="s">
        <v>43</v>
      </c>
      <c r="I117" t="s">
        <v>570</v>
      </c>
      <c r="J117" t="s">
        <v>571</v>
      </c>
      <c r="K117">
        <f>IFERROR(_xlfn.XLOOKUP($A117&amp;"|"&amp;$J117,'Response Mapping'!$C$2:$C$1086,'Response Mapping'!$D$2:$D$1086),"")</f>
        <v>1</v>
      </c>
      <c r="L117" t="str">
        <f>IFERROR(_xlfn.XLOOKUP($A117&amp;"|"&amp;$J117,'Response Mapping'!$C$2:$C$1086,'Response Mapping'!$E$2:$E$1086),"")</f>
        <v>Include</v>
      </c>
      <c r="M117" t="str">
        <f>IFERROR(_xlfn.XLOOKUP($A117&amp;"|"&amp;$J117,'Response Mapping'!$C$2:$C$1086,'Response Mapping'!$F$2:$F$1086),"")</f>
        <v>Feedback Channel Gap</v>
      </c>
      <c r="N117" t="str">
        <f>IFERROR(_xlfn.XLOOKUP($A117&amp;"|"&amp;$J117,'Response Mapping'!$C$2:$C$1086,'Response Mapping'!$G$2:$G$1086),"")</f>
        <v>REC-CMA-008-L1</v>
      </c>
      <c r="O117" t="str">
        <f t="shared" si="2"/>
        <v>No</v>
      </c>
      <c r="Q117" t="s">
        <v>85</v>
      </c>
      <c r="R117" t="s">
        <v>139</v>
      </c>
    </row>
    <row r="118" spans="1:18" x14ac:dyDescent="0.25">
      <c r="A118" t="s">
        <v>572</v>
      </c>
      <c r="B118" t="s">
        <v>537</v>
      </c>
      <c r="C118" t="s">
        <v>573</v>
      </c>
      <c r="D118" t="s">
        <v>574</v>
      </c>
      <c r="E118" t="s">
        <v>22</v>
      </c>
      <c r="F118" t="s">
        <v>130</v>
      </c>
      <c r="G118" t="s">
        <v>136</v>
      </c>
      <c r="H118" t="s">
        <v>43</v>
      </c>
      <c r="I118" t="s">
        <v>575</v>
      </c>
      <c r="J118" t="s">
        <v>576</v>
      </c>
      <c r="K118">
        <f>IFERROR(_xlfn.XLOOKUP($A118&amp;"|"&amp;$J118,'Response Mapping'!$C$2:$C$1086,'Response Mapping'!$D$2:$D$1086),"")</f>
        <v>1</v>
      </c>
      <c r="L118" t="str">
        <f>IFERROR(_xlfn.XLOOKUP($A118&amp;"|"&amp;$J118,'Response Mapping'!$C$2:$C$1086,'Response Mapping'!$E$2:$E$1086),"")</f>
        <v>Include</v>
      </c>
      <c r="M118" t="str">
        <f>IFERROR(_xlfn.XLOOKUP($A118&amp;"|"&amp;$J118,'Response Mapping'!$C$2:$C$1086,'Response Mapping'!$F$2:$F$1086),"")</f>
        <v>Literacy Baseline Gap</v>
      </c>
      <c r="N118" t="str">
        <f>IFERROR(_xlfn.XLOOKUP($A118&amp;"|"&amp;$J118,'Response Mapping'!$C$2:$C$1086,'Response Mapping'!$G$2:$G$1086),"")</f>
        <v>REC-CMA-009-L1</v>
      </c>
      <c r="O118" t="str">
        <f t="shared" si="2"/>
        <v>No</v>
      </c>
      <c r="Q118" t="s">
        <v>72</v>
      </c>
      <c r="R118" t="s">
        <v>127</v>
      </c>
    </row>
    <row r="119" spans="1:18" x14ac:dyDescent="0.25">
      <c r="A119" t="s">
        <v>577</v>
      </c>
      <c r="B119" t="s">
        <v>537</v>
      </c>
      <c r="C119" t="s">
        <v>573</v>
      </c>
      <c r="D119" t="s">
        <v>578</v>
      </c>
      <c r="E119" t="s">
        <v>22</v>
      </c>
      <c r="F119" t="s">
        <v>130</v>
      </c>
      <c r="G119" t="s">
        <v>136</v>
      </c>
      <c r="H119" t="s">
        <v>43</v>
      </c>
      <c r="I119" t="s">
        <v>579</v>
      </c>
      <c r="J119" t="s">
        <v>580</v>
      </c>
      <c r="K119">
        <f>IFERROR(_xlfn.XLOOKUP($A119&amp;"|"&amp;$J119,'Response Mapping'!$C$2:$C$1086,'Response Mapping'!$D$2:$D$1086),"")</f>
        <v>1</v>
      </c>
      <c r="L119" t="str">
        <f>IFERROR(_xlfn.XLOOKUP($A119&amp;"|"&amp;$J119,'Response Mapping'!$C$2:$C$1086,'Response Mapping'!$E$2:$E$1086),"")</f>
        <v>Include</v>
      </c>
      <c r="M119" t="str">
        <f>IFERROR(_xlfn.XLOOKUP($A119&amp;"|"&amp;$J119,'Response Mapping'!$C$2:$C$1086,'Response Mapping'!$F$2:$F$1086),"")</f>
        <v>Function-Specific Training Gap</v>
      </c>
      <c r="N119" t="str">
        <f>IFERROR(_xlfn.XLOOKUP($A119&amp;"|"&amp;$J119,'Response Mapping'!$C$2:$C$1086,'Response Mapping'!$G$2:$G$1086),"")</f>
        <v>REC-CMA-010-L1</v>
      </c>
      <c r="O119" t="str">
        <f t="shared" si="2"/>
        <v>No</v>
      </c>
      <c r="Q119" t="s">
        <v>46</v>
      </c>
      <c r="R119" t="s">
        <v>127</v>
      </c>
    </row>
    <row r="120" spans="1:18" x14ac:dyDescent="0.25">
      <c r="A120" t="s">
        <v>581</v>
      </c>
      <c r="B120" t="s">
        <v>537</v>
      </c>
      <c r="C120" t="s">
        <v>573</v>
      </c>
      <c r="D120" t="s">
        <v>582</v>
      </c>
      <c r="E120" t="s">
        <v>22</v>
      </c>
      <c r="F120" t="s">
        <v>130</v>
      </c>
      <c r="G120" t="s">
        <v>41</v>
      </c>
      <c r="H120" t="s">
        <v>43</v>
      </c>
      <c r="I120" t="s">
        <v>583</v>
      </c>
      <c r="J120" t="s">
        <v>584</v>
      </c>
      <c r="K120">
        <f>IFERROR(_xlfn.XLOOKUP($A120&amp;"|"&amp;$J120,'Response Mapping'!$C$2:$C$1086,'Response Mapping'!$D$2:$D$1086),"")</f>
        <v>1</v>
      </c>
      <c r="L120" t="str">
        <f>IFERROR(_xlfn.XLOOKUP($A120&amp;"|"&amp;$J120,'Response Mapping'!$C$2:$C$1086,'Response Mapping'!$E$2:$E$1086),"")</f>
        <v>Include</v>
      </c>
      <c r="M120" t="str">
        <f>IFERROR(_xlfn.XLOOKUP($A120&amp;"|"&amp;$J120,'Response Mapping'!$C$2:$C$1086,'Response Mapping'!$F$2:$F$1086),"")</f>
        <v>Learning Time Gap</v>
      </c>
      <c r="N120" t="str">
        <f>IFERROR(_xlfn.XLOOKUP($A120&amp;"|"&amp;$J120,'Response Mapping'!$C$2:$C$1086,'Response Mapping'!$G$2:$G$1086),"")</f>
        <v>REC-CMA-011-L1</v>
      </c>
      <c r="O120" t="str">
        <f t="shared" si="2"/>
        <v>No</v>
      </c>
      <c r="Q120" t="s">
        <v>46</v>
      </c>
      <c r="R120" t="s">
        <v>164</v>
      </c>
    </row>
    <row r="121" spans="1:18" x14ac:dyDescent="0.25">
      <c r="A121" t="s">
        <v>585</v>
      </c>
      <c r="B121" t="s">
        <v>537</v>
      </c>
      <c r="C121" t="s">
        <v>573</v>
      </c>
      <c r="D121" t="s">
        <v>586</v>
      </c>
      <c r="E121" t="s">
        <v>22</v>
      </c>
      <c r="F121" t="s">
        <v>136</v>
      </c>
      <c r="G121" t="s">
        <v>130</v>
      </c>
      <c r="H121" t="s">
        <v>43</v>
      </c>
      <c r="I121" t="s">
        <v>587</v>
      </c>
      <c r="J121" t="s">
        <v>588</v>
      </c>
      <c r="K121">
        <f>IFERROR(_xlfn.XLOOKUP($A121&amp;"|"&amp;$J121,'Response Mapping'!$C$2:$C$1086,'Response Mapping'!$D$2:$D$1086),"")</f>
        <v>1</v>
      </c>
      <c r="L121" t="str">
        <f>IFERROR(_xlfn.XLOOKUP($A121&amp;"|"&amp;$J121,'Response Mapping'!$C$2:$C$1086,'Response Mapping'!$E$2:$E$1086),"")</f>
        <v>Include</v>
      </c>
      <c r="M121" t="str">
        <f>IFERROR(_xlfn.XLOOKUP($A121&amp;"|"&amp;$J121,'Response Mapping'!$C$2:$C$1086,'Response Mapping'!$F$2:$F$1086),"")</f>
        <v>AI Support Gap</v>
      </c>
      <c r="N121" t="str">
        <f>IFERROR(_xlfn.XLOOKUP($A121&amp;"|"&amp;$J121,'Response Mapping'!$C$2:$C$1086,'Response Mapping'!$G$2:$G$1086),"")</f>
        <v>REC-CMA-012-L1</v>
      </c>
      <c r="O121" t="str">
        <f t="shared" si="2"/>
        <v>No</v>
      </c>
      <c r="Q121" t="s">
        <v>46</v>
      </c>
      <c r="R121" t="s">
        <v>502</v>
      </c>
    </row>
    <row r="122" spans="1:18" x14ac:dyDescent="0.25">
      <c r="A122" t="s">
        <v>589</v>
      </c>
      <c r="B122" t="s">
        <v>537</v>
      </c>
      <c r="C122" t="s">
        <v>590</v>
      </c>
      <c r="D122" t="s">
        <v>591</v>
      </c>
      <c r="E122" t="s">
        <v>22</v>
      </c>
      <c r="F122" t="s">
        <v>130</v>
      </c>
      <c r="G122" t="s">
        <v>41</v>
      </c>
      <c r="H122" t="s">
        <v>43</v>
      </c>
      <c r="I122" t="s">
        <v>592</v>
      </c>
      <c r="J122" t="s">
        <v>593</v>
      </c>
      <c r="K122">
        <f>IFERROR(_xlfn.XLOOKUP($A122&amp;"|"&amp;$J122,'Response Mapping'!$C$2:$C$1086,'Response Mapping'!$D$2:$D$1086),"")</f>
        <v>1</v>
      </c>
      <c r="L122" t="str">
        <f>IFERROR(_xlfn.XLOOKUP($A122&amp;"|"&amp;$J122,'Response Mapping'!$C$2:$C$1086,'Response Mapping'!$E$2:$E$1086),"")</f>
        <v>Include</v>
      </c>
      <c r="M122" t="str">
        <f>IFERROR(_xlfn.XLOOKUP($A122&amp;"|"&amp;$J122,'Response Mapping'!$C$2:$C$1086,'Response Mapping'!$F$2:$F$1086),"")</f>
        <v>License-Only KPIs</v>
      </c>
      <c r="N122" t="str">
        <f>IFERROR(_xlfn.XLOOKUP($A122&amp;"|"&amp;$J122,'Response Mapping'!$C$2:$C$1086,'Response Mapping'!$G$2:$G$1086),"")</f>
        <v>REC-CMA-013-L1</v>
      </c>
      <c r="O122" t="str">
        <f t="shared" si="2"/>
        <v>No</v>
      </c>
      <c r="Q122" t="s">
        <v>79</v>
      </c>
      <c r="R122" t="s">
        <v>199</v>
      </c>
    </row>
    <row r="123" spans="1:18" x14ac:dyDescent="0.25">
      <c r="A123" t="s">
        <v>594</v>
      </c>
      <c r="B123" t="s">
        <v>537</v>
      </c>
      <c r="C123" t="s">
        <v>590</v>
      </c>
      <c r="D123" t="s">
        <v>595</v>
      </c>
      <c r="E123" t="s">
        <v>22</v>
      </c>
      <c r="F123" t="s">
        <v>41</v>
      </c>
      <c r="G123" t="s">
        <v>130</v>
      </c>
      <c r="H123" t="s">
        <v>43</v>
      </c>
      <c r="I123" t="s">
        <v>596</v>
      </c>
      <c r="J123" t="s">
        <v>597</v>
      </c>
      <c r="K123">
        <f>IFERROR(_xlfn.XLOOKUP($A123&amp;"|"&amp;$J123,'Response Mapping'!$C$2:$C$1086,'Response Mapping'!$D$2:$D$1086),"")</f>
        <v>1</v>
      </c>
      <c r="L123" t="str">
        <f>IFERROR(_xlfn.XLOOKUP($A123&amp;"|"&amp;$J123,'Response Mapping'!$C$2:$C$1086,'Response Mapping'!$E$2:$E$1086),"")</f>
        <v>Include</v>
      </c>
      <c r="M123" t="str">
        <f>IFERROR(_xlfn.XLOOKUP($A123&amp;"|"&amp;$J123,'Response Mapping'!$C$2:$C$1086,'Response Mapping'!$F$2:$F$1086),"")</f>
        <v>Incentive Refresh Gap</v>
      </c>
      <c r="N123" t="str">
        <f>IFERROR(_xlfn.XLOOKUP($A123&amp;"|"&amp;$J123,'Response Mapping'!$C$2:$C$1086,'Response Mapping'!$G$2:$G$1086),"")</f>
        <v>REC-CMA-014-L1</v>
      </c>
      <c r="O123" t="str">
        <f t="shared" si="2"/>
        <v>No</v>
      </c>
      <c r="Q123" t="s">
        <v>46</v>
      </c>
      <c r="R123" t="s">
        <v>133</v>
      </c>
    </row>
    <row r="124" spans="1:18" x14ac:dyDescent="0.25">
      <c r="A124" t="s">
        <v>598</v>
      </c>
      <c r="B124" t="s">
        <v>537</v>
      </c>
      <c r="C124" t="s">
        <v>590</v>
      </c>
      <c r="D124" t="s">
        <v>599</v>
      </c>
      <c r="E124" t="s">
        <v>22</v>
      </c>
      <c r="F124" t="s">
        <v>42</v>
      </c>
      <c r="G124" t="s">
        <v>130</v>
      </c>
      <c r="H124" t="s">
        <v>43</v>
      </c>
      <c r="I124" t="s">
        <v>600</v>
      </c>
      <c r="J124" t="s">
        <v>601</v>
      </c>
      <c r="K124">
        <f>IFERROR(_xlfn.XLOOKUP($A124&amp;"|"&amp;$J124,'Response Mapping'!$C$2:$C$1086,'Response Mapping'!$D$2:$D$1086),"")</f>
        <v>1</v>
      </c>
      <c r="L124" t="str">
        <f>IFERROR(_xlfn.XLOOKUP($A124&amp;"|"&amp;$J124,'Response Mapping'!$C$2:$C$1086,'Response Mapping'!$E$2:$E$1086),"")</f>
        <v>Include</v>
      </c>
      <c r="M124" t="str">
        <f>IFERROR(_xlfn.XLOOKUP($A124&amp;"|"&amp;$J124,'Response Mapping'!$C$2:$C$1086,'Response Mapping'!$F$2:$F$1086),"")</f>
        <v>Punitive Response</v>
      </c>
      <c r="N124" t="str">
        <f>IFERROR(_xlfn.XLOOKUP($A124&amp;"|"&amp;$J124,'Response Mapping'!$C$2:$C$1086,'Response Mapping'!$G$2:$G$1086),"")</f>
        <v>REC-CMA-015-L1</v>
      </c>
      <c r="O124" t="str">
        <f t="shared" si="2"/>
        <v>No</v>
      </c>
      <c r="Q124" t="s">
        <v>85</v>
      </c>
      <c r="R124" t="s">
        <v>86</v>
      </c>
    </row>
    <row r="125" spans="1:18" x14ac:dyDescent="0.25">
      <c r="A125" t="s">
        <v>602</v>
      </c>
      <c r="B125" t="s">
        <v>537</v>
      </c>
      <c r="C125" t="s">
        <v>590</v>
      </c>
      <c r="D125" t="s">
        <v>603</v>
      </c>
      <c r="E125" t="s">
        <v>22</v>
      </c>
      <c r="F125" t="s">
        <v>130</v>
      </c>
      <c r="G125" t="s">
        <v>41</v>
      </c>
      <c r="H125" t="s">
        <v>43</v>
      </c>
      <c r="I125" t="s">
        <v>604</v>
      </c>
      <c r="J125" t="s">
        <v>605</v>
      </c>
      <c r="K125">
        <f>IFERROR(_xlfn.XLOOKUP($A125&amp;"|"&amp;$J125,'Response Mapping'!$C$2:$C$1086,'Response Mapping'!$D$2:$D$1086),"")</f>
        <v>1</v>
      </c>
      <c r="L125" t="str">
        <f>IFERROR(_xlfn.XLOOKUP($A125&amp;"|"&amp;$J125,'Response Mapping'!$C$2:$C$1086,'Response Mapping'!$E$2:$E$1086),"")</f>
        <v>Include</v>
      </c>
      <c r="M125" t="str">
        <f>IFERROR(_xlfn.XLOOKUP($A125&amp;"|"&amp;$J125,'Response Mapping'!$C$2:$C$1086,'Response Mapping'!$F$2:$F$1086),"")</f>
        <v>Post-Launch Review Gap</v>
      </c>
      <c r="N125" t="str">
        <f>IFERROR(_xlfn.XLOOKUP($A125&amp;"|"&amp;$J125,'Response Mapping'!$C$2:$C$1086,'Response Mapping'!$G$2:$G$1086),"")</f>
        <v>REC-CMA-016-L1</v>
      </c>
      <c r="O125" t="str">
        <f t="shared" si="2"/>
        <v>No</v>
      </c>
      <c r="Q125" t="s">
        <v>79</v>
      </c>
      <c r="R125" t="s">
        <v>61</v>
      </c>
    </row>
    <row r="126" spans="1:18" x14ac:dyDescent="0.25">
      <c r="A126" t="s">
        <v>606</v>
      </c>
      <c r="B126" t="s">
        <v>607</v>
      </c>
      <c r="C126" t="s">
        <v>608</v>
      </c>
      <c r="D126" t="s">
        <v>609</v>
      </c>
      <c r="E126" t="s">
        <v>22</v>
      </c>
      <c r="F126" t="s">
        <v>69</v>
      </c>
      <c r="G126" t="s">
        <v>89</v>
      </c>
      <c r="H126" t="s">
        <v>43</v>
      </c>
      <c r="I126" t="s">
        <v>610</v>
      </c>
      <c r="J126" t="s">
        <v>611</v>
      </c>
      <c r="K126">
        <f>IFERROR(_xlfn.XLOOKUP($A126&amp;"|"&amp;$J126,'Response Mapping'!$C$2:$C$1086,'Response Mapping'!$D$2:$D$1086),"")</f>
        <v>1</v>
      </c>
      <c r="L126" t="str">
        <f>IFERROR(_xlfn.XLOOKUP($A126&amp;"|"&amp;$J126,'Response Mapping'!$C$2:$C$1086,'Response Mapping'!$E$2:$E$1086),"")</f>
        <v>Include</v>
      </c>
      <c r="M126" t="str">
        <f>IFERROR(_xlfn.XLOOKUP($A126&amp;"|"&amp;$J126,'Response Mapping'!$C$2:$C$1086,'Response Mapping'!$F$2:$F$1086),"")</f>
        <v>Hosting Strategy Gap</v>
      </c>
      <c r="N126" t="str">
        <f>IFERROR(_xlfn.XLOOKUP($A126&amp;"|"&amp;$J126,'Response Mapping'!$C$2:$C$1086,'Response Mapping'!$G$2:$G$1086),"")</f>
        <v>REC-TAG-001-L1</v>
      </c>
      <c r="O126" t="str">
        <f t="shared" si="2"/>
        <v>No</v>
      </c>
      <c r="Q126" t="s">
        <v>46</v>
      </c>
      <c r="R126" t="s">
        <v>80</v>
      </c>
    </row>
    <row r="127" spans="1:18" x14ac:dyDescent="0.25">
      <c r="A127" t="s">
        <v>612</v>
      </c>
      <c r="B127" t="s">
        <v>607</v>
      </c>
      <c r="C127" t="s">
        <v>608</v>
      </c>
      <c r="D127" t="s">
        <v>613</v>
      </c>
      <c r="E127" t="s">
        <v>22</v>
      </c>
      <c r="F127" t="s">
        <v>69</v>
      </c>
      <c r="G127" t="s">
        <v>76</v>
      </c>
      <c r="H127" t="s">
        <v>43</v>
      </c>
      <c r="I127" t="s">
        <v>614</v>
      </c>
      <c r="J127" t="s">
        <v>615</v>
      </c>
      <c r="K127">
        <f>IFERROR(_xlfn.XLOOKUP($A127&amp;"|"&amp;$J127,'Response Mapping'!$C$2:$C$1086,'Response Mapping'!$D$2:$D$1086),"")</f>
        <v>1</v>
      </c>
      <c r="L127" t="str">
        <f>IFERROR(_xlfn.XLOOKUP($A127&amp;"|"&amp;$J127,'Response Mapping'!$C$2:$C$1086,'Response Mapping'!$E$2:$E$1086),"")</f>
        <v>Include</v>
      </c>
      <c r="M127" t="str">
        <f>IFERROR(_xlfn.XLOOKUP($A127&amp;"|"&amp;$J127,'Response Mapping'!$C$2:$C$1086,'Response Mapping'!$F$2:$F$1086),"")</f>
        <v>Vector Strategy Gap</v>
      </c>
      <c r="N127" t="str">
        <f>IFERROR(_xlfn.XLOOKUP($A127&amp;"|"&amp;$J127,'Response Mapping'!$C$2:$C$1086,'Response Mapping'!$G$2:$G$1086),"")</f>
        <v>REC-TAG-002-L1</v>
      </c>
      <c r="O127" t="str">
        <f t="shared" si="2"/>
        <v>No</v>
      </c>
      <c r="Q127" t="s">
        <v>72</v>
      </c>
      <c r="R127" t="s">
        <v>80</v>
      </c>
    </row>
    <row r="128" spans="1:18" x14ac:dyDescent="0.25">
      <c r="A128" t="s">
        <v>616</v>
      </c>
      <c r="B128" t="s">
        <v>607</v>
      </c>
      <c r="C128" t="s">
        <v>608</v>
      </c>
      <c r="D128" t="s">
        <v>617</v>
      </c>
      <c r="E128" t="s">
        <v>22</v>
      </c>
      <c r="F128" t="s">
        <v>69</v>
      </c>
      <c r="G128" t="s">
        <v>89</v>
      </c>
      <c r="H128" t="s">
        <v>43</v>
      </c>
      <c r="I128" t="s">
        <v>618</v>
      </c>
      <c r="J128" t="s">
        <v>619</v>
      </c>
      <c r="K128">
        <f>IFERROR(_xlfn.XLOOKUP($A128&amp;"|"&amp;$J128,'Response Mapping'!$C$2:$C$1086,'Response Mapping'!$D$2:$D$1086),"")</f>
        <v>1</v>
      </c>
      <c r="L128" t="str">
        <f>IFERROR(_xlfn.XLOOKUP($A128&amp;"|"&amp;$J128,'Response Mapping'!$C$2:$C$1086,'Response Mapping'!$E$2:$E$1086),"")</f>
        <v>Include</v>
      </c>
      <c r="M128" t="str">
        <f>IFERROR(_xlfn.XLOOKUP($A128&amp;"|"&amp;$J128,'Response Mapping'!$C$2:$C$1086,'Response Mapping'!$F$2:$F$1086),"")</f>
        <v>Elasticity Gap</v>
      </c>
      <c r="N128" t="str">
        <f>IFERROR(_xlfn.XLOOKUP($A128&amp;"|"&amp;$J128,'Response Mapping'!$C$2:$C$1086,'Response Mapping'!$G$2:$G$1086),"")</f>
        <v>REC-TAG-003-L1</v>
      </c>
      <c r="O128" t="str">
        <f t="shared" si="2"/>
        <v>No</v>
      </c>
      <c r="Q128" t="s">
        <v>46</v>
      </c>
      <c r="R128" t="s">
        <v>80</v>
      </c>
    </row>
    <row r="129" spans="1:18" x14ac:dyDescent="0.25">
      <c r="A129" t="s">
        <v>620</v>
      </c>
      <c r="B129" t="s">
        <v>607</v>
      </c>
      <c r="C129" t="s">
        <v>608</v>
      </c>
      <c r="D129" t="s">
        <v>621</v>
      </c>
      <c r="E129" t="s">
        <v>22</v>
      </c>
      <c r="F129" t="s">
        <v>69</v>
      </c>
      <c r="G129" t="s">
        <v>89</v>
      </c>
      <c r="H129" t="s">
        <v>43</v>
      </c>
      <c r="I129" t="s">
        <v>622</v>
      </c>
      <c r="J129" t="s">
        <v>623</v>
      </c>
      <c r="K129">
        <f>IFERROR(_xlfn.XLOOKUP($A129&amp;"|"&amp;$J129,'Response Mapping'!$C$2:$C$1086,'Response Mapping'!$D$2:$D$1086),"")</f>
        <v>1</v>
      </c>
      <c r="L129" t="str">
        <f>IFERROR(_xlfn.XLOOKUP($A129&amp;"|"&amp;$J129,'Response Mapping'!$C$2:$C$1086,'Response Mapping'!$E$2:$E$1086),"")</f>
        <v>Include</v>
      </c>
      <c r="M129" t="str">
        <f>IFERROR(_xlfn.XLOOKUP($A129&amp;"|"&amp;$J129,'Response Mapping'!$C$2:$C$1086,'Response Mapping'!$F$2:$F$1086),"")</f>
        <v>Agentic Readiness Gap</v>
      </c>
      <c r="N129" t="str">
        <f>IFERROR(_xlfn.XLOOKUP($A129&amp;"|"&amp;$J129,'Response Mapping'!$C$2:$C$1086,'Response Mapping'!$G$2:$G$1086),"")</f>
        <v>REC-TAG-004-L1</v>
      </c>
      <c r="O129" t="str">
        <f t="shared" si="2"/>
        <v>No</v>
      </c>
      <c r="Q129" t="s">
        <v>72</v>
      </c>
      <c r="R129" t="s">
        <v>80</v>
      </c>
    </row>
    <row r="130" spans="1:18" x14ac:dyDescent="0.25">
      <c r="A130" t="s">
        <v>624</v>
      </c>
      <c r="B130" t="s">
        <v>607</v>
      </c>
      <c r="C130" t="s">
        <v>625</v>
      </c>
      <c r="D130" t="s">
        <v>626</v>
      </c>
      <c r="E130" t="s">
        <v>22</v>
      </c>
      <c r="F130" t="s">
        <v>89</v>
      </c>
      <c r="G130" t="s">
        <v>69</v>
      </c>
      <c r="H130" t="s">
        <v>43</v>
      </c>
      <c r="I130" t="s">
        <v>627</v>
      </c>
      <c r="J130" t="s">
        <v>628</v>
      </c>
      <c r="K130">
        <f>IFERROR(_xlfn.XLOOKUP($A130&amp;"|"&amp;$J130,'Response Mapping'!$C$2:$C$1086,'Response Mapping'!$D$2:$D$1086),"")</f>
        <v>1</v>
      </c>
      <c r="L130" t="str">
        <f>IFERROR(_xlfn.XLOOKUP($A130&amp;"|"&amp;$J130,'Response Mapping'!$C$2:$C$1086,'Response Mapping'!$E$2:$E$1086),"")</f>
        <v>Include</v>
      </c>
      <c r="M130" t="str">
        <f>IFERROR(_xlfn.XLOOKUP($A130&amp;"|"&amp;$J130,'Response Mapping'!$C$2:$C$1086,'Response Mapping'!$F$2:$F$1086),"")</f>
        <v>Model Registry Gap</v>
      </c>
      <c r="N130" t="str">
        <f>IFERROR(_xlfn.XLOOKUP($A130&amp;"|"&amp;$J130,'Response Mapping'!$C$2:$C$1086,'Response Mapping'!$G$2:$G$1086),"")</f>
        <v>REC-TAG-005-L1</v>
      </c>
      <c r="O130" t="str">
        <f t="shared" si="2"/>
        <v>No</v>
      </c>
      <c r="Q130" t="s">
        <v>46</v>
      </c>
      <c r="R130" t="s">
        <v>92</v>
      </c>
    </row>
    <row r="131" spans="1:18" x14ac:dyDescent="0.25">
      <c r="A131" t="s">
        <v>629</v>
      </c>
      <c r="B131" t="s">
        <v>607</v>
      </c>
      <c r="C131" t="s">
        <v>625</v>
      </c>
      <c r="D131" t="s">
        <v>630</v>
      </c>
      <c r="E131" t="s">
        <v>22</v>
      </c>
      <c r="F131" t="s">
        <v>69</v>
      </c>
      <c r="G131" t="s">
        <v>89</v>
      </c>
      <c r="H131" t="s">
        <v>43</v>
      </c>
      <c r="I131" t="s">
        <v>631</v>
      </c>
      <c r="J131" t="s">
        <v>632</v>
      </c>
      <c r="K131">
        <f>IFERROR(_xlfn.XLOOKUP($A131&amp;"|"&amp;$J131,'Response Mapping'!$C$2:$C$1086,'Response Mapping'!$D$2:$D$1086),"")</f>
        <v>1</v>
      </c>
      <c r="L131" t="str">
        <f>IFERROR(_xlfn.XLOOKUP($A131&amp;"|"&amp;$J131,'Response Mapping'!$C$2:$C$1086,'Response Mapping'!$E$2:$E$1086),"")</f>
        <v>Include</v>
      </c>
      <c r="M131" t="str">
        <f>IFERROR(_xlfn.XLOOKUP($A131&amp;"|"&amp;$J131,'Response Mapping'!$C$2:$C$1086,'Response Mapping'!$F$2:$F$1086),"")</f>
        <v>LLM Gateway Gap</v>
      </c>
      <c r="N131" t="str">
        <f>IFERROR(_xlfn.XLOOKUP($A131&amp;"|"&amp;$J131,'Response Mapping'!$C$2:$C$1086,'Response Mapping'!$G$2:$G$1086),"")</f>
        <v>REC-TAG-006-L1</v>
      </c>
      <c r="O131" t="str">
        <f t="shared" si="2"/>
        <v>No</v>
      </c>
      <c r="Q131" t="s">
        <v>85</v>
      </c>
      <c r="R131" t="s">
        <v>86</v>
      </c>
    </row>
    <row r="132" spans="1:18" x14ac:dyDescent="0.25">
      <c r="A132" t="s">
        <v>633</v>
      </c>
      <c r="B132" t="s">
        <v>607</v>
      </c>
      <c r="C132" t="s">
        <v>625</v>
      </c>
      <c r="D132" t="s">
        <v>634</v>
      </c>
      <c r="E132" t="s">
        <v>22</v>
      </c>
      <c r="F132" t="s">
        <v>69</v>
      </c>
      <c r="G132" t="s">
        <v>42</v>
      </c>
      <c r="H132" t="s">
        <v>43</v>
      </c>
      <c r="I132" t="s">
        <v>635</v>
      </c>
      <c r="J132" t="s">
        <v>636</v>
      </c>
      <c r="K132">
        <f>IFERROR(_xlfn.XLOOKUP($A132&amp;"|"&amp;$J132,'Response Mapping'!$C$2:$C$1086,'Response Mapping'!$D$2:$D$1086),"")</f>
        <v>1</v>
      </c>
      <c r="L132" t="str">
        <f>IFERROR(_xlfn.XLOOKUP($A132&amp;"|"&amp;$J132,'Response Mapping'!$C$2:$C$1086,'Response Mapping'!$E$2:$E$1086),"")</f>
        <v>Include</v>
      </c>
      <c r="M132" t="str">
        <f>IFERROR(_xlfn.XLOOKUP($A132&amp;"|"&amp;$J132,'Response Mapping'!$C$2:$C$1086,'Response Mapping'!$F$2:$F$1086),"")</f>
        <v>BYOM Process Gap</v>
      </c>
      <c r="N132" t="str">
        <f>IFERROR(_xlfn.XLOOKUP($A132&amp;"|"&amp;$J132,'Response Mapping'!$C$2:$C$1086,'Response Mapping'!$G$2:$G$1086),"")</f>
        <v>REC-TAG-007-L1</v>
      </c>
      <c r="O132" t="str">
        <f t="shared" si="2"/>
        <v>No</v>
      </c>
      <c r="Q132" t="s">
        <v>72</v>
      </c>
      <c r="R132" t="s">
        <v>107</v>
      </c>
    </row>
    <row r="133" spans="1:18" x14ac:dyDescent="0.25">
      <c r="A133" t="s">
        <v>637</v>
      </c>
      <c r="B133" t="s">
        <v>607</v>
      </c>
      <c r="C133" t="s">
        <v>625</v>
      </c>
      <c r="D133" t="s">
        <v>638</v>
      </c>
      <c r="E133" t="s">
        <v>22</v>
      </c>
      <c r="F133" t="s">
        <v>89</v>
      </c>
      <c r="G133" t="s">
        <v>76</v>
      </c>
      <c r="H133" t="s">
        <v>43</v>
      </c>
      <c r="I133" t="s">
        <v>639</v>
      </c>
      <c r="J133" t="s">
        <v>640</v>
      </c>
      <c r="K133">
        <f>IFERROR(_xlfn.XLOOKUP($A133&amp;"|"&amp;$J133,'Response Mapping'!$C$2:$C$1086,'Response Mapping'!$D$2:$D$1086),"")</f>
        <v>1</v>
      </c>
      <c r="L133" t="str">
        <f>IFERROR(_xlfn.XLOOKUP($A133&amp;"|"&amp;$J133,'Response Mapping'!$C$2:$C$1086,'Response Mapping'!$E$2:$E$1086),"")</f>
        <v>Include</v>
      </c>
      <c r="M133" t="str">
        <f>IFERROR(_xlfn.XLOOKUP($A133&amp;"|"&amp;$J133,'Response Mapping'!$C$2:$C$1086,'Response Mapping'!$F$2:$F$1086),"")</f>
        <v>Monitoring Integration Gap</v>
      </c>
      <c r="N133" t="str">
        <f>IFERROR(_xlfn.XLOOKUP($A133&amp;"|"&amp;$J133,'Response Mapping'!$C$2:$C$1086,'Response Mapping'!$G$2:$G$1086),"")</f>
        <v>REC-TAG-008-L1</v>
      </c>
      <c r="O133" t="str">
        <f t="shared" si="2"/>
        <v>No</v>
      </c>
      <c r="Q133" t="s">
        <v>79</v>
      </c>
      <c r="R133" t="s">
        <v>199</v>
      </c>
    </row>
    <row r="134" spans="1:18" x14ac:dyDescent="0.25">
      <c r="A134" t="s">
        <v>641</v>
      </c>
      <c r="B134" t="s">
        <v>607</v>
      </c>
      <c r="C134" t="s">
        <v>642</v>
      </c>
      <c r="D134" t="s">
        <v>643</v>
      </c>
      <c r="E134" t="s">
        <v>22</v>
      </c>
      <c r="F134" t="s">
        <v>76</v>
      </c>
      <c r="G134" t="s">
        <v>69</v>
      </c>
      <c r="H134" t="s">
        <v>43</v>
      </c>
      <c r="I134" t="s">
        <v>644</v>
      </c>
      <c r="J134" t="s">
        <v>645</v>
      </c>
      <c r="K134">
        <f>IFERROR(_xlfn.XLOOKUP($A134&amp;"|"&amp;$J134,'Response Mapping'!$C$2:$C$1086,'Response Mapping'!$D$2:$D$1086),"")</f>
        <v>1</v>
      </c>
      <c r="L134" t="str">
        <f>IFERROR(_xlfn.XLOOKUP($A134&amp;"|"&amp;$J134,'Response Mapping'!$C$2:$C$1086,'Response Mapping'!$E$2:$E$1086),"")</f>
        <v>Include</v>
      </c>
      <c r="M134" t="str">
        <f>IFERROR(_xlfn.XLOOKUP($A134&amp;"|"&amp;$J134,'Response Mapping'!$C$2:$C$1086,'Response Mapping'!$F$2:$F$1086),"")</f>
        <v>Lineage Gap</v>
      </c>
      <c r="N134" t="str">
        <f>IFERROR(_xlfn.XLOOKUP($A134&amp;"|"&amp;$J134,'Response Mapping'!$C$2:$C$1086,'Response Mapping'!$G$2:$G$1086),"")</f>
        <v>REC-TAG-009-L1</v>
      </c>
      <c r="O134" t="str">
        <f t="shared" si="2"/>
        <v>No</v>
      </c>
      <c r="Q134" t="s">
        <v>72</v>
      </c>
      <c r="R134" t="s">
        <v>92</v>
      </c>
    </row>
    <row r="135" spans="1:18" x14ac:dyDescent="0.25">
      <c r="A135" t="s">
        <v>646</v>
      </c>
      <c r="B135" t="s">
        <v>607</v>
      </c>
      <c r="C135" t="s">
        <v>642</v>
      </c>
      <c r="D135" t="s">
        <v>647</v>
      </c>
      <c r="E135" t="s">
        <v>22</v>
      </c>
      <c r="F135" t="s">
        <v>76</v>
      </c>
      <c r="G135" t="s">
        <v>69</v>
      </c>
      <c r="H135" t="s">
        <v>43</v>
      </c>
      <c r="I135" t="s">
        <v>648</v>
      </c>
      <c r="J135" t="s">
        <v>649</v>
      </c>
      <c r="K135">
        <f>IFERROR(_xlfn.XLOOKUP($A135&amp;"|"&amp;$J135,'Response Mapping'!$C$2:$C$1086,'Response Mapping'!$D$2:$D$1086),"")</f>
        <v>1</v>
      </c>
      <c r="L135" t="str">
        <f>IFERROR(_xlfn.XLOOKUP($A135&amp;"|"&amp;$J135,'Response Mapping'!$C$2:$C$1086,'Response Mapping'!$E$2:$E$1086),"")</f>
        <v>Include</v>
      </c>
      <c r="M135" t="str">
        <f>IFERROR(_xlfn.XLOOKUP($A135&amp;"|"&amp;$J135,'Response Mapping'!$C$2:$C$1086,'Response Mapping'!$F$2:$F$1086),"")</f>
        <v>Real-Time Data Gap</v>
      </c>
      <c r="N135" t="str">
        <f>IFERROR(_xlfn.XLOOKUP($A135&amp;"|"&amp;$J135,'Response Mapping'!$C$2:$C$1086,'Response Mapping'!$G$2:$G$1086),"")</f>
        <v>REC-TAG-010-L1</v>
      </c>
      <c r="O135" t="str">
        <f t="shared" si="2"/>
        <v>No</v>
      </c>
      <c r="Q135" t="s">
        <v>72</v>
      </c>
      <c r="R135" t="s">
        <v>80</v>
      </c>
    </row>
    <row r="136" spans="1:18" x14ac:dyDescent="0.25">
      <c r="A136" t="s">
        <v>650</v>
      </c>
      <c r="B136" t="s">
        <v>607</v>
      </c>
      <c r="C136" t="s">
        <v>642</v>
      </c>
      <c r="D136" t="s">
        <v>651</v>
      </c>
      <c r="E136" t="s">
        <v>22</v>
      </c>
      <c r="F136" t="s">
        <v>76</v>
      </c>
      <c r="G136" t="s">
        <v>69</v>
      </c>
      <c r="H136" t="s">
        <v>43</v>
      </c>
      <c r="I136" t="s">
        <v>652</v>
      </c>
      <c r="J136" t="s">
        <v>653</v>
      </c>
      <c r="K136">
        <f>IFERROR(_xlfn.XLOOKUP($A136&amp;"|"&amp;$J136,'Response Mapping'!$C$2:$C$1086,'Response Mapping'!$D$2:$D$1086),"")</f>
        <v>1</v>
      </c>
      <c r="L136" t="str">
        <f>IFERROR(_xlfn.XLOOKUP($A136&amp;"|"&amp;$J136,'Response Mapping'!$C$2:$C$1086,'Response Mapping'!$E$2:$E$1086),"")</f>
        <v>Include</v>
      </c>
      <c r="M136" t="str">
        <f>IFERROR(_xlfn.XLOOKUP($A136&amp;"|"&amp;$J136,'Response Mapping'!$C$2:$C$1086,'Response Mapping'!$F$2:$F$1086),"")</f>
        <v>Metadata Gap</v>
      </c>
      <c r="N136" t="str">
        <f>IFERROR(_xlfn.XLOOKUP($A136&amp;"|"&amp;$J136,'Response Mapping'!$C$2:$C$1086,'Response Mapping'!$G$2:$G$1086),"")</f>
        <v>REC-TAG-011-L1</v>
      </c>
      <c r="O136" t="str">
        <f t="shared" si="2"/>
        <v>No</v>
      </c>
      <c r="Q136" t="s">
        <v>72</v>
      </c>
      <c r="R136" t="s">
        <v>92</v>
      </c>
    </row>
    <row r="137" spans="1:18" x14ac:dyDescent="0.25">
      <c r="A137" t="s">
        <v>654</v>
      </c>
      <c r="B137" t="s">
        <v>607</v>
      </c>
      <c r="C137" t="s">
        <v>642</v>
      </c>
      <c r="D137" t="s">
        <v>655</v>
      </c>
      <c r="E137" t="s">
        <v>22</v>
      </c>
      <c r="F137" t="s">
        <v>89</v>
      </c>
      <c r="G137" t="s">
        <v>42</v>
      </c>
      <c r="H137" t="s">
        <v>43</v>
      </c>
      <c r="I137" t="s">
        <v>656</v>
      </c>
      <c r="J137" t="s">
        <v>657</v>
      </c>
      <c r="K137">
        <f>IFERROR(_xlfn.XLOOKUP($A137&amp;"|"&amp;$J137,'Response Mapping'!$C$2:$C$1086,'Response Mapping'!$D$2:$D$1086),"")</f>
        <v>1</v>
      </c>
      <c r="L137" t="str">
        <f>IFERROR(_xlfn.XLOOKUP($A137&amp;"|"&amp;$J137,'Response Mapping'!$C$2:$C$1086,'Response Mapping'!$E$2:$E$1086),"")</f>
        <v>Include</v>
      </c>
      <c r="M137" t="str">
        <f>IFERROR(_xlfn.XLOOKUP($A137&amp;"|"&amp;$J137,'Response Mapping'!$C$2:$C$1086,'Response Mapping'!$F$2:$F$1086),"")</f>
        <v>Sanitization Gap</v>
      </c>
      <c r="N137" t="str">
        <f>IFERROR(_xlfn.XLOOKUP($A137&amp;"|"&amp;$J137,'Response Mapping'!$C$2:$C$1086,'Response Mapping'!$G$2:$G$1086),"")</f>
        <v>REC-TAG-012-L1</v>
      </c>
      <c r="O137" t="str">
        <f t="shared" si="2"/>
        <v>No</v>
      </c>
      <c r="Q137" t="s">
        <v>85</v>
      </c>
      <c r="R137" t="s">
        <v>86</v>
      </c>
    </row>
    <row r="138" spans="1:18" x14ac:dyDescent="0.25">
      <c r="A138" t="s">
        <v>658</v>
      </c>
      <c r="B138" t="s">
        <v>607</v>
      </c>
      <c r="C138" t="s">
        <v>659</v>
      </c>
      <c r="D138" t="s">
        <v>660</v>
      </c>
      <c r="E138" t="s">
        <v>22</v>
      </c>
      <c r="F138" t="s">
        <v>89</v>
      </c>
      <c r="G138" t="s">
        <v>42</v>
      </c>
      <c r="H138" t="s">
        <v>43</v>
      </c>
      <c r="I138" t="s">
        <v>661</v>
      </c>
      <c r="J138" t="s">
        <v>662</v>
      </c>
      <c r="K138">
        <f>IFERROR(_xlfn.XLOOKUP($A138&amp;"|"&amp;$J138,'Response Mapping'!$C$2:$C$1086,'Response Mapping'!$D$2:$D$1086),"")</f>
        <v>1</v>
      </c>
      <c r="L138" t="str">
        <f>IFERROR(_xlfn.XLOOKUP($A138&amp;"|"&amp;$J138,'Response Mapping'!$C$2:$C$1086,'Response Mapping'!$E$2:$E$1086),"")</f>
        <v>Include</v>
      </c>
      <c r="M138" t="str">
        <f>IFERROR(_xlfn.XLOOKUP($A138&amp;"|"&amp;$J138,'Response Mapping'!$C$2:$C$1086,'Response Mapping'!$F$2:$F$1086),"")</f>
        <v>AI Security Tooling Gap</v>
      </c>
      <c r="N138" t="str">
        <f>IFERROR(_xlfn.XLOOKUP($A138&amp;"|"&amp;$J138,'Response Mapping'!$C$2:$C$1086,'Response Mapping'!$G$2:$G$1086),"")</f>
        <v>REC-TAG-013-L1</v>
      </c>
      <c r="O138" t="str">
        <f t="shared" si="2"/>
        <v>No</v>
      </c>
      <c r="Q138" t="s">
        <v>79</v>
      </c>
      <c r="R138" t="s">
        <v>86</v>
      </c>
    </row>
    <row r="139" spans="1:18" x14ac:dyDescent="0.25">
      <c r="A139" t="s">
        <v>663</v>
      </c>
      <c r="B139" t="s">
        <v>607</v>
      </c>
      <c r="C139" t="s">
        <v>659</v>
      </c>
      <c r="D139" t="s">
        <v>664</v>
      </c>
      <c r="E139" t="s">
        <v>22</v>
      </c>
      <c r="F139" t="s">
        <v>69</v>
      </c>
      <c r="G139" t="s">
        <v>130</v>
      </c>
      <c r="H139" t="s">
        <v>43</v>
      </c>
      <c r="I139" t="s">
        <v>665</v>
      </c>
      <c r="J139" t="s">
        <v>666</v>
      </c>
      <c r="K139">
        <f>IFERROR(_xlfn.XLOOKUP($A139&amp;"|"&amp;$J139,'Response Mapping'!$C$2:$C$1086,'Response Mapping'!$D$2:$D$1086),"")</f>
        <v>1</v>
      </c>
      <c r="L139" t="str">
        <f>IFERROR(_xlfn.XLOOKUP($A139&amp;"|"&amp;$J139,'Response Mapping'!$C$2:$C$1086,'Response Mapping'!$E$2:$E$1086),"")</f>
        <v>Include</v>
      </c>
      <c r="M139" t="str">
        <f>IFERROR(_xlfn.XLOOKUP($A139&amp;"|"&amp;$J139,'Response Mapping'!$C$2:$C$1086,'Response Mapping'!$F$2:$F$1086),"")</f>
        <v>Cost Attribution Gap</v>
      </c>
      <c r="N139" t="str">
        <f>IFERROR(_xlfn.XLOOKUP($A139&amp;"|"&amp;$J139,'Response Mapping'!$C$2:$C$1086,'Response Mapping'!$G$2:$G$1086),"")</f>
        <v>REC-TAG-014-L1</v>
      </c>
      <c r="O139" t="str">
        <f t="shared" si="2"/>
        <v>No</v>
      </c>
      <c r="Q139" t="s">
        <v>79</v>
      </c>
      <c r="R139" t="s">
        <v>199</v>
      </c>
    </row>
    <row r="140" spans="1:18" x14ac:dyDescent="0.25">
      <c r="A140" t="s">
        <v>667</v>
      </c>
      <c r="B140" t="s">
        <v>607</v>
      </c>
      <c r="C140" t="s">
        <v>659</v>
      </c>
      <c r="D140" t="s">
        <v>668</v>
      </c>
      <c r="E140" t="s">
        <v>22</v>
      </c>
      <c r="F140" t="s">
        <v>42</v>
      </c>
      <c r="G140" t="s">
        <v>69</v>
      </c>
      <c r="H140" t="s">
        <v>43</v>
      </c>
      <c r="I140" t="s">
        <v>669</v>
      </c>
      <c r="J140" t="s">
        <v>670</v>
      </c>
      <c r="K140">
        <f>IFERROR(_xlfn.XLOOKUP($A140&amp;"|"&amp;$J140,'Response Mapping'!$C$2:$C$1086,'Response Mapping'!$D$2:$D$1086),"")</f>
        <v>1</v>
      </c>
      <c r="L140" t="str">
        <f>IFERROR(_xlfn.XLOOKUP($A140&amp;"|"&amp;$J140,'Response Mapping'!$C$2:$C$1086,'Response Mapping'!$E$2:$E$1086),"")</f>
        <v>Include</v>
      </c>
      <c r="M140" t="str">
        <f>IFERROR(_xlfn.XLOOKUP($A140&amp;"|"&amp;$J140,'Response Mapping'!$C$2:$C$1086,'Response Mapping'!$F$2:$F$1086),"")</f>
        <v>Audit Logging Gap</v>
      </c>
      <c r="N140" t="str">
        <f>IFERROR(_xlfn.XLOOKUP($A140&amp;"|"&amp;$J140,'Response Mapping'!$C$2:$C$1086,'Response Mapping'!$G$2:$G$1086),"")</f>
        <v>REC-TAG-015-L1</v>
      </c>
      <c r="O140" t="str">
        <f t="shared" si="2"/>
        <v>No</v>
      </c>
      <c r="Q140" t="s">
        <v>46</v>
      </c>
      <c r="R140" t="s">
        <v>92</v>
      </c>
    </row>
    <row r="141" spans="1:18" x14ac:dyDescent="0.25">
      <c r="A141" t="s">
        <v>671</v>
      </c>
      <c r="B141" t="s">
        <v>607</v>
      </c>
      <c r="C141" t="s">
        <v>659</v>
      </c>
      <c r="D141" t="s">
        <v>672</v>
      </c>
      <c r="E141" t="s">
        <v>22</v>
      </c>
      <c r="F141" t="s">
        <v>69</v>
      </c>
      <c r="G141" t="s">
        <v>89</v>
      </c>
      <c r="H141" t="s">
        <v>43</v>
      </c>
      <c r="I141" t="s">
        <v>673</v>
      </c>
      <c r="J141" t="s">
        <v>674</v>
      </c>
      <c r="K141">
        <f>IFERROR(_xlfn.XLOOKUP($A141&amp;"|"&amp;$J141,'Response Mapping'!$C$2:$C$1086,'Response Mapping'!$D$2:$D$1086),"")</f>
        <v>1</v>
      </c>
      <c r="L141" t="str">
        <f>IFERROR(_xlfn.XLOOKUP($A141&amp;"|"&amp;$J141,'Response Mapping'!$C$2:$C$1086,'Response Mapping'!$E$2:$E$1086),"")</f>
        <v>Include</v>
      </c>
      <c r="M141" t="str">
        <f>IFERROR(_xlfn.XLOOKUP($A141&amp;"|"&amp;$J141,'Response Mapping'!$C$2:$C$1086,'Response Mapping'!$F$2:$F$1086),"")</f>
        <v>Vendor Lock-In</v>
      </c>
      <c r="N141" t="str">
        <f>IFERROR(_xlfn.XLOOKUP($A141&amp;"|"&amp;$J141,'Response Mapping'!$C$2:$C$1086,'Response Mapping'!$G$2:$G$1086),"")</f>
        <v>REC-TAG-016-L1</v>
      </c>
      <c r="O141" t="str">
        <f t="shared" si="2"/>
        <v>No</v>
      </c>
      <c r="Q141" t="s">
        <v>46</v>
      </c>
      <c r="R141" t="s">
        <v>107</v>
      </c>
    </row>
    <row r="142" spans="1:18" x14ac:dyDescent="0.25">
      <c r="A142" t="s">
        <v>675</v>
      </c>
      <c r="B142" t="s">
        <v>676</v>
      </c>
      <c r="C142" t="s">
        <v>677</v>
      </c>
      <c r="D142" t="s">
        <v>678</v>
      </c>
      <c r="E142" t="s">
        <v>22</v>
      </c>
      <c r="F142" t="s">
        <v>42</v>
      </c>
      <c r="G142" t="s">
        <v>41</v>
      </c>
      <c r="H142" t="s">
        <v>43</v>
      </c>
      <c r="I142" t="s">
        <v>679</v>
      </c>
      <c r="J142" t="s">
        <v>680</v>
      </c>
      <c r="K142">
        <f>IFERROR(_xlfn.XLOOKUP($A142&amp;"|"&amp;$J142,'Response Mapping'!$C$2:$C$1086,'Response Mapping'!$D$2:$D$1086),"")</f>
        <v>3</v>
      </c>
      <c r="L142" t="str">
        <f>IFERROR(_xlfn.XLOOKUP($A142&amp;"|"&amp;$J142,'Response Mapping'!$C$2:$C$1086,'Response Mapping'!$E$2:$E$1086),"")</f>
        <v>Include</v>
      </c>
      <c r="M142" t="str">
        <f>IFERROR(_xlfn.XLOOKUP($A142&amp;"|"&amp;$J142,'Response Mapping'!$C$2:$C$1086,'Response Mapping'!$F$2:$F$1086),"")</f>
        <v>Partial Capability</v>
      </c>
      <c r="N142" t="str">
        <f>IFERROR(_xlfn.XLOOKUP($A142&amp;"|"&amp;$J142,'Response Mapping'!$C$2:$C$1086,'Response Mapping'!$G$2:$G$1086),"")</f>
        <v>REC-RAC-001-L3</v>
      </c>
      <c r="O142" t="str">
        <f t="shared" si="2"/>
        <v>No</v>
      </c>
      <c r="Q142" t="s">
        <v>46</v>
      </c>
      <c r="R142" t="s">
        <v>133</v>
      </c>
    </row>
    <row r="143" spans="1:18" x14ac:dyDescent="0.25">
      <c r="A143" t="s">
        <v>681</v>
      </c>
      <c r="B143" t="s">
        <v>676</v>
      </c>
      <c r="C143" t="s">
        <v>677</v>
      </c>
      <c r="D143" t="s">
        <v>682</v>
      </c>
      <c r="E143" t="s">
        <v>22</v>
      </c>
      <c r="F143" t="s">
        <v>42</v>
      </c>
      <c r="G143" t="s">
        <v>41</v>
      </c>
      <c r="H143" t="s">
        <v>43</v>
      </c>
      <c r="I143" t="s">
        <v>683</v>
      </c>
      <c r="J143" t="s">
        <v>684</v>
      </c>
      <c r="K143">
        <f>IFERROR(_xlfn.XLOOKUP($A143&amp;"|"&amp;$J143,'Response Mapping'!$C$2:$C$1086,'Response Mapping'!$D$2:$D$1086),"")</f>
        <v>1</v>
      </c>
      <c r="L143" t="str">
        <f>IFERROR(_xlfn.XLOOKUP($A143&amp;"|"&amp;$J143,'Response Mapping'!$C$2:$C$1086,'Response Mapping'!$E$2:$E$1086),"")</f>
        <v>Include</v>
      </c>
      <c r="M143" t="str">
        <f>IFERROR(_xlfn.XLOOKUP($A143&amp;"|"&amp;$J143,'Response Mapping'!$C$2:$C$1086,'Response Mapping'!$F$2:$F$1086),"")</f>
        <v>Framework Ownership Gap</v>
      </c>
      <c r="N143" t="str">
        <f>IFERROR(_xlfn.XLOOKUP($A143&amp;"|"&amp;$J143,'Response Mapping'!$C$2:$C$1086,'Response Mapping'!$G$2:$G$1086),"")</f>
        <v>REC-RAC-002-L1</v>
      </c>
      <c r="O143" t="str">
        <f t="shared" si="2"/>
        <v>No</v>
      </c>
      <c r="Q143" t="s">
        <v>46</v>
      </c>
      <c r="R143" t="s">
        <v>563</v>
      </c>
    </row>
    <row r="144" spans="1:18" x14ac:dyDescent="0.25">
      <c r="A144" t="s">
        <v>685</v>
      </c>
      <c r="B144" t="s">
        <v>676</v>
      </c>
      <c r="C144" t="s">
        <v>677</v>
      </c>
      <c r="D144" t="s">
        <v>686</v>
      </c>
      <c r="E144" t="s">
        <v>22</v>
      </c>
      <c r="F144" t="s">
        <v>42</v>
      </c>
      <c r="G144" t="s">
        <v>89</v>
      </c>
      <c r="H144" t="s">
        <v>43</v>
      </c>
      <c r="I144" t="s">
        <v>687</v>
      </c>
      <c r="J144" t="s">
        <v>688</v>
      </c>
      <c r="K144">
        <f>IFERROR(_xlfn.XLOOKUP($A144&amp;"|"&amp;$J144,'Response Mapping'!$C$2:$C$1086,'Response Mapping'!$D$2:$D$1086),"")</f>
        <v>1</v>
      </c>
      <c r="L144" t="str">
        <f>IFERROR(_xlfn.XLOOKUP($A144&amp;"|"&amp;$J144,'Response Mapping'!$C$2:$C$1086,'Response Mapping'!$E$2:$E$1086),"")</f>
        <v>Include</v>
      </c>
      <c r="M144" t="str">
        <f>IFERROR(_xlfn.XLOOKUP($A144&amp;"|"&amp;$J144,'Response Mapping'!$C$2:$C$1086,'Response Mapping'!$F$2:$F$1086),"")</f>
        <v>Pre-Production Review Gap</v>
      </c>
      <c r="N144" t="str">
        <f>IFERROR(_xlfn.XLOOKUP($A144&amp;"|"&amp;$J144,'Response Mapping'!$C$2:$C$1086,'Response Mapping'!$G$2:$G$1086),"")</f>
        <v>REC-RAC-003-L1</v>
      </c>
      <c r="O144" t="str">
        <f t="shared" si="2"/>
        <v>No</v>
      </c>
      <c r="Q144" t="s">
        <v>46</v>
      </c>
      <c r="R144" t="s">
        <v>80</v>
      </c>
    </row>
    <row r="145" spans="1:18" x14ac:dyDescent="0.25">
      <c r="A145" t="s">
        <v>689</v>
      </c>
      <c r="B145" t="s">
        <v>676</v>
      </c>
      <c r="C145" t="s">
        <v>677</v>
      </c>
      <c r="D145" t="s">
        <v>690</v>
      </c>
      <c r="E145" t="s">
        <v>22</v>
      </c>
      <c r="F145" t="s">
        <v>130</v>
      </c>
      <c r="G145" t="s">
        <v>69</v>
      </c>
      <c r="H145" t="s">
        <v>43</v>
      </c>
      <c r="I145" t="s">
        <v>691</v>
      </c>
      <c r="J145" t="s">
        <v>692</v>
      </c>
      <c r="K145">
        <f>IFERROR(_xlfn.XLOOKUP($A145&amp;"|"&amp;$J145,'Response Mapping'!$C$2:$C$1086,'Response Mapping'!$D$2:$D$1086),"")</f>
        <v>1</v>
      </c>
      <c r="L145" t="str">
        <f>IFERROR(_xlfn.XLOOKUP($A145&amp;"|"&amp;$J145,'Response Mapping'!$C$2:$C$1086,'Response Mapping'!$E$2:$E$1086),"")</f>
        <v>Include</v>
      </c>
      <c r="M145" t="str">
        <f>IFERROR(_xlfn.XLOOKUP($A145&amp;"|"&amp;$J145,'Response Mapping'!$C$2:$C$1086,'Response Mapping'!$F$2:$F$1086),"")</f>
        <v>Run-Cost Ownership Gap</v>
      </c>
      <c r="N145" t="str">
        <f>IFERROR(_xlfn.XLOOKUP($A145&amp;"|"&amp;$J145,'Response Mapping'!$C$2:$C$1086,'Response Mapping'!$G$2:$G$1086),"")</f>
        <v>REC-RAC-004-L1</v>
      </c>
      <c r="O145" t="str">
        <f t="shared" si="2"/>
        <v>No</v>
      </c>
      <c r="Q145" t="s">
        <v>85</v>
      </c>
      <c r="R145" t="s">
        <v>164</v>
      </c>
    </row>
    <row r="146" spans="1:18" x14ac:dyDescent="0.25">
      <c r="A146" t="s">
        <v>693</v>
      </c>
      <c r="B146" t="s">
        <v>676</v>
      </c>
      <c r="C146" t="s">
        <v>694</v>
      </c>
      <c r="D146" t="s">
        <v>695</v>
      </c>
      <c r="E146" t="s">
        <v>22</v>
      </c>
      <c r="F146" t="s">
        <v>76</v>
      </c>
      <c r="G146" t="s">
        <v>42</v>
      </c>
      <c r="H146" t="s">
        <v>43</v>
      </c>
      <c r="I146" t="s">
        <v>696</v>
      </c>
      <c r="J146" t="s">
        <v>697</v>
      </c>
      <c r="K146">
        <f>IFERROR(_xlfn.XLOOKUP($A146&amp;"|"&amp;$J146,'Response Mapping'!$C$2:$C$1086,'Response Mapping'!$D$2:$D$1086),"")</f>
        <v>1</v>
      </c>
      <c r="L146" t="str">
        <f>IFERROR(_xlfn.XLOOKUP($A146&amp;"|"&amp;$J146,'Response Mapping'!$C$2:$C$1086,'Response Mapping'!$E$2:$E$1086),"")</f>
        <v>Include</v>
      </c>
      <c r="M146" t="str">
        <f>IFERROR(_xlfn.XLOOKUP($A146&amp;"|"&amp;$J146,'Response Mapping'!$C$2:$C$1086,'Response Mapping'!$F$2:$F$1086),"")</f>
        <v>Data Provenance Responsibility Gap</v>
      </c>
      <c r="N146" t="str">
        <f>IFERROR(_xlfn.XLOOKUP($A146&amp;"|"&amp;$J146,'Response Mapping'!$C$2:$C$1086,'Response Mapping'!$G$2:$G$1086),"")</f>
        <v>REC-RAC-005-L1</v>
      </c>
      <c r="O146" t="str">
        <f t="shared" si="2"/>
        <v>No</v>
      </c>
      <c r="Q146" t="s">
        <v>72</v>
      </c>
      <c r="R146" t="s">
        <v>80</v>
      </c>
    </row>
    <row r="147" spans="1:18" x14ac:dyDescent="0.25">
      <c r="A147" t="s">
        <v>698</v>
      </c>
      <c r="B147" t="s">
        <v>676</v>
      </c>
      <c r="C147" t="s">
        <v>694</v>
      </c>
      <c r="D147" t="s">
        <v>699</v>
      </c>
      <c r="E147" t="s">
        <v>22</v>
      </c>
      <c r="F147" t="s">
        <v>69</v>
      </c>
      <c r="G147" t="s">
        <v>89</v>
      </c>
      <c r="H147" t="s">
        <v>43</v>
      </c>
      <c r="I147" t="s">
        <v>700</v>
      </c>
      <c r="J147" t="s">
        <v>701</v>
      </c>
      <c r="K147">
        <f>IFERROR(_xlfn.XLOOKUP($A147&amp;"|"&amp;$J147,'Response Mapping'!$C$2:$C$1086,'Response Mapping'!$D$2:$D$1086),"")</f>
        <v>1</v>
      </c>
      <c r="L147" t="str">
        <f>IFERROR(_xlfn.XLOOKUP($A147&amp;"|"&amp;$J147,'Response Mapping'!$C$2:$C$1086,'Response Mapping'!$E$2:$E$1086),"")</f>
        <v>Include</v>
      </c>
      <c r="M147" t="str">
        <f>IFERROR(_xlfn.XLOOKUP($A147&amp;"|"&amp;$J147,'Response Mapping'!$C$2:$C$1086,'Response Mapping'!$F$2:$F$1086),"")</f>
        <v>Model Selection Responsibility Gap</v>
      </c>
      <c r="N147" t="str">
        <f>IFERROR(_xlfn.XLOOKUP($A147&amp;"|"&amp;$J147,'Response Mapping'!$C$2:$C$1086,'Response Mapping'!$G$2:$G$1086),"")</f>
        <v>REC-RAC-006-L1</v>
      </c>
      <c r="O147" t="str">
        <f t="shared" si="2"/>
        <v>No</v>
      </c>
      <c r="Q147" t="s">
        <v>46</v>
      </c>
      <c r="R147" t="s">
        <v>56</v>
      </c>
    </row>
    <row r="148" spans="1:18" x14ac:dyDescent="0.25">
      <c r="A148" t="s">
        <v>702</v>
      </c>
      <c r="B148" t="s">
        <v>676</v>
      </c>
      <c r="C148" t="s">
        <v>694</v>
      </c>
      <c r="D148" t="s">
        <v>703</v>
      </c>
      <c r="E148" t="s">
        <v>22</v>
      </c>
      <c r="F148" t="s">
        <v>89</v>
      </c>
      <c r="G148" t="s">
        <v>42</v>
      </c>
      <c r="H148" t="s">
        <v>43</v>
      </c>
      <c r="I148" t="s">
        <v>704</v>
      </c>
      <c r="J148" t="s">
        <v>705</v>
      </c>
      <c r="K148">
        <f>IFERROR(_xlfn.XLOOKUP($A148&amp;"|"&amp;$J148,'Response Mapping'!$C$2:$C$1086,'Response Mapping'!$D$2:$D$1086),"")</f>
        <v>1</v>
      </c>
      <c r="L148" t="str">
        <f>IFERROR(_xlfn.XLOOKUP($A148&amp;"|"&amp;$J148,'Response Mapping'!$C$2:$C$1086,'Response Mapping'!$E$2:$E$1086),"")</f>
        <v>Include</v>
      </c>
      <c r="M148" t="str">
        <f>IFERROR(_xlfn.XLOOKUP($A148&amp;"|"&amp;$J148,'Response Mapping'!$C$2:$C$1086,'Response Mapping'!$F$2:$F$1086),"")</f>
        <v>Prompt Responsibility Gap</v>
      </c>
      <c r="N148" t="str">
        <f>IFERROR(_xlfn.XLOOKUP($A148&amp;"|"&amp;$J148,'Response Mapping'!$C$2:$C$1086,'Response Mapping'!$G$2:$G$1086),"")</f>
        <v>REC-RAC-007-L1</v>
      </c>
      <c r="O148" t="str">
        <f t="shared" si="2"/>
        <v>No</v>
      </c>
      <c r="Q148" t="s">
        <v>85</v>
      </c>
      <c r="R148" t="s">
        <v>86</v>
      </c>
    </row>
    <row r="149" spans="1:18" x14ac:dyDescent="0.25">
      <c r="A149" t="s">
        <v>706</v>
      </c>
      <c r="B149" t="s">
        <v>676</v>
      </c>
      <c r="C149" t="s">
        <v>694</v>
      </c>
      <c r="D149" t="s">
        <v>707</v>
      </c>
      <c r="E149" t="s">
        <v>22</v>
      </c>
      <c r="F149" t="s">
        <v>42</v>
      </c>
      <c r="G149" t="s">
        <v>89</v>
      </c>
      <c r="H149" t="s">
        <v>43</v>
      </c>
      <c r="I149" t="s">
        <v>708</v>
      </c>
      <c r="J149" t="s">
        <v>709</v>
      </c>
      <c r="K149">
        <f>IFERROR(_xlfn.XLOOKUP($A149&amp;"|"&amp;$J149,'Response Mapping'!$C$2:$C$1086,'Response Mapping'!$D$2:$D$1086),"")</f>
        <v>1</v>
      </c>
      <c r="L149" t="str">
        <f>IFERROR(_xlfn.XLOOKUP($A149&amp;"|"&amp;$J149,'Response Mapping'!$C$2:$C$1086,'Response Mapping'!$E$2:$E$1086),"")</f>
        <v>Include</v>
      </c>
      <c r="M149" t="str">
        <f>IFERROR(_xlfn.XLOOKUP($A149&amp;"|"&amp;$J149,'Response Mapping'!$C$2:$C$1086,'Response Mapping'!$F$2:$F$1086),"")</f>
        <v>Go-Live Authority Gap</v>
      </c>
      <c r="N149" t="str">
        <f>IFERROR(_xlfn.XLOOKUP($A149&amp;"|"&amp;$J149,'Response Mapping'!$C$2:$C$1086,'Response Mapping'!$G$2:$G$1086),"")</f>
        <v>REC-RAC-008-L1</v>
      </c>
      <c r="O149" t="str">
        <f t="shared" si="2"/>
        <v>No</v>
      </c>
      <c r="Q149" t="s">
        <v>46</v>
      </c>
      <c r="R149" t="s">
        <v>80</v>
      </c>
    </row>
    <row r="150" spans="1:18" x14ac:dyDescent="0.25">
      <c r="A150" t="s">
        <v>710</v>
      </c>
      <c r="B150" t="s">
        <v>676</v>
      </c>
      <c r="C150" t="s">
        <v>711</v>
      </c>
      <c r="D150" t="s">
        <v>712</v>
      </c>
      <c r="E150" t="s">
        <v>22</v>
      </c>
      <c r="F150" t="s">
        <v>89</v>
      </c>
      <c r="G150" t="s">
        <v>76</v>
      </c>
      <c r="H150" t="s">
        <v>43</v>
      </c>
      <c r="I150" t="s">
        <v>713</v>
      </c>
      <c r="J150" t="s">
        <v>714</v>
      </c>
      <c r="K150">
        <f>IFERROR(_xlfn.XLOOKUP($A150&amp;"|"&amp;$J150,'Response Mapping'!$C$2:$C$1086,'Response Mapping'!$D$2:$D$1086),"")</f>
        <v>1</v>
      </c>
      <c r="L150" t="str">
        <f>IFERROR(_xlfn.XLOOKUP($A150&amp;"|"&amp;$J150,'Response Mapping'!$C$2:$C$1086,'Response Mapping'!$E$2:$E$1086),"")</f>
        <v>Include</v>
      </c>
      <c r="M150" t="str">
        <f>IFERROR(_xlfn.XLOOKUP($A150&amp;"|"&amp;$J150,'Response Mapping'!$C$2:$C$1086,'Response Mapping'!$F$2:$F$1086),"")</f>
        <v>Monitoring Responsibility Gap</v>
      </c>
      <c r="N150" t="str">
        <f>IFERROR(_xlfn.XLOOKUP($A150&amp;"|"&amp;$J150,'Response Mapping'!$C$2:$C$1086,'Response Mapping'!$G$2:$G$1086),"")</f>
        <v>REC-RAC-009-L1</v>
      </c>
      <c r="O150" t="str">
        <f t="shared" si="2"/>
        <v>No</v>
      </c>
      <c r="Q150" t="s">
        <v>79</v>
      </c>
      <c r="R150" t="s">
        <v>199</v>
      </c>
    </row>
    <row r="151" spans="1:18" x14ac:dyDescent="0.25">
      <c r="A151" t="s">
        <v>715</v>
      </c>
      <c r="B151" t="s">
        <v>676</v>
      </c>
      <c r="C151" t="s">
        <v>711</v>
      </c>
      <c r="D151" t="s">
        <v>716</v>
      </c>
      <c r="E151" t="s">
        <v>22</v>
      </c>
      <c r="F151" t="s">
        <v>42</v>
      </c>
      <c r="G151" t="s">
        <v>41</v>
      </c>
      <c r="H151" t="s">
        <v>43</v>
      </c>
      <c r="I151" t="s">
        <v>717</v>
      </c>
      <c r="J151" t="s">
        <v>718</v>
      </c>
      <c r="K151">
        <f>IFERROR(_xlfn.XLOOKUP($A151&amp;"|"&amp;$J151,'Response Mapping'!$C$2:$C$1086,'Response Mapping'!$D$2:$D$1086),"")</f>
        <v>1</v>
      </c>
      <c r="L151" t="str">
        <f>IFERROR(_xlfn.XLOOKUP($A151&amp;"|"&amp;$J151,'Response Mapping'!$C$2:$C$1086,'Response Mapping'!$E$2:$E$1086),"")</f>
        <v>Include</v>
      </c>
      <c r="M151" t="str">
        <f>IFERROR(_xlfn.XLOOKUP($A151&amp;"|"&amp;$J151,'Response Mapping'!$C$2:$C$1086,'Response Mapping'!$F$2:$F$1086),"")</f>
        <v>Incident Accountability Gap</v>
      </c>
      <c r="N151" t="str">
        <f>IFERROR(_xlfn.XLOOKUP($A151&amp;"|"&amp;$J151,'Response Mapping'!$C$2:$C$1086,'Response Mapping'!$G$2:$G$1086),"")</f>
        <v>REC-RAC-010-L1</v>
      </c>
      <c r="O151" t="str">
        <f t="shared" si="2"/>
        <v>No</v>
      </c>
      <c r="Q151" t="s">
        <v>85</v>
      </c>
      <c r="R151" t="s">
        <v>86</v>
      </c>
    </row>
    <row r="152" spans="1:18" x14ac:dyDescent="0.25">
      <c r="A152" t="s">
        <v>719</v>
      </c>
      <c r="B152" t="s">
        <v>676</v>
      </c>
      <c r="C152" t="s">
        <v>711</v>
      </c>
      <c r="D152" t="s">
        <v>720</v>
      </c>
      <c r="E152" t="s">
        <v>22</v>
      </c>
      <c r="F152" t="s">
        <v>130</v>
      </c>
      <c r="G152" t="s">
        <v>136</v>
      </c>
      <c r="H152" t="s">
        <v>43</v>
      </c>
      <c r="I152" t="s">
        <v>721</v>
      </c>
      <c r="J152" t="s">
        <v>722</v>
      </c>
      <c r="K152">
        <f>IFERROR(_xlfn.XLOOKUP($A152&amp;"|"&amp;$J152,'Response Mapping'!$C$2:$C$1086,'Response Mapping'!$D$2:$D$1086),"")</f>
        <v>1</v>
      </c>
      <c r="L152" t="str">
        <f>IFERROR(_xlfn.XLOOKUP($A152&amp;"|"&amp;$J152,'Response Mapping'!$C$2:$C$1086,'Response Mapping'!$E$2:$E$1086),"")</f>
        <v>Include</v>
      </c>
      <c r="M152" t="str">
        <f>IFERROR(_xlfn.XLOOKUP($A152&amp;"|"&amp;$J152,'Response Mapping'!$C$2:$C$1086,'Response Mapping'!$F$2:$F$1086),"")</f>
        <v>HITL Role Gap</v>
      </c>
      <c r="N152" t="str">
        <f>IFERROR(_xlfn.XLOOKUP($A152&amp;"|"&amp;$J152,'Response Mapping'!$C$2:$C$1086,'Response Mapping'!$G$2:$G$1086),"")</f>
        <v>REC-RAC-011-L1</v>
      </c>
      <c r="O152" t="str">
        <f t="shared" si="2"/>
        <v>No</v>
      </c>
      <c r="Q152" t="s">
        <v>85</v>
      </c>
      <c r="R152" t="s">
        <v>133</v>
      </c>
    </row>
    <row r="153" spans="1:18" x14ac:dyDescent="0.25">
      <c r="A153" t="s">
        <v>723</v>
      </c>
      <c r="B153" t="s">
        <v>676</v>
      </c>
      <c r="C153" t="s">
        <v>711</v>
      </c>
      <c r="D153" t="s">
        <v>724</v>
      </c>
      <c r="E153" t="s">
        <v>22</v>
      </c>
      <c r="F153" t="s">
        <v>89</v>
      </c>
      <c r="G153" t="s">
        <v>42</v>
      </c>
      <c r="H153" t="s">
        <v>43</v>
      </c>
      <c r="I153" t="s">
        <v>725</v>
      </c>
      <c r="J153" t="s">
        <v>726</v>
      </c>
      <c r="K153">
        <f>IFERROR(_xlfn.XLOOKUP($A153&amp;"|"&amp;$J153,'Response Mapping'!$C$2:$C$1086,'Response Mapping'!$D$2:$D$1086),"")</f>
        <v>1</v>
      </c>
      <c r="L153" t="str">
        <f>IFERROR(_xlfn.XLOOKUP($A153&amp;"|"&amp;$J153,'Response Mapping'!$C$2:$C$1086,'Response Mapping'!$E$2:$E$1086),"")</f>
        <v>Include</v>
      </c>
      <c r="M153" t="str">
        <f>IFERROR(_xlfn.XLOOKUP($A153&amp;"|"&amp;$J153,'Response Mapping'!$C$2:$C$1086,'Response Mapping'!$F$2:$F$1086),"")</f>
        <v>Decommissioning Authority Gap</v>
      </c>
      <c r="N153" t="str">
        <f>IFERROR(_xlfn.XLOOKUP($A153&amp;"|"&amp;$J153,'Response Mapping'!$C$2:$C$1086,'Response Mapping'!$G$2:$G$1086),"")</f>
        <v>REC-RAC-012-L1</v>
      </c>
      <c r="O153" t="str">
        <f t="shared" si="2"/>
        <v>No</v>
      </c>
      <c r="Q153" t="s">
        <v>85</v>
      </c>
      <c r="R153" t="s">
        <v>80</v>
      </c>
    </row>
    <row r="154" spans="1:18" x14ac:dyDescent="0.25">
      <c r="A154" t="s">
        <v>727</v>
      </c>
      <c r="B154" t="s">
        <v>676</v>
      </c>
      <c r="C154" t="s">
        <v>728</v>
      </c>
      <c r="D154" t="s">
        <v>729</v>
      </c>
      <c r="E154" t="s">
        <v>22</v>
      </c>
      <c r="F154" t="s">
        <v>42</v>
      </c>
      <c r="G154" t="s">
        <v>41</v>
      </c>
      <c r="H154" t="s">
        <v>43</v>
      </c>
      <c r="I154" t="s">
        <v>730</v>
      </c>
      <c r="J154" t="s">
        <v>731</v>
      </c>
      <c r="K154">
        <f>IFERROR(_xlfn.XLOOKUP($A154&amp;"|"&amp;$J154,'Response Mapping'!$C$2:$C$1086,'Response Mapping'!$D$2:$D$1086),"")</f>
        <v>1</v>
      </c>
      <c r="L154" t="str">
        <f>IFERROR(_xlfn.XLOOKUP($A154&amp;"|"&amp;$J154,'Response Mapping'!$C$2:$C$1086,'Response Mapping'!$E$2:$E$1086),"")</f>
        <v>Include</v>
      </c>
      <c r="M154" t="str">
        <f>IFERROR(_xlfn.XLOOKUP($A154&amp;"|"&amp;$J154,'Response Mapping'!$C$2:$C$1086,'Response Mapping'!$F$2:$F$1086),"")</f>
        <v>Executive Communication Gap</v>
      </c>
      <c r="N154" t="str">
        <f>IFERROR(_xlfn.XLOOKUP($A154&amp;"|"&amp;$J154,'Response Mapping'!$C$2:$C$1086,'Response Mapping'!$G$2:$G$1086),"")</f>
        <v>REC-RAC-013-L1</v>
      </c>
      <c r="O154" t="str">
        <f t="shared" si="2"/>
        <v>No</v>
      </c>
      <c r="Q154" t="s">
        <v>46</v>
      </c>
      <c r="R154" t="s">
        <v>139</v>
      </c>
    </row>
    <row r="155" spans="1:18" x14ac:dyDescent="0.25">
      <c r="A155" t="s">
        <v>732</v>
      </c>
      <c r="B155" t="s">
        <v>676</v>
      </c>
      <c r="C155" t="s">
        <v>728</v>
      </c>
      <c r="D155" t="s">
        <v>733</v>
      </c>
      <c r="E155" t="s">
        <v>22</v>
      </c>
      <c r="F155" t="s">
        <v>42</v>
      </c>
      <c r="G155" t="s">
        <v>130</v>
      </c>
      <c r="H155" t="s">
        <v>43</v>
      </c>
      <c r="I155" t="s">
        <v>734</v>
      </c>
      <c r="J155" t="s">
        <v>735</v>
      </c>
      <c r="K155">
        <f>IFERROR(_xlfn.XLOOKUP($A155&amp;"|"&amp;$J155,'Response Mapping'!$C$2:$C$1086,'Response Mapping'!$D$2:$D$1086),"")</f>
        <v>1</v>
      </c>
      <c r="L155" t="str">
        <f>IFERROR(_xlfn.XLOOKUP($A155&amp;"|"&amp;$J155,'Response Mapping'!$C$2:$C$1086,'Response Mapping'!$E$2:$E$1086),"")</f>
        <v>Include</v>
      </c>
      <c r="M155" t="str">
        <f>IFERROR(_xlfn.XLOOKUP($A155&amp;"|"&amp;$J155,'Response Mapping'!$C$2:$C$1086,'Response Mapping'!$F$2:$F$1086),"")</f>
        <v>Disclosure Responsibility Gap</v>
      </c>
      <c r="N155" t="str">
        <f>IFERROR(_xlfn.XLOOKUP($A155&amp;"|"&amp;$J155,'Response Mapping'!$C$2:$C$1086,'Response Mapping'!$G$2:$G$1086),"")</f>
        <v>REC-RAC-014-L1</v>
      </c>
      <c r="O155" t="str">
        <f t="shared" si="2"/>
        <v>No</v>
      </c>
      <c r="Q155" t="s">
        <v>46</v>
      </c>
      <c r="R155" t="s">
        <v>139</v>
      </c>
    </row>
    <row r="156" spans="1:18" x14ac:dyDescent="0.25">
      <c r="A156" t="s">
        <v>736</v>
      </c>
      <c r="B156" t="s">
        <v>676</v>
      </c>
      <c r="C156" t="s">
        <v>728</v>
      </c>
      <c r="D156" t="s">
        <v>737</v>
      </c>
      <c r="E156" t="s">
        <v>22</v>
      </c>
      <c r="F156" t="s">
        <v>69</v>
      </c>
      <c r="G156" t="s">
        <v>42</v>
      </c>
      <c r="H156" t="s">
        <v>43</v>
      </c>
      <c r="I156" t="s">
        <v>738</v>
      </c>
      <c r="J156" t="s">
        <v>739</v>
      </c>
      <c r="K156">
        <f>IFERROR(_xlfn.XLOOKUP($A156&amp;"|"&amp;$J156,'Response Mapping'!$C$2:$C$1086,'Response Mapping'!$D$2:$D$1086),"")</f>
        <v>5</v>
      </c>
      <c r="L156" t="str">
        <f>IFERROR(_xlfn.XLOOKUP($A156&amp;"|"&amp;$J156,'Response Mapping'!$C$2:$C$1086,'Response Mapping'!$E$2:$E$1086),"")</f>
        <v>Include</v>
      </c>
      <c r="M156" t="str">
        <f>IFERROR(_xlfn.XLOOKUP($A156&amp;"|"&amp;$J156,'Response Mapping'!$C$2:$C$1086,'Response Mapping'!$F$2:$F$1086),"")</f>
        <v>Optimized Capability</v>
      </c>
      <c r="N156" t="str">
        <f>IFERROR(_xlfn.XLOOKUP($A156&amp;"|"&amp;$J156,'Response Mapping'!$C$2:$C$1086,'Response Mapping'!$G$2:$G$1086),"")</f>
        <v>REC-RAC-015-L5</v>
      </c>
      <c r="O156" t="str">
        <f t="shared" si="2"/>
        <v>Yes</v>
      </c>
      <c r="Q156" t="s">
        <v>85</v>
      </c>
      <c r="R156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86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60" customWidth="1"/>
    <col min="4" max="4" width="14" customWidth="1"/>
    <col min="5" max="5" width="16" customWidth="1"/>
    <col min="6" max="7" width="22" customWidth="1"/>
    <col min="8" max="8" width="16" customWidth="1"/>
    <col min="9" max="9" width="40" customWidth="1"/>
  </cols>
  <sheetData>
    <row r="1" spans="1:9" ht="30" customHeight="1" x14ac:dyDescent="0.25">
      <c r="A1" s="10" t="s">
        <v>19</v>
      </c>
      <c r="B1" s="10" t="s">
        <v>740</v>
      </c>
      <c r="C1" s="10" t="s">
        <v>741</v>
      </c>
      <c r="D1" s="10" t="s">
        <v>742</v>
      </c>
      <c r="E1" s="10" t="s">
        <v>30</v>
      </c>
      <c r="F1" s="10" t="s">
        <v>31</v>
      </c>
      <c r="G1" s="10" t="s">
        <v>32</v>
      </c>
      <c r="H1" s="10" t="s">
        <v>743</v>
      </c>
      <c r="I1" s="10" t="s">
        <v>744</v>
      </c>
    </row>
    <row r="2" spans="1:9" x14ac:dyDescent="0.25">
      <c r="A2" t="s">
        <v>37</v>
      </c>
      <c r="B2" t="s">
        <v>745</v>
      </c>
      <c r="C2" t="s">
        <v>746</v>
      </c>
      <c r="D2">
        <v>1</v>
      </c>
      <c r="E2" t="s">
        <v>747</v>
      </c>
      <c r="F2" t="s">
        <v>748</v>
      </c>
      <c r="G2" t="s">
        <v>749</v>
      </c>
      <c r="H2" t="s">
        <v>750</v>
      </c>
      <c r="I2" t="s">
        <v>38</v>
      </c>
    </row>
    <row r="3" spans="1:9" x14ac:dyDescent="0.25">
      <c r="A3" t="s">
        <v>37</v>
      </c>
      <c r="B3" t="s">
        <v>751</v>
      </c>
      <c r="C3" t="s">
        <v>752</v>
      </c>
      <c r="D3">
        <v>2</v>
      </c>
      <c r="E3" t="s">
        <v>747</v>
      </c>
      <c r="F3" t="s">
        <v>748</v>
      </c>
      <c r="G3" t="s">
        <v>749</v>
      </c>
      <c r="H3" t="s">
        <v>750</v>
      </c>
      <c r="I3" t="s">
        <v>38</v>
      </c>
    </row>
    <row r="4" spans="1:9" x14ac:dyDescent="0.25">
      <c r="A4" t="s">
        <v>37</v>
      </c>
      <c r="B4" t="s">
        <v>753</v>
      </c>
      <c r="C4" t="s">
        <v>754</v>
      </c>
      <c r="D4">
        <v>3</v>
      </c>
      <c r="E4" t="s">
        <v>747</v>
      </c>
      <c r="F4" t="s">
        <v>755</v>
      </c>
      <c r="G4" t="s">
        <v>756</v>
      </c>
      <c r="H4" t="s">
        <v>750</v>
      </c>
      <c r="I4" t="s">
        <v>38</v>
      </c>
    </row>
    <row r="5" spans="1:9" x14ac:dyDescent="0.25">
      <c r="A5" t="s">
        <v>37</v>
      </c>
      <c r="B5" t="s">
        <v>45</v>
      </c>
      <c r="C5" t="s">
        <v>757</v>
      </c>
      <c r="D5">
        <v>4</v>
      </c>
      <c r="E5" t="s">
        <v>747</v>
      </c>
      <c r="F5" t="s">
        <v>758</v>
      </c>
      <c r="G5" t="s">
        <v>759</v>
      </c>
      <c r="H5" t="s">
        <v>760</v>
      </c>
      <c r="I5" t="s">
        <v>38</v>
      </c>
    </row>
    <row r="6" spans="1:9" x14ac:dyDescent="0.25">
      <c r="A6" t="s">
        <v>37</v>
      </c>
      <c r="B6" t="s">
        <v>761</v>
      </c>
      <c r="C6" t="s">
        <v>762</v>
      </c>
      <c r="D6">
        <v>5</v>
      </c>
      <c r="E6" t="s">
        <v>747</v>
      </c>
      <c r="F6" t="s">
        <v>763</v>
      </c>
      <c r="G6" t="s">
        <v>764</v>
      </c>
      <c r="H6" t="s">
        <v>760</v>
      </c>
      <c r="I6" t="s">
        <v>38</v>
      </c>
    </row>
    <row r="7" spans="1:9" x14ac:dyDescent="0.25">
      <c r="A7" t="s">
        <v>37</v>
      </c>
      <c r="B7" t="s">
        <v>765</v>
      </c>
      <c r="C7" t="s">
        <v>766</v>
      </c>
      <c r="E7" t="s">
        <v>767</v>
      </c>
      <c r="F7" t="s">
        <v>768</v>
      </c>
      <c r="G7" t="s">
        <v>769</v>
      </c>
      <c r="H7" t="s">
        <v>750</v>
      </c>
      <c r="I7" t="s">
        <v>38</v>
      </c>
    </row>
    <row r="8" spans="1:9" x14ac:dyDescent="0.25">
      <c r="A8" t="s">
        <v>37</v>
      </c>
      <c r="B8" t="s">
        <v>770</v>
      </c>
      <c r="C8" t="s">
        <v>771</v>
      </c>
      <c r="E8" t="s">
        <v>767</v>
      </c>
      <c r="F8" t="s">
        <v>772</v>
      </c>
      <c r="G8" t="s">
        <v>773</v>
      </c>
      <c r="H8" t="s">
        <v>750</v>
      </c>
      <c r="I8" t="s">
        <v>38</v>
      </c>
    </row>
    <row r="9" spans="1:9" x14ac:dyDescent="0.25">
      <c r="A9" t="s">
        <v>48</v>
      </c>
      <c r="B9" t="s">
        <v>774</v>
      </c>
      <c r="C9" t="s">
        <v>775</v>
      </c>
      <c r="D9">
        <v>1</v>
      </c>
      <c r="E9" t="s">
        <v>747</v>
      </c>
      <c r="F9" t="s">
        <v>748</v>
      </c>
      <c r="G9" t="s">
        <v>776</v>
      </c>
      <c r="H9" t="s">
        <v>750</v>
      </c>
      <c r="I9" t="s">
        <v>38</v>
      </c>
    </row>
    <row r="10" spans="1:9" x14ac:dyDescent="0.25">
      <c r="A10" t="s">
        <v>48</v>
      </c>
      <c r="B10" t="s">
        <v>777</v>
      </c>
      <c r="C10" t="s">
        <v>778</v>
      </c>
      <c r="D10">
        <v>2</v>
      </c>
      <c r="E10" t="s">
        <v>747</v>
      </c>
      <c r="F10" t="s">
        <v>779</v>
      </c>
      <c r="G10" t="s">
        <v>776</v>
      </c>
      <c r="H10" t="s">
        <v>750</v>
      </c>
      <c r="I10" t="s">
        <v>38</v>
      </c>
    </row>
    <row r="11" spans="1:9" x14ac:dyDescent="0.25">
      <c r="A11" t="s">
        <v>48</v>
      </c>
      <c r="B11" t="s">
        <v>780</v>
      </c>
      <c r="C11" t="s">
        <v>781</v>
      </c>
      <c r="D11">
        <v>3</v>
      </c>
      <c r="E11" t="s">
        <v>747</v>
      </c>
      <c r="F11" t="s">
        <v>755</v>
      </c>
      <c r="G11" t="s">
        <v>782</v>
      </c>
      <c r="H11" t="s">
        <v>750</v>
      </c>
      <c r="I11" t="s">
        <v>38</v>
      </c>
    </row>
    <row r="12" spans="1:9" x14ac:dyDescent="0.25">
      <c r="A12" t="s">
        <v>48</v>
      </c>
      <c r="B12" t="s">
        <v>51</v>
      </c>
      <c r="C12" t="s">
        <v>783</v>
      </c>
      <c r="D12">
        <v>4</v>
      </c>
      <c r="E12" t="s">
        <v>747</v>
      </c>
      <c r="F12" t="s">
        <v>758</v>
      </c>
      <c r="G12" t="s">
        <v>784</v>
      </c>
      <c r="H12" t="s">
        <v>760</v>
      </c>
      <c r="I12" t="s">
        <v>38</v>
      </c>
    </row>
    <row r="13" spans="1:9" x14ac:dyDescent="0.25">
      <c r="A13" t="s">
        <v>48</v>
      </c>
      <c r="B13" t="s">
        <v>785</v>
      </c>
      <c r="C13" t="s">
        <v>786</v>
      </c>
      <c r="D13">
        <v>5</v>
      </c>
      <c r="E13" t="s">
        <v>747</v>
      </c>
      <c r="F13" t="s">
        <v>763</v>
      </c>
      <c r="G13" t="s">
        <v>787</v>
      </c>
      <c r="H13" t="s">
        <v>760</v>
      </c>
      <c r="I13" t="s">
        <v>38</v>
      </c>
    </row>
    <row r="14" spans="1:9" x14ac:dyDescent="0.25">
      <c r="A14" t="s">
        <v>48</v>
      </c>
      <c r="B14" t="s">
        <v>765</v>
      </c>
      <c r="C14" t="s">
        <v>788</v>
      </c>
      <c r="E14" t="s">
        <v>767</v>
      </c>
      <c r="F14" t="s">
        <v>768</v>
      </c>
      <c r="G14" t="s">
        <v>789</v>
      </c>
      <c r="H14" t="s">
        <v>750</v>
      </c>
      <c r="I14" t="s">
        <v>38</v>
      </c>
    </row>
    <row r="15" spans="1:9" x14ac:dyDescent="0.25">
      <c r="A15" t="s">
        <v>48</v>
      </c>
      <c r="B15" t="s">
        <v>770</v>
      </c>
      <c r="C15" t="s">
        <v>790</v>
      </c>
      <c r="E15" t="s">
        <v>767</v>
      </c>
      <c r="F15" t="s">
        <v>772</v>
      </c>
      <c r="G15" t="s">
        <v>791</v>
      </c>
      <c r="H15" t="s">
        <v>750</v>
      </c>
      <c r="I15" t="s">
        <v>38</v>
      </c>
    </row>
    <row r="16" spans="1:9" x14ac:dyDescent="0.25">
      <c r="A16" t="s">
        <v>52</v>
      </c>
      <c r="B16" t="s">
        <v>792</v>
      </c>
      <c r="C16" t="s">
        <v>793</v>
      </c>
      <c r="D16">
        <v>1</v>
      </c>
      <c r="E16" t="s">
        <v>747</v>
      </c>
      <c r="F16" t="s">
        <v>794</v>
      </c>
      <c r="G16" t="s">
        <v>795</v>
      </c>
      <c r="H16" t="s">
        <v>750</v>
      </c>
      <c r="I16" t="s">
        <v>38</v>
      </c>
    </row>
    <row r="17" spans="1:9" x14ac:dyDescent="0.25">
      <c r="A17" t="s">
        <v>52</v>
      </c>
      <c r="B17" t="s">
        <v>796</v>
      </c>
      <c r="C17" t="s">
        <v>797</v>
      </c>
      <c r="D17">
        <v>2</v>
      </c>
      <c r="E17" t="s">
        <v>747</v>
      </c>
      <c r="F17" t="s">
        <v>798</v>
      </c>
      <c r="G17" t="s">
        <v>795</v>
      </c>
      <c r="H17" t="s">
        <v>750</v>
      </c>
      <c r="I17" t="s">
        <v>38</v>
      </c>
    </row>
    <row r="18" spans="1:9" x14ac:dyDescent="0.25">
      <c r="A18" t="s">
        <v>52</v>
      </c>
      <c r="B18" t="s">
        <v>55</v>
      </c>
      <c r="C18" t="s">
        <v>799</v>
      </c>
      <c r="D18">
        <v>3</v>
      </c>
      <c r="E18" t="s">
        <v>747</v>
      </c>
      <c r="F18" t="s">
        <v>755</v>
      </c>
      <c r="G18" t="s">
        <v>800</v>
      </c>
      <c r="H18" t="s">
        <v>750</v>
      </c>
      <c r="I18" t="s">
        <v>38</v>
      </c>
    </row>
    <row r="19" spans="1:9" x14ac:dyDescent="0.25">
      <c r="A19" t="s">
        <v>52</v>
      </c>
      <c r="B19" t="s">
        <v>801</v>
      </c>
      <c r="C19" t="s">
        <v>802</v>
      </c>
      <c r="D19">
        <v>4</v>
      </c>
      <c r="E19" t="s">
        <v>747</v>
      </c>
      <c r="F19" t="s">
        <v>758</v>
      </c>
      <c r="G19" t="s">
        <v>803</v>
      </c>
      <c r="H19" t="s">
        <v>760</v>
      </c>
      <c r="I19" t="s">
        <v>38</v>
      </c>
    </row>
    <row r="20" spans="1:9" x14ac:dyDescent="0.25">
      <c r="A20" t="s">
        <v>52</v>
      </c>
      <c r="B20" t="s">
        <v>804</v>
      </c>
      <c r="C20" t="s">
        <v>805</v>
      </c>
      <c r="D20">
        <v>5</v>
      </c>
      <c r="E20" t="s">
        <v>747</v>
      </c>
      <c r="F20" t="s">
        <v>763</v>
      </c>
      <c r="G20" t="s">
        <v>806</v>
      </c>
      <c r="H20" t="s">
        <v>760</v>
      </c>
      <c r="I20" t="s">
        <v>38</v>
      </c>
    </row>
    <row r="21" spans="1:9" x14ac:dyDescent="0.25">
      <c r="A21" t="s">
        <v>52</v>
      </c>
      <c r="B21" t="s">
        <v>765</v>
      </c>
      <c r="C21" t="s">
        <v>807</v>
      </c>
      <c r="E21" t="s">
        <v>767</v>
      </c>
      <c r="F21" t="s">
        <v>768</v>
      </c>
      <c r="G21" t="s">
        <v>808</v>
      </c>
      <c r="H21" t="s">
        <v>750</v>
      </c>
      <c r="I21" t="s">
        <v>38</v>
      </c>
    </row>
    <row r="22" spans="1:9" x14ac:dyDescent="0.25">
      <c r="A22" t="s">
        <v>52</v>
      </c>
      <c r="B22" t="s">
        <v>770</v>
      </c>
      <c r="C22" t="s">
        <v>809</v>
      </c>
      <c r="E22" t="s">
        <v>767</v>
      </c>
      <c r="F22" t="s">
        <v>772</v>
      </c>
      <c r="G22" t="s">
        <v>810</v>
      </c>
      <c r="H22" t="s">
        <v>750</v>
      </c>
      <c r="I22" t="s">
        <v>38</v>
      </c>
    </row>
    <row r="23" spans="1:9" x14ac:dyDescent="0.25">
      <c r="A23" t="s">
        <v>57</v>
      </c>
      <c r="B23" t="s">
        <v>811</v>
      </c>
      <c r="C23" t="s">
        <v>812</v>
      </c>
      <c r="D23">
        <v>1</v>
      </c>
      <c r="E23" t="s">
        <v>747</v>
      </c>
      <c r="F23" t="s">
        <v>748</v>
      </c>
      <c r="G23" t="s">
        <v>813</v>
      </c>
      <c r="H23" t="s">
        <v>750</v>
      </c>
      <c r="I23" t="s">
        <v>38</v>
      </c>
    </row>
    <row r="24" spans="1:9" x14ac:dyDescent="0.25">
      <c r="A24" t="s">
        <v>57</v>
      </c>
      <c r="B24" t="s">
        <v>814</v>
      </c>
      <c r="C24" t="s">
        <v>815</v>
      </c>
      <c r="D24">
        <v>2</v>
      </c>
      <c r="E24" t="s">
        <v>747</v>
      </c>
      <c r="F24" t="s">
        <v>816</v>
      </c>
      <c r="G24" t="s">
        <v>813</v>
      </c>
      <c r="H24" t="s">
        <v>750</v>
      </c>
      <c r="I24" t="s">
        <v>38</v>
      </c>
    </row>
    <row r="25" spans="1:9" x14ac:dyDescent="0.25">
      <c r="A25" t="s">
        <v>57</v>
      </c>
      <c r="B25" t="s">
        <v>60</v>
      </c>
      <c r="C25" t="s">
        <v>817</v>
      </c>
      <c r="D25">
        <v>3</v>
      </c>
      <c r="E25" t="s">
        <v>747</v>
      </c>
      <c r="F25" t="s">
        <v>755</v>
      </c>
      <c r="G25" t="s">
        <v>818</v>
      </c>
      <c r="H25" t="s">
        <v>750</v>
      </c>
      <c r="I25" t="s">
        <v>38</v>
      </c>
    </row>
    <row r="26" spans="1:9" x14ac:dyDescent="0.25">
      <c r="A26" t="s">
        <v>57</v>
      </c>
      <c r="B26" t="s">
        <v>819</v>
      </c>
      <c r="C26" t="s">
        <v>820</v>
      </c>
      <c r="D26">
        <v>4</v>
      </c>
      <c r="E26" t="s">
        <v>747</v>
      </c>
      <c r="F26" t="s">
        <v>758</v>
      </c>
      <c r="G26" t="s">
        <v>821</v>
      </c>
      <c r="H26" t="s">
        <v>760</v>
      </c>
      <c r="I26" t="s">
        <v>38</v>
      </c>
    </row>
    <row r="27" spans="1:9" x14ac:dyDescent="0.25">
      <c r="A27" t="s">
        <v>57</v>
      </c>
      <c r="B27" t="s">
        <v>822</v>
      </c>
      <c r="C27" t="s">
        <v>823</v>
      </c>
      <c r="D27">
        <v>5</v>
      </c>
      <c r="E27" t="s">
        <v>747</v>
      </c>
      <c r="F27" t="s">
        <v>763</v>
      </c>
      <c r="G27" t="s">
        <v>824</v>
      </c>
      <c r="H27" t="s">
        <v>760</v>
      </c>
      <c r="I27" t="s">
        <v>38</v>
      </c>
    </row>
    <row r="28" spans="1:9" x14ac:dyDescent="0.25">
      <c r="A28" t="s">
        <v>57</v>
      </c>
      <c r="B28" t="s">
        <v>765</v>
      </c>
      <c r="C28" t="s">
        <v>825</v>
      </c>
      <c r="E28" t="s">
        <v>767</v>
      </c>
      <c r="F28" t="s">
        <v>768</v>
      </c>
      <c r="G28" t="s">
        <v>826</v>
      </c>
      <c r="H28" t="s">
        <v>750</v>
      </c>
      <c r="I28" t="s">
        <v>38</v>
      </c>
    </row>
    <row r="29" spans="1:9" x14ac:dyDescent="0.25">
      <c r="A29" t="s">
        <v>57</v>
      </c>
      <c r="B29" t="s">
        <v>770</v>
      </c>
      <c r="C29" t="s">
        <v>827</v>
      </c>
      <c r="E29" t="s">
        <v>767</v>
      </c>
      <c r="F29" t="s">
        <v>772</v>
      </c>
      <c r="G29" t="s">
        <v>828</v>
      </c>
      <c r="H29" t="s">
        <v>750</v>
      </c>
      <c r="I29" t="s">
        <v>38</v>
      </c>
    </row>
    <row r="30" spans="1:9" x14ac:dyDescent="0.25">
      <c r="A30" t="s">
        <v>62</v>
      </c>
      <c r="B30" t="s">
        <v>829</v>
      </c>
      <c r="C30" t="s">
        <v>830</v>
      </c>
      <c r="D30">
        <v>1</v>
      </c>
      <c r="E30" t="s">
        <v>747</v>
      </c>
      <c r="F30" t="s">
        <v>831</v>
      </c>
      <c r="G30" t="s">
        <v>832</v>
      </c>
      <c r="H30" t="s">
        <v>750</v>
      </c>
      <c r="I30" t="s">
        <v>38</v>
      </c>
    </row>
    <row r="31" spans="1:9" x14ac:dyDescent="0.25">
      <c r="A31" t="s">
        <v>62</v>
      </c>
      <c r="B31" t="s">
        <v>65</v>
      </c>
      <c r="C31" t="s">
        <v>833</v>
      </c>
      <c r="D31">
        <v>2</v>
      </c>
      <c r="E31" t="s">
        <v>747</v>
      </c>
      <c r="F31" t="s">
        <v>834</v>
      </c>
      <c r="G31" t="s">
        <v>832</v>
      </c>
      <c r="H31" t="s">
        <v>750</v>
      </c>
      <c r="I31" t="s">
        <v>38</v>
      </c>
    </row>
    <row r="32" spans="1:9" x14ac:dyDescent="0.25">
      <c r="A32" t="s">
        <v>62</v>
      </c>
      <c r="B32" t="s">
        <v>835</v>
      </c>
      <c r="C32" t="s">
        <v>836</v>
      </c>
      <c r="D32">
        <v>3</v>
      </c>
      <c r="E32" t="s">
        <v>747</v>
      </c>
      <c r="F32" t="s">
        <v>755</v>
      </c>
      <c r="G32" t="s">
        <v>837</v>
      </c>
      <c r="H32" t="s">
        <v>750</v>
      </c>
      <c r="I32" t="s">
        <v>38</v>
      </c>
    </row>
    <row r="33" spans="1:9" x14ac:dyDescent="0.25">
      <c r="A33" t="s">
        <v>62</v>
      </c>
      <c r="B33" t="s">
        <v>838</v>
      </c>
      <c r="C33" t="s">
        <v>839</v>
      </c>
      <c r="D33">
        <v>4</v>
      </c>
      <c r="E33" t="s">
        <v>747</v>
      </c>
      <c r="F33" t="s">
        <v>758</v>
      </c>
      <c r="G33" t="s">
        <v>840</v>
      </c>
      <c r="H33" t="s">
        <v>760</v>
      </c>
      <c r="I33" t="s">
        <v>38</v>
      </c>
    </row>
    <row r="34" spans="1:9" x14ac:dyDescent="0.25">
      <c r="A34" t="s">
        <v>62</v>
      </c>
      <c r="B34" t="s">
        <v>841</v>
      </c>
      <c r="C34" t="s">
        <v>842</v>
      </c>
      <c r="D34">
        <v>5</v>
      </c>
      <c r="E34" t="s">
        <v>747</v>
      </c>
      <c r="F34" t="s">
        <v>763</v>
      </c>
      <c r="G34" t="s">
        <v>843</v>
      </c>
      <c r="H34" t="s">
        <v>760</v>
      </c>
      <c r="I34" t="s">
        <v>38</v>
      </c>
    </row>
    <row r="35" spans="1:9" x14ac:dyDescent="0.25">
      <c r="A35" t="s">
        <v>62</v>
      </c>
      <c r="B35" t="s">
        <v>765</v>
      </c>
      <c r="C35" t="s">
        <v>844</v>
      </c>
      <c r="E35" t="s">
        <v>767</v>
      </c>
      <c r="F35" t="s">
        <v>768</v>
      </c>
      <c r="G35" t="s">
        <v>845</v>
      </c>
      <c r="H35" t="s">
        <v>750</v>
      </c>
      <c r="I35" t="s">
        <v>38</v>
      </c>
    </row>
    <row r="36" spans="1:9" x14ac:dyDescent="0.25">
      <c r="A36" t="s">
        <v>62</v>
      </c>
      <c r="B36" t="s">
        <v>770</v>
      </c>
      <c r="C36" t="s">
        <v>846</v>
      </c>
      <c r="E36" t="s">
        <v>767</v>
      </c>
      <c r="F36" t="s">
        <v>772</v>
      </c>
      <c r="G36" t="s">
        <v>847</v>
      </c>
      <c r="H36" t="s">
        <v>750</v>
      </c>
      <c r="I36" t="s">
        <v>38</v>
      </c>
    </row>
    <row r="37" spans="1:9" x14ac:dyDescent="0.25">
      <c r="A37" t="s">
        <v>66</v>
      </c>
      <c r="B37" t="s">
        <v>848</v>
      </c>
      <c r="C37" t="s">
        <v>849</v>
      </c>
      <c r="D37">
        <v>1</v>
      </c>
      <c r="E37" t="s">
        <v>747</v>
      </c>
      <c r="F37" t="s">
        <v>850</v>
      </c>
      <c r="G37" t="s">
        <v>851</v>
      </c>
      <c r="H37" t="s">
        <v>750</v>
      </c>
      <c r="I37" t="s">
        <v>38</v>
      </c>
    </row>
    <row r="38" spans="1:9" x14ac:dyDescent="0.25">
      <c r="A38" t="s">
        <v>66</v>
      </c>
      <c r="B38" t="s">
        <v>852</v>
      </c>
      <c r="C38" t="s">
        <v>853</v>
      </c>
      <c r="D38">
        <v>2</v>
      </c>
      <c r="E38" t="s">
        <v>747</v>
      </c>
      <c r="F38" t="s">
        <v>854</v>
      </c>
      <c r="G38" t="s">
        <v>851</v>
      </c>
      <c r="H38" t="s">
        <v>750</v>
      </c>
      <c r="I38" t="s">
        <v>38</v>
      </c>
    </row>
    <row r="39" spans="1:9" x14ac:dyDescent="0.25">
      <c r="A39" t="s">
        <v>66</v>
      </c>
      <c r="B39" t="s">
        <v>855</v>
      </c>
      <c r="C39" t="s">
        <v>856</v>
      </c>
      <c r="D39">
        <v>3</v>
      </c>
      <c r="E39" t="s">
        <v>747</v>
      </c>
      <c r="F39" t="s">
        <v>755</v>
      </c>
      <c r="G39" t="s">
        <v>857</v>
      </c>
      <c r="H39" t="s">
        <v>750</v>
      </c>
      <c r="I39" t="s">
        <v>38</v>
      </c>
    </row>
    <row r="40" spans="1:9" x14ac:dyDescent="0.25">
      <c r="A40" t="s">
        <v>66</v>
      </c>
      <c r="B40" t="s">
        <v>71</v>
      </c>
      <c r="C40" t="s">
        <v>858</v>
      </c>
      <c r="D40">
        <v>4</v>
      </c>
      <c r="E40" t="s">
        <v>747</v>
      </c>
      <c r="F40" t="s">
        <v>758</v>
      </c>
      <c r="G40" t="s">
        <v>859</v>
      </c>
      <c r="H40" t="s">
        <v>760</v>
      </c>
      <c r="I40" t="s">
        <v>38</v>
      </c>
    </row>
    <row r="41" spans="1:9" x14ac:dyDescent="0.25">
      <c r="A41" t="s">
        <v>66</v>
      </c>
      <c r="B41" t="s">
        <v>860</v>
      </c>
      <c r="C41" t="s">
        <v>861</v>
      </c>
      <c r="D41">
        <v>5</v>
      </c>
      <c r="E41" t="s">
        <v>747</v>
      </c>
      <c r="F41" t="s">
        <v>763</v>
      </c>
      <c r="G41" t="s">
        <v>862</v>
      </c>
      <c r="H41" t="s">
        <v>760</v>
      </c>
      <c r="I41" t="s">
        <v>38</v>
      </c>
    </row>
    <row r="42" spans="1:9" x14ac:dyDescent="0.25">
      <c r="A42" t="s">
        <v>66</v>
      </c>
      <c r="B42" t="s">
        <v>765</v>
      </c>
      <c r="C42" t="s">
        <v>863</v>
      </c>
      <c r="E42" t="s">
        <v>767</v>
      </c>
      <c r="F42" t="s">
        <v>768</v>
      </c>
      <c r="G42" t="s">
        <v>864</v>
      </c>
      <c r="H42" t="s">
        <v>750</v>
      </c>
      <c r="I42" t="s">
        <v>38</v>
      </c>
    </row>
    <row r="43" spans="1:9" x14ac:dyDescent="0.25">
      <c r="A43" t="s">
        <v>66</v>
      </c>
      <c r="B43" t="s">
        <v>770</v>
      </c>
      <c r="C43" t="s">
        <v>865</v>
      </c>
      <c r="E43" t="s">
        <v>767</v>
      </c>
      <c r="F43" t="s">
        <v>772</v>
      </c>
      <c r="G43" t="s">
        <v>866</v>
      </c>
      <c r="H43" t="s">
        <v>750</v>
      </c>
      <c r="I43" t="s">
        <v>38</v>
      </c>
    </row>
    <row r="44" spans="1:9" x14ac:dyDescent="0.25">
      <c r="A44" t="s">
        <v>74</v>
      </c>
      <c r="B44" t="s">
        <v>867</v>
      </c>
      <c r="C44" t="s">
        <v>868</v>
      </c>
      <c r="D44">
        <v>1</v>
      </c>
      <c r="E44" t="s">
        <v>747</v>
      </c>
      <c r="F44" t="s">
        <v>869</v>
      </c>
      <c r="G44" t="s">
        <v>870</v>
      </c>
      <c r="H44" t="s">
        <v>750</v>
      </c>
      <c r="I44" t="s">
        <v>38</v>
      </c>
    </row>
    <row r="45" spans="1:9" x14ac:dyDescent="0.25">
      <c r="A45" t="s">
        <v>74</v>
      </c>
      <c r="B45" t="s">
        <v>78</v>
      </c>
      <c r="C45" t="s">
        <v>871</v>
      </c>
      <c r="D45">
        <v>2</v>
      </c>
      <c r="E45" t="s">
        <v>747</v>
      </c>
      <c r="F45" t="s">
        <v>872</v>
      </c>
      <c r="G45" t="s">
        <v>870</v>
      </c>
      <c r="H45" t="s">
        <v>750</v>
      </c>
      <c r="I45" t="s">
        <v>38</v>
      </c>
    </row>
    <row r="46" spans="1:9" x14ac:dyDescent="0.25">
      <c r="A46" t="s">
        <v>74</v>
      </c>
      <c r="B46" t="s">
        <v>873</v>
      </c>
      <c r="C46" t="s">
        <v>874</v>
      </c>
      <c r="D46">
        <v>3</v>
      </c>
      <c r="E46" t="s">
        <v>747</v>
      </c>
      <c r="F46" t="s">
        <v>755</v>
      </c>
      <c r="G46" t="s">
        <v>875</v>
      </c>
      <c r="H46" t="s">
        <v>750</v>
      </c>
      <c r="I46" t="s">
        <v>38</v>
      </c>
    </row>
    <row r="47" spans="1:9" x14ac:dyDescent="0.25">
      <c r="A47" t="s">
        <v>74</v>
      </c>
      <c r="B47" t="s">
        <v>876</v>
      </c>
      <c r="C47" t="s">
        <v>877</v>
      </c>
      <c r="D47">
        <v>4</v>
      </c>
      <c r="E47" t="s">
        <v>747</v>
      </c>
      <c r="F47" t="s">
        <v>758</v>
      </c>
      <c r="G47" t="s">
        <v>878</v>
      </c>
      <c r="H47" t="s">
        <v>760</v>
      </c>
      <c r="I47" t="s">
        <v>38</v>
      </c>
    </row>
    <row r="48" spans="1:9" x14ac:dyDescent="0.25">
      <c r="A48" t="s">
        <v>74</v>
      </c>
      <c r="B48" t="s">
        <v>879</v>
      </c>
      <c r="C48" t="s">
        <v>880</v>
      </c>
      <c r="D48">
        <v>5</v>
      </c>
      <c r="E48" t="s">
        <v>747</v>
      </c>
      <c r="F48" t="s">
        <v>763</v>
      </c>
      <c r="G48" t="s">
        <v>881</v>
      </c>
      <c r="H48" t="s">
        <v>760</v>
      </c>
      <c r="I48" t="s">
        <v>38</v>
      </c>
    </row>
    <row r="49" spans="1:9" x14ac:dyDescent="0.25">
      <c r="A49" t="s">
        <v>74</v>
      </c>
      <c r="B49" t="s">
        <v>765</v>
      </c>
      <c r="C49" t="s">
        <v>882</v>
      </c>
      <c r="E49" t="s">
        <v>767</v>
      </c>
      <c r="F49" t="s">
        <v>768</v>
      </c>
      <c r="G49" t="s">
        <v>883</v>
      </c>
      <c r="H49" t="s">
        <v>750</v>
      </c>
      <c r="I49" t="s">
        <v>38</v>
      </c>
    </row>
    <row r="50" spans="1:9" x14ac:dyDescent="0.25">
      <c r="A50" t="s">
        <v>74</v>
      </c>
      <c r="B50" t="s">
        <v>770</v>
      </c>
      <c r="C50" t="s">
        <v>884</v>
      </c>
      <c r="E50" t="s">
        <v>767</v>
      </c>
      <c r="F50" t="s">
        <v>772</v>
      </c>
      <c r="G50" t="s">
        <v>885</v>
      </c>
      <c r="H50" t="s">
        <v>750</v>
      </c>
      <c r="I50" t="s">
        <v>38</v>
      </c>
    </row>
    <row r="51" spans="1:9" x14ac:dyDescent="0.25">
      <c r="A51" t="s">
        <v>81</v>
      </c>
      <c r="B51" t="s">
        <v>886</v>
      </c>
      <c r="C51" t="s">
        <v>887</v>
      </c>
      <c r="D51">
        <v>1</v>
      </c>
      <c r="E51" t="s">
        <v>747</v>
      </c>
      <c r="F51" t="s">
        <v>888</v>
      </c>
      <c r="G51" t="s">
        <v>889</v>
      </c>
      <c r="H51" t="s">
        <v>750</v>
      </c>
      <c r="I51" t="s">
        <v>38</v>
      </c>
    </row>
    <row r="52" spans="1:9" x14ac:dyDescent="0.25">
      <c r="A52" t="s">
        <v>81</v>
      </c>
      <c r="B52" t="s">
        <v>890</v>
      </c>
      <c r="C52" t="s">
        <v>891</v>
      </c>
      <c r="D52">
        <v>2</v>
      </c>
      <c r="E52" t="s">
        <v>747</v>
      </c>
      <c r="F52" t="s">
        <v>892</v>
      </c>
      <c r="G52" t="s">
        <v>889</v>
      </c>
      <c r="H52" t="s">
        <v>750</v>
      </c>
      <c r="I52" t="s">
        <v>38</v>
      </c>
    </row>
    <row r="53" spans="1:9" x14ac:dyDescent="0.25">
      <c r="A53" t="s">
        <v>81</v>
      </c>
      <c r="B53" t="s">
        <v>893</v>
      </c>
      <c r="C53" t="s">
        <v>894</v>
      </c>
      <c r="D53">
        <v>3</v>
      </c>
      <c r="E53" t="s">
        <v>747</v>
      </c>
      <c r="F53" t="s">
        <v>755</v>
      </c>
      <c r="G53" t="s">
        <v>895</v>
      </c>
      <c r="H53" t="s">
        <v>750</v>
      </c>
      <c r="I53" t="s">
        <v>38</v>
      </c>
    </row>
    <row r="54" spans="1:9" x14ac:dyDescent="0.25">
      <c r="A54" t="s">
        <v>81</v>
      </c>
      <c r="B54" t="s">
        <v>896</v>
      </c>
      <c r="C54" t="s">
        <v>897</v>
      </c>
      <c r="D54">
        <v>4</v>
      </c>
      <c r="E54" t="s">
        <v>747</v>
      </c>
      <c r="F54" t="s">
        <v>758</v>
      </c>
      <c r="G54" t="s">
        <v>898</v>
      </c>
      <c r="H54" t="s">
        <v>760</v>
      </c>
      <c r="I54" t="s">
        <v>38</v>
      </c>
    </row>
    <row r="55" spans="1:9" x14ac:dyDescent="0.25">
      <c r="A55" t="s">
        <v>81</v>
      </c>
      <c r="B55" t="s">
        <v>84</v>
      </c>
      <c r="C55" t="s">
        <v>899</v>
      </c>
      <c r="D55">
        <v>5</v>
      </c>
      <c r="E55" t="s">
        <v>747</v>
      </c>
      <c r="F55" t="s">
        <v>763</v>
      </c>
      <c r="G55" t="s">
        <v>900</v>
      </c>
      <c r="H55" t="s">
        <v>760</v>
      </c>
      <c r="I55" t="s">
        <v>38</v>
      </c>
    </row>
    <row r="56" spans="1:9" x14ac:dyDescent="0.25">
      <c r="A56" t="s">
        <v>81</v>
      </c>
      <c r="B56" t="s">
        <v>765</v>
      </c>
      <c r="C56" t="s">
        <v>901</v>
      </c>
      <c r="E56" t="s">
        <v>767</v>
      </c>
      <c r="F56" t="s">
        <v>768</v>
      </c>
      <c r="G56" t="s">
        <v>902</v>
      </c>
      <c r="H56" t="s">
        <v>750</v>
      </c>
      <c r="I56" t="s">
        <v>38</v>
      </c>
    </row>
    <row r="57" spans="1:9" x14ac:dyDescent="0.25">
      <c r="A57" t="s">
        <v>81</v>
      </c>
      <c r="B57" t="s">
        <v>770</v>
      </c>
      <c r="C57" t="s">
        <v>903</v>
      </c>
      <c r="E57" t="s">
        <v>767</v>
      </c>
      <c r="F57" t="s">
        <v>772</v>
      </c>
      <c r="G57" t="s">
        <v>904</v>
      </c>
      <c r="H57" t="s">
        <v>750</v>
      </c>
      <c r="I57" t="s">
        <v>38</v>
      </c>
    </row>
    <row r="58" spans="1:9" x14ac:dyDescent="0.25">
      <c r="A58" t="s">
        <v>87</v>
      </c>
      <c r="B58" t="s">
        <v>905</v>
      </c>
      <c r="C58" t="s">
        <v>906</v>
      </c>
      <c r="D58">
        <v>1</v>
      </c>
      <c r="E58" t="s">
        <v>747</v>
      </c>
      <c r="F58" t="s">
        <v>907</v>
      </c>
      <c r="G58" t="s">
        <v>908</v>
      </c>
      <c r="H58" t="s">
        <v>750</v>
      </c>
      <c r="I58" t="s">
        <v>38</v>
      </c>
    </row>
    <row r="59" spans="1:9" x14ac:dyDescent="0.25">
      <c r="A59" t="s">
        <v>87</v>
      </c>
      <c r="B59" t="s">
        <v>91</v>
      </c>
      <c r="C59" t="s">
        <v>909</v>
      </c>
      <c r="D59">
        <v>2</v>
      </c>
      <c r="E59" t="s">
        <v>747</v>
      </c>
      <c r="F59" t="s">
        <v>910</v>
      </c>
      <c r="G59" t="s">
        <v>908</v>
      </c>
      <c r="H59" t="s">
        <v>750</v>
      </c>
      <c r="I59" t="s">
        <v>38</v>
      </c>
    </row>
    <row r="60" spans="1:9" x14ac:dyDescent="0.25">
      <c r="A60" t="s">
        <v>87</v>
      </c>
      <c r="B60" t="s">
        <v>911</v>
      </c>
      <c r="C60" t="s">
        <v>912</v>
      </c>
      <c r="D60">
        <v>3</v>
      </c>
      <c r="E60" t="s">
        <v>747</v>
      </c>
      <c r="F60" t="s">
        <v>755</v>
      </c>
      <c r="G60" t="s">
        <v>913</v>
      </c>
      <c r="H60" t="s">
        <v>750</v>
      </c>
      <c r="I60" t="s">
        <v>38</v>
      </c>
    </row>
    <row r="61" spans="1:9" x14ac:dyDescent="0.25">
      <c r="A61" t="s">
        <v>87</v>
      </c>
      <c r="B61" t="s">
        <v>914</v>
      </c>
      <c r="C61" t="s">
        <v>915</v>
      </c>
      <c r="D61">
        <v>4</v>
      </c>
      <c r="E61" t="s">
        <v>747</v>
      </c>
      <c r="F61" t="s">
        <v>758</v>
      </c>
      <c r="G61" t="s">
        <v>916</v>
      </c>
      <c r="H61" t="s">
        <v>760</v>
      </c>
      <c r="I61" t="s">
        <v>38</v>
      </c>
    </row>
    <row r="62" spans="1:9" x14ac:dyDescent="0.25">
      <c r="A62" t="s">
        <v>87</v>
      </c>
      <c r="B62" t="s">
        <v>917</v>
      </c>
      <c r="C62" t="s">
        <v>918</v>
      </c>
      <c r="D62">
        <v>5</v>
      </c>
      <c r="E62" t="s">
        <v>747</v>
      </c>
      <c r="F62" t="s">
        <v>763</v>
      </c>
      <c r="G62" t="s">
        <v>919</v>
      </c>
      <c r="H62" t="s">
        <v>760</v>
      </c>
      <c r="I62" t="s">
        <v>38</v>
      </c>
    </row>
    <row r="63" spans="1:9" x14ac:dyDescent="0.25">
      <c r="A63" t="s">
        <v>87</v>
      </c>
      <c r="B63" t="s">
        <v>765</v>
      </c>
      <c r="C63" t="s">
        <v>920</v>
      </c>
      <c r="E63" t="s">
        <v>767</v>
      </c>
      <c r="F63" t="s">
        <v>768</v>
      </c>
      <c r="G63" t="s">
        <v>921</v>
      </c>
      <c r="H63" t="s">
        <v>750</v>
      </c>
      <c r="I63" t="s">
        <v>38</v>
      </c>
    </row>
    <row r="64" spans="1:9" x14ac:dyDescent="0.25">
      <c r="A64" t="s">
        <v>87</v>
      </c>
      <c r="B64" t="s">
        <v>770</v>
      </c>
      <c r="C64" t="s">
        <v>922</v>
      </c>
      <c r="E64" t="s">
        <v>767</v>
      </c>
      <c r="F64" t="s">
        <v>772</v>
      </c>
      <c r="G64" t="s">
        <v>923</v>
      </c>
      <c r="H64" t="s">
        <v>750</v>
      </c>
      <c r="I64" t="s">
        <v>38</v>
      </c>
    </row>
    <row r="65" spans="1:9" x14ac:dyDescent="0.25">
      <c r="A65" t="s">
        <v>93</v>
      </c>
      <c r="B65" t="s">
        <v>924</v>
      </c>
      <c r="C65" t="s">
        <v>925</v>
      </c>
      <c r="D65">
        <v>1</v>
      </c>
      <c r="E65" t="s">
        <v>747</v>
      </c>
      <c r="F65" t="s">
        <v>926</v>
      </c>
      <c r="G65" t="s">
        <v>927</v>
      </c>
      <c r="H65" t="s">
        <v>750</v>
      </c>
      <c r="I65" t="s">
        <v>38</v>
      </c>
    </row>
    <row r="66" spans="1:9" x14ac:dyDescent="0.25">
      <c r="A66" t="s">
        <v>93</v>
      </c>
      <c r="B66" t="s">
        <v>928</v>
      </c>
      <c r="C66" t="s">
        <v>929</v>
      </c>
      <c r="D66">
        <v>2</v>
      </c>
      <c r="E66" t="s">
        <v>747</v>
      </c>
      <c r="F66" t="s">
        <v>930</v>
      </c>
      <c r="G66" t="s">
        <v>927</v>
      </c>
      <c r="H66" t="s">
        <v>750</v>
      </c>
      <c r="I66" t="s">
        <v>38</v>
      </c>
    </row>
    <row r="67" spans="1:9" x14ac:dyDescent="0.25">
      <c r="A67" t="s">
        <v>93</v>
      </c>
      <c r="B67" t="s">
        <v>96</v>
      </c>
      <c r="C67" t="s">
        <v>931</v>
      </c>
      <c r="D67">
        <v>3</v>
      </c>
      <c r="E67" t="s">
        <v>747</v>
      </c>
      <c r="F67" t="s">
        <v>755</v>
      </c>
      <c r="G67" t="s">
        <v>932</v>
      </c>
      <c r="H67" t="s">
        <v>750</v>
      </c>
      <c r="I67" t="s">
        <v>38</v>
      </c>
    </row>
    <row r="68" spans="1:9" x14ac:dyDescent="0.25">
      <c r="A68" t="s">
        <v>93</v>
      </c>
      <c r="B68" t="s">
        <v>933</v>
      </c>
      <c r="C68" t="s">
        <v>934</v>
      </c>
      <c r="D68">
        <v>4</v>
      </c>
      <c r="E68" t="s">
        <v>747</v>
      </c>
      <c r="F68" t="s">
        <v>758</v>
      </c>
      <c r="G68" t="s">
        <v>935</v>
      </c>
      <c r="H68" t="s">
        <v>760</v>
      </c>
      <c r="I68" t="s">
        <v>38</v>
      </c>
    </row>
    <row r="69" spans="1:9" x14ac:dyDescent="0.25">
      <c r="A69" t="s">
        <v>93</v>
      </c>
      <c r="B69" t="s">
        <v>936</v>
      </c>
      <c r="C69" t="s">
        <v>937</v>
      </c>
      <c r="D69">
        <v>5</v>
      </c>
      <c r="E69" t="s">
        <v>747</v>
      </c>
      <c r="F69" t="s">
        <v>763</v>
      </c>
      <c r="G69" t="s">
        <v>938</v>
      </c>
      <c r="H69" t="s">
        <v>760</v>
      </c>
      <c r="I69" t="s">
        <v>38</v>
      </c>
    </row>
    <row r="70" spans="1:9" x14ac:dyDescent="0.25">
      <c r="A70" t="s">
        <v>93</v>
      </c>
      <c r="B70" t="s">
        <v>765</v>
      </c>
      <c r="C70" t="s">
        <v>939</v>
      </c>
      <c r="E70" t="s">
        <v>767</v>
      </c>
      <c r="F70" t="s">
        <v>768</v>
      </c>
      <c r="G70" t="s">
        <v>940</v>
      </c>
      <c r="H70" t="s">
        <v>750</v>
      </c>
      <c r="I70" t="s">
        <v>38</v>
      </c>
    </row>
    <row r="71" spans="1:9" x14ac:dyDescent="0.25">
      <c r="A71" t="s">
        <v>93</v>
      </c>
      <c r="B71" t="s">
        <v>770</v>
      </c>
      <c r="C71" t="s">
        <v>941</v>
      </c>
      <c r="E71" t="s">
        <v>767</v>
      </c>
      <c r="F71" t="s">
        <v>772</v>
      </c>
      <c r="G71" t="s">
        <v>942</v>
      </c>
      <c r="H71" t="s">
        <v>750</v>
      </c>
      <c r="I71" t="s">
        <v>38</v>
      </c>
    </row>
    <row r="72" spans="1:9" x14ac:dyDescent="0.25">
      <c r="A72" t="s">
        <v>98</v>
      </c>
      <c r="B72" t="s">
        <v>943</v>
      </c>
      <c r="C72" t="s">
        <v>944</v>
      </c>
      <c r="D72">
        <v>1</v>
      </c>
      <c r="E72" t="s">
        <v>747</v>
      </c>
      <c r="F72" t="s">
        <v>945</v>
      </c>
      <c r="G72" t="s">
        <v>946</v>
      </c>
      <c r="H72" t="s">
        <v>750</v>
      </c>
      <c r="I72" t="s">
        <v>38</v>
      </c>
    </row>
    <row r="73" spans="1:9" x14ac:dyDescent="0.25">
      <c r="A73" t="s">
        <v>98</v>
      </c>
      <c r="B73" t="s">
        <v>947</v>
      </c>
      <c r="C73" t="s">
        <v>948</v>
      </c>
      <c r="D73">
        <v>2</v>
      </c>
      <c r="E73" t="s">
        <v>747</v>
      </c>
      <c r="F73" t="s">
        <v>949</v>
      </c>
      <c r="G73" t="s">
        <v>946</v>
      </c>
      <c r="H73" t="s">
        <v>750</v>
      </c>
      <c r="I73" t="s">
        <v>38</v>
      </c>
    </row>
    <row r="74" spans="1:9" x14ac:dyDescent="0.25">
      <c r="A74" t="s">
        <v>98</v>
      </c>
      <c r="B74" t="s">
        <v>102</v>
      </c>
      <c r="C74" t="s">
        <v>950</v>
      </c>
      <c r="D74">
        <v>3</v>
      </c>
      <c r="E74" t="s">
        <v>747</v>
      </c>
      <c r="F74" t="s">
        <v>755</v>
      </c>
      <c r="G74" t="s">
        <v>951</v>
      </c>
      <c r="H74" t="s">
        <v>750</v>
      </c>
      <c r="I74" t="s">
        <v>38</v>
      </c>
    </row>
    <row r="75" spans="1:9" x14ac:dyDescent="0.25">
      <c r="A75" t="s">
        <v>98</v>
      </c>
      <c r="B75" t="s">
        <v>952</v>
      </c>
      <c r="C75" t="s">
        <v>953</v>
      </c>
      <c r="D75">
        <v>4</v>
      </c>
      <c r="E75" t="s">
        <v>747</v>
      </c>
      <c r="F75" t="s">
        <v>758</v>
      </c>
      <c r="G75" t="s">
        <v>954</v>
      </c>
      <c r="H75" t="s">
        <v>760</v>
      </c>
      <c r="I75" t="s">
        <v>38</v>
      </c>
    </row>
    <row r="76" spans="1:9" x14ac:dyDescent="0.25">
      <c r="A76" t="s">
        <v>98</v>
      </c>
      <c r="B76" t="s">
        <v>955</v>
      </c>
      <c r="C76" t="s">
        <v>956</v>
      </c>
      <c r="D76">
        <v>5</v>
      </c>
      <c r="E76" t="s">
        <v>747</v>
      </c>
      <c r="F76" t="s">
        <v>763</v>
      </c>
      <c r="G76" t="s">
        <v>957</v>
      </c>
      <c r="H76" t="s">
        <v>760</v>
      </c>
      <c r="I76" t="s">
        <v>38</v>
      </c>
    </row>
    <row r="77" spans="1:9" x14ac:dyDescent="0.25">
      <c r="A77" t="s">
        <v>98</v>
      </c>
      <c r="B77" t="s">
        <v>765</v>
      </c>
      <c r="C77" t="s">
        <v>958</v>
      </c>
      <c r="E77" t="s">
        <v>767</v>
      </c>
      <c r="F77" t="s">
        <v>768</v>
      </c>
      <c r="G77" t="s">
        <v>959</v>
      </c>
      <c r="H77" t="s">
        <v>750</v>
      </c>
      <c r="I77" t="s">
        <v>38</v>
      </c>
    </row>
    <row r="78" spans="1:9" x14ac:dyDescent="0.25">
      <c r="A78" t="s">
        <v>98</v>
      </c>
      <c r="B78" t="s">
        <v>770</v>
      </c>
      <c r="C78" t="s">
        <v>960</v>
      </c>
      <c r="E78" t="s">
        <v>767</v>
      </c>
      <c r="F78" t="s">
        <v>772</v>
      </c>
      <c r="G78" t="s">
        <v>961</v>
      </c>
      <c r="H78" t="s">
        <v>750</v>
      </c>
      <c r="I78" t="s">
        <v>38</v>
      </c>
    </row>
    <row r="79" spans="1:9" x14ac:dyDescent="0.25">
      <c r="A79" t="s">
        <v>103</v>
      </c>
      <c r="B79" t="s">
        <v>962</v>
      </c>
      <c r="C79" t="s">
        <v>963</v>
      </c>
      <c r="D79">
        <v>1</v>
      </c>
      <c r="E79" t="s">
        <v>747</v>
      </c>
      <c r="F79" t="s">
        <v>964</v>
      </c>
      <c r="G79" t="s">
        <v>965</v>
      </c>
      <c r="H79" t="s">
        <v>750</v>
      </c>
      <c r="I79" t="s">
        <v>38</v>
      </c>
    </row>
    <row r="80" spans="1:9" x14ac:dyDescent="0.25">
      <c r="A80" t="s">
        <v>103</v>
      </c>
      <c r="B80" t="s">
        <v>966</v>
      </c>
      <c r="C80" t="s">
        <v>967</v>
      </c>
      <c r="D80">
        <v>2</v>
      </c>
      <c r="E80" t="s">
        <v>747</v>
      </c>
      <c r="F80" t="s">
        <v>968</v>
      </c>
      <c r="G80" t="s">
        <v>965</v>
      </c>
      <c r="H80" t="s">
        <v>750</v>
      </c>
      <c r="I80" t="s">
        <v>38</v>
      </c>
    </row>
    <row r="81" spans="1:9" x14ac:dyDescent="0.25">
      <c r="A81" t="s">
        <v>103</v>
      </c>
      <c r="B81" t="s">
        <v>106</v>
      </c>
      <c r="C81" t="s">
        <v>969</v>
      </c>
      <c r="D81">
        <v>3</v>
      </c>
      <c r="E81" t="s">
        <v>747</v>
      </c>
      <c r="F81" t="s">
        <v>755</v>
      </c>
      <c r="G81" t="s">
        <v>970</v>
      </c>
      <c r="H81" t="s">
        <v>750</v>
      </c>
      <c r="I81" t="s">
        <v>38</v>
      </c>
    </row>
    <row r="82" spans="1:9" x14ac:dyDescent="0.25">
      <c r="A82" t="s">
        <v>103</v>
      </c>
      <c r="B82" t="s">
        <v>971</v>
      </c>
      <c r="C82" t="s">
        <v>972</v>
      </c>
      <c r="D82">
        <v>4</v>
      </c>
      <c r="E82" t="s">
        <v>747</v>
      </c>
      <c r="F82" t="s">
        <v>758</v>
      </c>
      <c r="G82" t="s">
        <v>973</v>
      </c>
      <c r="H82" t="s">
        <v>760</v>
      </c>
      <c r="I82" t="s">
        <v>38</v>
      </c>
    </row>
    <row r="83" spans="1:9" x14ac:dyDescent="0.25">
      <c r="A83" t="s">
        <v>103</v>
      </c>
      <c r="B83" t="s">
        <v>974</v>
      </c>
      <c r="C83" t="s">
        <v>975</v>
      </c>
      <c r="D83">
        <v>5</v>
      </c>
      <c r="E83" t="s">
        <v>747</v>
      </c>
      <c r="F83" t="s">
        <v>763</v>
      </c>
      <c r="G83" t="s">
        <v>976</v>
      </c>
      <c r="H83" t="s">
        <v>760</v>
      </c>
      <c r="I83" t="s">
        <v>38</v>
      </c>
    </row>
    <row r="84" spans="1:9" x14ac:dyDescent="0.25">
      <c r="A84" t="s">
        <v>103</v>
      </c>
      <c r="B84" t="s">
        <v>765</v>
      </c>
      <c r="C84" t="s">
        <v>977</v>
      </c>
      <c r="E84" t="s">
        <v>767</v>
      </c>
      <c r="F84" t="s">
        <v>768</v>
      </c>
      <c r="G84" t="s">
        <v>978</v>
      </c>
      <c r="H84" t="s">
        <v>750</v>
      </c>
      <c r="I84" t="s">
        <v>38</v>
      </c>
    </row>
    <row r="85" spans="1:9" x14ac:dyDescent="0.25">
      <c r="A85" t="s">
        <v>103</v>
      </c>
      <c r="B85" t="s">
        <v>770</v>
      </c>
      <c r="C85" t="s">
        <v>979</v>
      </c>
      <c r="E85" t="s">
        <v>767</v>
      </c>
      <c r="F85" t="s">
        <v>772</v>
      </c>
      <c r="G85" t="s">
        <v>980</v>
      </c>
      <c r="H85" t="s">
        <v>750</v>
      </c>
      <c r="I85" t="s">
        <v>38</v>
      </c>
    </row>
    <row r="86" spans="1:9" x14ac:dyDescent="0.25">
      <c r="A86" t="s">
        <v>108</v>
      </c>
      <c r="B86" t="s">
        <v>981</v>
      </c>
      <c r="C86" t="s">
        <v>982</v>
      </c>
      <c r="D86">
        <v>1</v>
      </c>
      <c r="E86" t="s">
        <v>747</v>
      </c>
      <c r="F86" t="s">
        <v>983</v>
      </c>
      <c r="G86" t="s">
        <v>984</v>
      </c>
      <c r="H86" t="s">
        <v>750</v>
      </c>
      <c r="I86" t="s">
        <v>38</v>
      </c>
    </row>
    <row r="87" spans="1:9" x14ac:dyDescent="0.25">
      <c r="A87" t="s">
        <v>108</v>
      </c>
      <c r="B87" t="s">
        <v>985</v>
      </c>
      <c r="C87" t="s">
        <v>986</v>
      </c>
      <c r="D87">
        <v>2</v>
      </c>
      <c r="E87" t="s">
        <v>747</v>
      </c>
      <c r="F87" t="s">
        <v>987</v>
      </c>
      <c r="G87" t="s">
        <v>984</v>
      </c>
      <c r="H87" t="s">
        <v>750</v>
      </c>
      <c r="I87" t="s">
        <v>38</v>
      </c>
    </row>
    <row r="88" spans="1:9" x14ac:dyDescent="0.25">
      <c r="A88" t="s">
        <v>108</v>
      </c>
      <c r="B88" t="s">
        <v>988</v>
      </c>
      <c r="C88" t="s">
        <v>989</v>
      </c>
      <c r="D88">
        <v>3</v>
      </c>
      <c r="E88" t="s">
        <v>747</v>
      </c>
      <c r="F88" t="s">
        <v>755</v>
      </c>
      <c r="G88" t="s">
        <v>990</v>
      </c>
      <c r="H88" t="s">
        <v>750</v>
      </c>
      <c r="I88" t="s">
        <v>38</v>
      </c>
    </row>
    <row r="89" spans="1:9" x14ac:dyDescent="0.25">
      <c r="A89" t="s">
        <v>108</v>
      </c>
      <c r="B89" t="s">
        <v>111</v>
      </c>
      <c r="C89" t="s">
        <v>991</v>
      </c>
      <c r="D89">
        <v>4</v>
      </c>
      <c r="E89" t="s">
        <v>747</v>
      </c>
      <c r="F89" t="s">
        <v>758</v>
      </c>
      <c r="G89" t="s">
        <v>992</v>
      </c>
      <c r="H89" t="s">
        <v>760</v>
      </c>
      <c r="I89" t="s">
        <v>38</v>
      </c>
    </row>
    <row r="90" spans="1:9" x14ac:dyDescent="0.25">
      <c r="A90" t="s">
        <v>108</v>
      </c>
      <c r="B90" t="s">
        <v>993</v>
      </c>
      <c r="C90" t="s">
        <v>994</v>
      </c>
      <c r="D90">
        <v>5</v>
      </c>
      <c r="E90" t="s">
        <v>747</v>
      </c>
      <c r="F90" t="s">
        <v>763</v>
      </c>
      <c r="G90" t="s">
        <v>995</v>
      </c>
      <c r="H90" t="s">
        <v>760</v>
      </c>
      <c r="I90" t="s">
        <v>38</v>
      </c>
    </row>
    <row r="91" spans="1:9" x14ac:dyDescent="0.25">
      <c r="A91" t="s">
        <v>108</v>
      </c>
      <c r="B91" t="s">
        <v>765</v>
      </c>
      <c r="C91" t="s">
        <v>996</v>
      </c>
      <c r="E91" t="s">
        <v>767</v>
      </c>
      <c r="F91" t="s">
        <v>768</v>
      </c>
      <c r="G91" t="s">
        <v>997</v>
      </c>
      <c r="H91" t="s">
        <v>750</v>
      </c>
      <c r="I91" t="s">
        <v>38</v>
      </c>
    </row>
    <row r="92" spans="1:9" x14ac:dyDescent="0.25">
      <c r="A92" t="s">
        <v>108</v>
      </c>
      <c r="B92" t="s">
        <v>770</v>
      </c>
      <c r="C92" t="s">
        <v>998</v>
      </c>
      <c r="E92" t="s">
        <v>767</v>
      </c>
      <c r="F92" t="s">
        <v>772</v>
      </c>
      <c r="G92" t="s">
        <v>999</v>
      </c>
      <c r="H92" t="s">
        <v>750</v>
      </c>
      <c r="I92" t="s">
        <v>38</v>
      </c>
    </row>
    <row r="93" spans="1:9" x14ac:dyDescent="0.25">
      <c r="A93" t="s">
        <v>113</v>
      </c>
      <c r="B93" t="s">
        <v>1000</v>
      </c>
      <c r="C93" t="s">
        <v>1001</v>
      </c>
      <c r="D93">
        <v>1</v>
      </c>
      <c r="E93" t="s">
        <v>747</v>
      </c>
      <c r="F93" t="s">
        <v>1002</v>
      </c>
      <c r="G93" t="s">
        <v>1003</v>
      </c>
      <c r="H93" t="s">
        <v>750</v>
      </c>
      <c r="I93" t="s">
        <v>38</v>
      </c>
    </row>
    <row r="94" spans="1:9" x14ac:dyDescent="0.25">
      <c r="A94" t="s">
        <v>113</v>
      </c>
      <c r="B94" t="s">
        <v>1004</v>
      </c>
      <c r="C94" t="s">
        <v>1005</v>
      </c>
      <c r="D94">
        <v>2</v>
      </c>
      <c r="E94" t="s">
        <v>747</v>
      </c>
      <c r="F94" t="s">
        <v>1006</v>
      </c>
      <c r="G94" t="s">
        <v>1003</v>
      </c>
      <c r="H94" t="s">
        <v>750</v>
      </c>
      <c r="I94" t="s">
        <v>38</v>
      </c>
    </row>
    <row r="95" spans="1:9" x14ac:dyDescent="0.25">
      <c r="A95" t="s">
        <v>113</v>
      </c>
      <c r="B95" t="s">
        <v>116</v>
      </c>
      <c r="C95" t="s">
        <v>1007</v>
      </c>
      <c r="D95">
        <v>3</v>
      </c>
      <c r="E95" t="s">
        <v>747</v>
      </c>
      <c r="F95" t="s">
        <v>755</v>
      </c>
      <c r="G95" t="s">
        <v>1008</v>
      </c>
      <c r="H95" t="s">
        <v>750</v>
      </c>
      <c r="I95" t="s">
        <v>38</v>
      </c>
    </row>
    <row r="96" spans="1:9" x14ac:dyDescent="0.25">
      <c r="A96" t="s">
        <v>113</v>
      </c>
      <c r="B96" t="s">
        <v>1009</v>
      </c>
      <c r="C96" t="s">
        <v>1010</v>
      </c>
      <c r="D96">
        <v>4</v>
      </c>
      <c r="E96" t="s">
        <v>747</v>
      </c>
      <c r="F96" t="s">
        <v>758</v>
      </c>
      <c r="G96" t="s">
        <v>1011</v>
      </c>
      <c r="H96" t="s">
        <v>760</v>
      </c>
      <c r="I96" t="s">
        <v>38</v>
      </c>
    </row>
    <row r="97" spans="1:9" x14ac:dyDescent="0.25">
      <c r="A97" t="s">
        <v>113</v>
      </c>
      <c r="B97" t="s">
        <v>1012</v>
      </c>
      <c r="C97" t="s">
        <v>1013</v>
      </c>
      <c r="D97">
        <v>5</v>
      </c>
      <c r="E97" t="s">
        <v>747</v>
      </c>
      <c r="F97" t="s">
        <v>763</v>
      </c>
      <c r="G97" t="s">
        <v>1014</v>
      </c>
      <c r="H97" t="s">
        <v>760</v>
      </c>
      <c r="I97" t="s">
        <v>38</v>
      </c>
    </row>
    <row r="98" spans="1:9" x14ac:dyDescent="0.25">
      <c r="A98" t="s">
        <v>113</v>
      </c>
      <c r="B98" t="s">
        <v>765</v>
      </c>
      <c r="C98" t="s">
        <v>1015</v>
      </c>
      <c r="E98" t="s">
        <v>767</v>
      </c>
      <c r="F98" t="s">
        <v>768</v>
      </c>
      <c r="G98" t="s">
        <v>1016</v>
      </c>
      <c r="H98" t="s">
        <v>750</v>
      </c>
      <c r="I98" t="s">
        <v>38</v>
      </c>
    </row>
    <row r="99" spans="1:9" x14ac:dyDescent="0.25">
      <c r="A99" t="s">
        <v>113</v>
      </c>
      <c r="B99" t="s">
        <v>770</v>
      </c>
      <c r="C99" t="s">
        <v>1017</v>
      </c>
      <c r="E99" t="s">
        <v>767</v>
      </c>
      <c r="F99" t="s">
        <v>772</v>
      </c>
      <c r="G99" t="s">
        <v>1018</v>
      </c>
      <c r="H99" t="s">
        <v>750</v>
      </c>
      <c r="I99" t="s">
        <v>38</v>
      </c>
    </row>
    <row r="100" spans="1:9" x14ac:dyDescent="0.25">
      <c r="A100" t="s">
        <v>117</v>
      </c>
      <c r="B100" t="s">
        <v>1019</v>
      </c>
      <c r="C100" t="s">
        <v>1020</v>
      </c>
      <c r="D100">
        <v>1</v>
      </c>
      <c r="E100" t="s">
        <v>747</v>
      </c>
      <c r="F100" t="s">
        <v>1021</v>
      </c>
      <c r="G100" t="s">
        <v>1022</v>
      </c>
      <c r="H100" t="s">
        <v>750</v>
      </c>
      <c r="I100" t="s">
        <v>38</v>
      </c>
    </row>
    <row r="101" spans="1:9" x14ac:dyDescent="0.25">
      <c r="A101" t="s">
        <v>117</v>
      </c>
      <c r="B101" t="s">
        <v>1023</v>
      </c>
      <c r="C101" t="s">
        <v>1024</v>
      </c>
      <c r="D101">
        <v>2</v>
      </c>
      <c r="E101" t="s">
        <v>747</v>
      </c>
      <c r="F101" t="s">
        <v>1025</v>
      </c>
      <c r="G101" t="s">
        <v>1022</v>
      </c>
      <c r="H101" t="s">
        <v>750</v>
      </c>
      <c r="I101" t="s">
        <v>38</v>
      </c>
    </row>
    <row r="102" spans="1:9" x14ac:dyDescent="0.25">
      <c r="A102" t="s">
        <v>117</v>
      </c>
      <c r="B102" t="s">
        <v>1026</v>
      </c>
      <c r="C102" t="s">
        <v>1027</v>
      </c>
      <c r="D102">
        <v>3</v>
      </c>
      <c r="E102" t="s">
        <v>747</v>
      </c>
      <c r="F102" t="s">
        <v>755</v>
      </c>
      <c r="G102" t="s">
        <v>1028</v>
      </c>
      <c r="H102" t="s">
        <v>750</v>
      </c>
      <c r="I102" t="s">
        <v>38</v>
      </c>
    </row>
    <row r="103" spans="1:9" x14ac:dyDescent="0.25">
      <c r="A103" t="s">
        <v>117</v>
      </c>
      <c r="B103" t="s">
        <v>120</v>
      </c>
      <c r="C103" t="s">
        <v>1029</v>
      </c>
      <c r="D103">
        <v>4</v>
      </c>
      <c r="E103" t="s">
        <v>747</v>
      </c>
      <c r="F103" t="s">
        <v>758</v>
      </c>
      <c r="G103" t="s">
        <v>1030</v>
      </c>
      <c r="H103" t="s">
        <v>760</v>
      </c>
      <c r="I103" t="s">
        <v>38</v>
      </c>
    </row>
    <row r="104" spans="1:9" x14ac:dyDescent="0.25">
      <c r="A104" t="s">
        <v>117</v>
      </c>
      <c r="B104" t="s">
        <v>1031</v>
      </c>
      <c r="C104" t="s">
        <v>1032</v>
      </c>
      <c r="D104">
        <v>5</v>
      </c>
      <c r="E104" t="s">
        <v>747</v>
      </c>
      <c r="F104" t="s">
        <v>763</v>
      </c>
      <c r="G104" t="s">
        <v>1033</v>
      </c>
      <c r="H104" t="s">
        <v>760</v>
      </c>
      <c r="I104" t="s">
        <v>38</v>
      </c>
    </row>
    <row r="105" spans="1:9" x14ac:dyDescent="0.25">
      <c r="A105" t="s">
        <v>117</v>
      </c>
      <c r="B105" t="s">
        <v>765</v>
      </c>
      <c r="C105" t="s">
        <v>1034</v>
      </c>
      <c r="E105" t="s">
        <v>767</v>
      </c>
      <c r="F105" t="s">
        <v>768</v>
      </c>
      <c r="G105" t="s">
        <v>1035</v>
      </c>
      <c r="H105" t="s">
        <v>750</v>
      </c>
      <c r="I105" t="s">
        <v>38</v>
      </c>
    </row>
    <row r="106" spans="1:9" x14ac:dyDescent="0.25">
      <c r="A106" t="s">
        <v>117</v>
      </c>
      <c r="B106" t="s">
        <v>770</v>
      </c>
      <c r="C106" t="s">
        <v>1036</v>
      </c>
      <c r="E106" t="s">
        <v>767</v>
      </c>
      <c r="F106" t="s">
        <v>772</v>
      </c>
      <c r="G106" t="s">
        <v>1037</v>
      </c>
      <c r="H106" t="s">
        <v>750</v>
      </c>
      <c r="I106" t="s">
        <v>38</v>
      </c>
    </row>
    <row r="107" spans="1:9" x14ac:dyDescent="0.25">
      <c r="A107" t="s">
        <v>122</v>
      </c>
      <c r="B107" t="s">
        <v>1038</v>
      </c>
      <c r="C107" t="s">
        <v>1039</v>
      </c>
      <c r="D107">
        <v>1</v>
      </c>
      <c r="E107" t="s">
        <v>747</v>
      </c>
      <c r="F107" t="s">
        <v>1040</v>
      </c>
      <c r="G107" t="s">
        <v>1041</v>
      </c>
      <c r="H107" t="s">
        <v>750</v>
      </c>
      <c r="I107" t="s">
        <v>38</v>
      </c>
    </row>
    <row r="108" spans="1:9" x14ac:dyDescent="0.25">
      <c r="A108" t="s">
        <v>122</v>
      </c>
      <c r="B108" t="s">
        <v>1042</v>
      </c>
      <c r="C108" t="s">
        <v>1043</v>
      </c>
      <c r="D108">
        <v>2</v>
      </c>
      <c r="E108" t="s">
        <v>747</v>
      </c>
      <c r="F108" t="s">
        <v>1044</v>
      </c>
      <c r="G108" t="s">
        <v>1041</v>
      </c>
      <c r="H108" t="s">
        <v>750</v>
      </c>
      <c r="I108" t="s">
        <v>38</v>
      </c>
    </row>
    <row r="109" spans="1:9" x14ac:dyDescent="0.25">
      <c r="A109" t="s">
        <v>122</v>
      </c>
      <c r="B109" t="s">
        <v>126</v>
      </c>
      <c r="C109" t="s">
        <v>1045</v>
      </c>
      <c r="D109">
        <v>3</v>
      </c>
      <c r="E109" t="s">
        <v>747</v>
      </c>
      <c r="F109" t="s">
        <v>755</v>
      </c>
      <c r="G109" t="s">
        <v>1046</v>
      </c>
      <c r="H109" t="s">
        <v>750</v>
      </c>
      <c r="I109" t="s">
        <v>38</v>
      </c>
    </row>
    <row r="110" spans="1:9" x14ac:dyDescent="0.25">
      <c r="A110" t="s">
        <v>122</v>
      </c>
      <c r="B110" t="s">
        <v>1047</v>
      </c>
      <c r="C110" t="s">
        <v>1048</v>
      </c>
      <c r="D110">
        <v>4</v>
      </c>
      <c r="E110" t="s">
        <v>747</v>
      </c>
      <c r="F110" t="s">
        <v>758</v>
      </c>
      <c r="G110" t="s">
        <v>1049</v>
      </c>
      <c r="H110" t="s">
        <v>760</v>
      </c>
      <c r="I110" t="s">
        <v>38</v>
      </c>
    </row>
    <row r="111" spans="1:9" x14ac:dyDescent="0.25">
      <c r="A111" t="s">
        <v>122</v>
      </c>
      <c r="B111" t="s">
        <v>1050</v>
      </c>
      <c r="C111" t="s">
        <v>1051</v>
      </c>
      <c r="D111">
        <v>5</v>
      </c>
      <c r="E111" t="s">
        <v>747</v>
      </c>
      <c r="F111" t="s">
        <v>763</v>
      </c>
      <c r="G111" t="s">
        <v>1052</v>
      </c>
      <c r="H111" t="s">
        <v>760</v>
      </c>
      <c r="I111" t="s">
        <v>38</v>
      </c>
    </row>
    <row r="112" spans="1:9" x14ac:dyDescent="0.25">
      <c r="A112" t="s">
        <v>122</v>
      </c>
      <c r="B112" t="s">
        <v>765</v>
      </c>
      <c r="C112" t="s">
        <v>1053</v>
      </c>
      <c r="E112" t="s">
        <v>767</v>
      </c>
      <c r="F112" t="s">
        <v>768</v>
      </c>
      <c r="G112" t="s">
        <v>1054</v>
      </c>
      <c r="H112" t="s">
        <v>750</v>
      </c>
      <c r="I112" t="s">
        <v>38</v>
      </c>
    </row>
    <row r="113" spans="1:9" x14ac:dyDescent="0.25">
      <c r="A113" t="s">
        <v>122</v>
      </c>
      <c r="B113" t="s">
        <v>770</v>
      </c>
      <c r="C113" t="s">
        <v>1055</v>
      </c>
      <c r="E113" t="s">
        <v>767</v>
      </c>
      <c r="F113" t="s">
        <v>772</v>
      </c>
      <c r="G113" t="s">
        <v>1056</v>
      </c>
      <c r="H113" t="s">
        <v>750</v>
      </c>
      <c r="I113" t="s">
        <v>38</v>
      </c>
    </row>
    <row r="114" spans="1:9" x14ac:dyDescent="0.25">
      <c r="A114" t="s">
        <v>128</v>
      </c>
      <c r="B114" t="s">
        <v>1057</v>
      </c>
      <c r="C114" t="s">
        <v>1058</v>
      </c>
      <c r="D114">
        <v>1</v>
      </c>
      <c r="E114" t="s">
        <v>747</v>
      </c>
      <c r="F114" t="s">
        <v>1059</v>
      </c>
      <c r="G114" t="s">
        <v>1060</v>
      </c>
      <c r="H114" t="s">
        <v>750</v>
      </c>
      <c r="I114" t="s">
        <v>38</v>
      </c>
    </row>
    <row r="115" spans="1:9" x14ac:dyDescent="0.25">
      <c r="A115" t="s">
        <v>128</v>
      </c>
      <c r="B115" t="s">
        <v>1061</v>
      </c>
      <c r="C115" t="s">
        <v>1062</v>
      </c>
      <c r="D115">
        <v>2</v>
      </c>
      <c r="E115" t="s">
        <v>747</v>
      </c>
      <c r="F115" t="s">
        <v>1063</v>
      </c>
      <c r="G115" t="s">
        <v>1060</v>
      </c>
      <c r="H115" t="s">
        <v>750</v>
      </c>
      <c r="I115" t="s">
        <v>38</v>
      </c>
    </row>
    <row r="116" spans="1:9" x14ac:dyDescent="0.25">
      <c r="A116" t="s">
        <v>128</v>
      </c>
      <c r="B116" t="s">
        <v>132</v>
      </c>
      <c r="C116" t="s">
        <v>1064</v>
      </c>
      <c r="D116">
        <v>3</v>
      </c>
      <c r="E116" t="s">
        <v>747</v>
      </c>
      <c r="F116" t="s">
        <v>755</v>
      </c>
      <c r="G116" t="s">
        <v>1065</v>
      </c>
      <c r="H116" t="s">
        <v>750</v>
      </c>
      <c r="I116" t="s">
        <v>38</v>
      </c>
    </row>
    <row r="117" spans="1:9" x14ac:dyDescent="0.25">
      <c r="A117" t="s">
        <v>128</v>
      </c>
      <c r="B117" t="s">
        <v>1066</v>
      </c>
      <c r="C117" t="s">
        <v>1067</v>
      </c>
      <c r="D117">
        <v>4</v>
      </c>
      <c r="E117" t="s">
        <v>747</v>
      </c>
      <c r="F117" t="s">
        <v>758</v>
      </c>
      <c r="G117" t="s">
        <v>1068</v>
      </c>
      <c r="H117" t="s">
        <v>760</v>
      </c>
      <c r="I117" t="s">
        <v>38</v>
      </c>
    </row>
    <row r="118" spans="1:9" x14ac:dyDescent="0.25">
      <c r="A118" t="s">
        <v>128</v>
      </c>
      <c r="B118" t="s">
        <v>1069</v>
      </c>
      <c r="C118" t="s">
        <v>1070</v>
      </c>
      <c r="D118">
        <v>5</v>
      </c>
      <c r="E118" t="s">
        <v>747</v>
      </c>
      <c r="F118" t="s">
        <v>763</v>
      </c>
      <c r="G118" t="s">
        <v>1071</v>
      </c>
      <c r="H118" t="s">
        <v>760</v>
      </c>
      <c r="I118" t="s">
        <v>38</v>
      </c>
    </row>
    <row r="119" spans="1:9" x14ac:dyDescent="0.25">
      <c r="A119" t="s">
        <v>128</v>
      </c>
      <c r="B119" t="s">
        <v>765</v>
      </c>
      <c r="C119" t="s">
        <v>1072</v>
      </c>
      <c r="E119" t="s">
        <v>767</v>
      </c>
      <c r="F119" t="s">
        <v>768</v>
      </c>
      <c r="G119" t="s">
        <v>1073</v>
      </c>
      <c r="H119" t="s">
        <v>750</v>
      </c>
      <c r="I119" t="s">
        <v>38</v>
      </c>
    </row>
    <row r="120" spans="1:9" x14ac:dyDescent="0.25">
      <c r="A120" t="s">
        <v>128</v>
      </c>
      <c r="B120" t="s">
        <v>770</v>
      </c>
      <c r="C120" t="s">
        <v>1074</v>
      </c>
      <c r="E120" t="s">
        <v>767</v>
      </c>
      <c r="F120" t="s">
        <v>772</v>
      </c>
      <c r="G120" t="s">
        <v>1075</v>
      </c>
      <c r="H120" t="s">
        <v>750</v>
      </c>
      <c r="I120" t="s">
        <v>38</v>
      </c>
    </row>
    <row r="121" spans="1:9" x14ac:dyDescent="0.25">
      <c r="A121" t="s">
        <v>134</v>
      </c>
      <c r="B121" t="s">
        <v>1076</v>
      </c>
      <c r="C121" t="s">
        <v>1077</v>
      </c>
      <c r="D121">
        <v>1</v>
      </c>
      <c r="E121" t="s">
        <v>747</v>
      </c>
      <c r="F121" t="s">
        <v>1078</v>
      </c>
      <c r="G121" t="s">
        <v>1079</v>
      </c>
      <c r="H121" t="s">
        <v>750</v>
      </c>
      <c r="I121" t="s">
        <v>38</v>
      </c>
    </row>
    <row r="122" spans="1:9" x14ac:dyDescent="0.25">
      <c r="A122" t="s">
        <v>134</v>
      </c>
      <c r="B122" t="s">
        <v>1080</v>
      </c>
      <c r="C122" t="s">
        <v>1081</v>
      </c>
      <c r="D122">
        <v>2</v>
      </c>
      <c r="E122" t="s">
        <v>747</v>
      </c>
      <c r="F122" t="s">
        <v>1082</v>
      </c>
      <c r="G122" t="s">
        <v>1079</v>
      </c>
      <c r="H122" t="s">
        <v>750</v>
      </c>
      <c r="I122" t="s">
        <v>38</v>
      </c>
    </row>
    <row r="123" spans="1:9" x14ac:dyDescent="0.25">
      <c r="A123" t="s">
        <v>134</v>
      </c>
      <c r="B123" t="s">
        <v>1083</v>
      </c>
      <c r="C123" t="s">
        <v>1084</v>
      </c>
      <c r="D123">
        <v>3</v>
      </c>
      <c r="E123" t="s">
        <v>747</v>
      </c>
      <c r="F123" t="s">
        <v>755</v>
      </c>
      <c r="G123" t="s">
        <v>1085</v>
      </c>
      <c r="H123" t="s">
        <v>750</v>
      </c>
      <c r="I123" t="s">
        <v>38</v>
      </c>
    </row>
    <row r="124" spans="1:9" x14ac:dyDescent="0.25">
      <c r="A124" t="s">
        <v>134</v>
      </c>
      <c r="B124" t="s">
        <v>138</v>
      </c>
      <c r="C124" t="s">
        <v>1086</v>
      </c>
      <c r="D124">
        <v>4</v>
      </c>
      <c r="E124" t="s">
        <v>747</v>
      </c>
      <c r="F124" t="s">
        <v>758</v>
      </c>
      <c r="G124" t="s">
        <v>1087</v>
      </c>
      <c r="H124" t="s">
        <v>760</v>
      </c>
      <c r="I124" t="s">
        <v>38</v>
      </c>
    </row>
    <row r="125" spans="1:9" x14ac:dyDescent="0.25">
      <c r="A125" t="s">
        <v>134</v>
      </c>
      <c r="B125" t="s">
        <v>1088</v>
      </c>
      <c r="C125" t="s">
        <v>1089</v>
      </c>
      <c r="D125">
        <v>5</v>
      </c>
      <c r="E125" t="s">
        <v>747</v>
      </c>
      <c r="F125" t="s">
        <v>763</v>
      </c>
      <c r="G125" t="s">
        <v>1090</v>
      </c>
      <c r="H125" t="s">
        <v>760</v>
      </c>
      <c r="I125" t="s">
        <v>38</v>
      </c>
    </row>
    <row r="126" spans="1:9" x14ac:dyDescent="0.25">
      <c r="A126" t="s">
        <v>134</v>
      </c>
      <c r="B126" t="s">
        <v>765</v>
      </c>
      <c r="C126" t="s">
        <v>1091</v>
      </c>
      <c r="E126" t="s">
        <v>767</v>
      </c>
      <c r="F126" t="s">
        <v>768</v>
      </c>
      <c r="G126" t="s">
        <v>1092</v>
      </c>
      <c r="H126" t="s">
        <v>750</v>
      </c>
      <c r="I126" t="s">
        <v>38</v>
      </c>
    </row>
    <row r="127" spans="1:9" x14ac:dyDescent="0.25">
      <c r="A127" t="s">
        <v>134</v>
      </c>
      <c r="B127" t="s">
        <v>770</v>
      </c>
      <c r="C127" t="s">
        <v>1093</v>
      </c>
      <c r="E127" t="s">
        <v>767</v>
      </c>
      <c r="F127" t="s">
        <v>772</v>
      </c>
      <c r="G127" t="s">
        <v>1094</v>
      </c>
      <c r="H127" t="s">
        <v>750</v>
      </c>
      <c r="I127" t="s">
        <v>38</v>
      </c>
    </row>
    <row r="128" spans="1:9" x14ac:dyDescent="0.25">
      <c r="A128" t="s">
        <v>140</v>
      </c>
      <c r="B128" t="s">
        <v>1095</v>
      </c>
      <c r="C128" t="s">
        <v>1096</v>
      </c>
      <c r="D128">
        <v>1</v>
      </c>
      <c r="E128" t="s">
        <v>747</v>
      </c>
      <c r="F128" t="s">
        <v>1097</v>
      </c>
      <c r="G128" t="s">
        <v>1098</v>
      </c>
      <c r="H128" t="s">
        <v>750</v>
      </c>
      <c r="I128" t="s">
        <v>141</v>
      </c>
    </row>
    <row r="129" spans="1:9" x14ac:dyDescent="0.25">
      <c r="A129" t="s">
        <v>140</v>
      </c>
      <c r="B129" t="s">
        <v>1099</v>
      </c>
      <c r="C129" t="s">
        <v>1100</v>
      </c>
      <c r="D129">
        <v>2</v>
      </c>
      <c r="E129" t="s">
        <v>747</v>
      </c>
      <c r="F129" t="s">
        <v>1101</v>
      </c>
      <c r="G129" t="s">
        <v>1098</v>
      </c>
      <c r="H129" t="s">
        <v>750</v>
      </c>
      <c r="I129" t="s">
        <v>141</v>
      </c>
    </row>
    <row r="130" spans="1:9" x14ac:dyDescent="0.25">
      <c r="A130" t="s">
        <v>140</v>
      </c>
      <c r="B130" t="s">
        <v>1102</v>
      </c>
      <c r="C130" t="s">
        <v>1103</v>
      </c>
      <c r="D130">
        <v>3</v>
      </c>
      <c r="E130" t="s">
        <v>747</v>
      </c>
      <c r="F130" t="s">
        <v>755</v>
      </c>
      <c r="G130" t="s">
        <v>1104</v>
      </c>
      <c r="H130" t="s">
        <v>750</v>
      </c>
      <c r="I130" t="s">
        <v>141</v>
      </c>
    </row>
    <row r="131" spans="1:9" x14ac:dyDescent="0.25">
      <c r="A131" t="s">
        <v>140</v>
      </c>
      <c r="B131" t="s">
        <v>145</v>
      </c>
      <c r="C131" t="s">
        <v>1105</v>
      </c>
      <c r="D131">
        <v>4</v>
      </c>
      <c r="E131" t="s">
        <v>747</v>
      </c>
      <c r="F131" t="s">
        <v>758</v>
      </c>
      <c r="G131" t="s">
        <v>1106</v>
      </c>
      <c r="H131" t="s">
        <v>760</v>
      </c>
      <c r="I131" t="s">
        <v>141</v>
      </c>
    </row>
    <row r="132" spans="1:9" x14ac:dyDescent="0.25">
      <c r="A132" t="s">
        <v>140</v>
      </c>
      <c r="B132" t="s">
        <v>1107</v>
      </c>
      <c r="C132" t="s">
        <v>1108</v>
      </c>
      <c r="D132">
        <v>5</v>
      </c>
      <c r="E132" t="s">
        <v>747</v>
      </c>
      <c r="F132" t="s">
        <v>763</v>
      </c>
      <c r="G132" t="s">
        <v>1109</v>
      </c>
      <c r="H132" t="s">
        <v>760</v>
      </c>
      <c r="I132" t="s">
        <v>141</v>
      </c>
    </row>
    <row r="133" spans="1:9" x14ac:dyDescent="0.25">
      <c r="A133" t="s">
        <v>140</v>
      </c>
      <c r="B133" t="s">
        <v>765</v>
      </c>
      <c r="C133" t="s">
        <v>1110</v>
      </c>
      <c r="E133" t="s">
        <v>767</v>
      </c>
      <c r="F133" t="s">
        <v>768</v>
      </c>
      <c r="G133" t="s">
        <v>1111</v>
      </c>
      <c r="H133" t="s">
        <v>750</v>
      </c>
      <c r="I133" t="s">
        <v>141</v>
      </c>
    </row>
    <row r="134" spans="1:9" x14ac:dyDescent="0.25">
      <c r="A134" t="s">
        <v>140</v>
      </c>
      <c r="B134" t="s">
        <v>770</v>
      </c>
      <c r="C134" t="s">
        <v>1112</v>
      </c>
      <c r="E134" t="s">
        <v>767</v>
      </c>
      <c r="F134" t="s">
        <v>772</v>
      </c>
      <c r="G134" t="s">
        <v>1113</v>
      </c>
      <c r="H134" t="s">
        <v>750</v>
      </c>
      <c r="I134" t="s">
        <v>141</v>
      </c>
    </row>
    <row r="135" spans="1:9" x14ac:dyDescent="0.25">
      <c r="A135" t="s">
        <v>147</v>
      </c>
      <c r="B135" t="s">
        <v>1114</v>
      </c>
      <c r="C135" t="s">
        <v>1115</v>
      </c>
      <c r="D135">
        <v>1</v>
      </c>
      <c r="E135" t="s">
        <v>747</v>
      </c>
      <c r="F135" t="s">
        <v>1116</v>
      </c>
      <c r="G135" t="s">
        <v>1117</v>
      </c>
      <c r="H135" t="s">
        <v>750</v>
      </c>
      <c r="I135" t="s">
        <v>141</v>
      </c>
    </row>
    <row r="136" spans="1:9" x14ac:dyDescent="0.25">
      <c r="A136" t="s">
        <v>147</v>
      </c>
      <c r="B136" t="s">
        <v>1118</v>
      </c>
      <c r="C136" t="s">
        <v>1119</v>
      </c>
      <c r="D136">
        <v>2</v>
      </c>
      <c r="E136" t="s">
        <v>747</v>
      </c>
      <c r="F136" t="s">
        <v>1120</v>
      </c>
      <c r="G136" t="s">
        <v>1117</v>
      </c>
      <c r="H136" t="s">
        <v>750</v>
      </c>
      <c r="I136" t="s">
        <v>141</v>
      </c>
    </row>
    <row r="137" spans="1:9" x14ac:dyDescent="0.25">
      <c r="A137" t="s">
        <v>147</v>
      </c>
      <c r="B137" t="s">
        <v>1121</v>
      </c>
      <c r="C137" t="s">
        <v>1122</v>
      </c>
      <c r="D137">
        <v>3</v>
      </c>
      <c r="E137" t="s">
        <v>747</v>
      </c>
      <c r="F137" t="s">
        <v>755</v>
      </c>
      <c r="G137" t="s">
        <v>1123</v>
      </c>
      <c r="H137" t="s">
        <v>750</v>
      </c>
      <c r="I137" t="s">
        <v>141</v>
      </c>
    </row>
    <row r="138" spans="1:9" x14ac:dyDescent="0.25">
      <c r="A138" t="s">
        <v>147</v>
      </c>
      <c r="B138" t="s">
        <v>150</v>
      </c>
      <c r="C138" t="s">
        <v>1124</v>
      </c>
      <c r="D138">
        <v>4</v>
      </c>
      <c r="E138" t="s">
        <v>747</v>
      </c>
      <c r="F138" t="s">
        <v>758</v>
      </c>
      <c r="G138" t="s">
        <v>1125</v>
      </c>
      <c r="H138" t="s">
        <v>760</v>
      </c>
      <c r="I138" t="s">
        <v>141</v>
      </c>
    </row>
    <row r="139" spans="1:9" x14ac:dyDescent="0.25">
      <c r="A139" t="s">
        <v>147</v>
      </c>
      <c r="B139" t="s">
        <v>1126</v>
      </c>
      <c r="C139" t="s">
        <v>1127</v>
      </c>
      <c r="D139">
        <v>5</v>
      </c>
      <c r="E139" t="s">
        <v>747</v>
      </c>
      <c r="F139" t="s">
        <v>763</v>
      </c>
      <c r="G139" t="s">
        <v>1128</v>
      </c>
      <c r="H139" t="s">
        <v>760</v>
      </c>
      <c r="I139" t="s">
        <v>141</v>
      </c>
    </row>
    <row r="140" spans="1:9" x14ac:dyDescent="0.25">
      <c r="A140" t="s">
        <v>147</v>
      </c>
      <c r="B140" t="s">
        <v>765</v>
      </c>
      <c r="C140" t="s">
        <v>1129</v>
      </c>
      <c r="E140" t="s">
        <v>767</v>
      </c>
      <c r="F140" t="s">
        <v>768</v>
      </c>
      <c r="G140" t="s">
        <v>1130</v>
      </c>
      <c r="H140" t="s">
        <v>750</v>
      </c>
      <c r="I140" t="s">
        <v>141</v>
      </c>
    </row>
    <row r="141" spans="1:9" x14ac:dyDescent="0.25">
      <c r="A141" t="s">
        <v>147</v>
      </c>
      <c r="B141" t="s">
        <v>770</v>
      </c>
      <c r="C141" t="s">
        <v>1131</v>
      </c>
      <c r="E141" t="s">
        <v>767</v>
      </c>
      <c r="F141" t="s">
        <v>772</v>
      </c>
      <c r="G141" t="s">
        <v>1132</v>
      </c>
      <c r="H141" t="s">
        <v>750</v>
      </c>
      <c r="I141" t="s">
        <v>141</v>
      </c>
    </row>
    <row r="142" spans="1:9" x14ac:dyDescent="0.25">
      <c r="A142" t="s">
        <v>151</v>
      </c>
      <c r="B142" t="s">
        <v>1133</v>
      </c>
      <c r="C142" t="s">
        <v>1134</v>
      </c>
      <c r="D142">
        <v>1</v>
      </c>
      <c r="E142" t="s">
        <v>747</v>
      </c>
      <c r="F142" t="s">
        <v>1135</v>
      </c>
      <c r="G142" t="s">
        <v>1136</v>
      </c>
      <c r="H142" t="s">
        <v>750</v>
      </c>
      <c r="I142" t="s">
        <v>141</v>
      </c>
    </row>
    <row r="143" spans="1:9" x14ac:dyDescent="0.25">
      <c r="A143" t="s">
        <v>151</v>
      </c>
      <c r="B143" t="s">
        <v>1137</v>
      </c>
      <c r="C143" t="s">
        <v>1138</v>
      </c>
      <c r="D143">
        <v>2</v>
      </c>
      <c r="E143" t="s">
        <v>747</v>
      </c>
      <c r="F143" t="s">
        <v>1139</v>
      </c>
      <c r="G143" t="s">
        <v>1136</v>
      </c>
      <c r="H143" t="s">
        <v>750</v>
      </c>
      <c r="I143" t="s">
        <v>141</v>
      </c>
    </row>
    <row r="144" spans="1:9" x14ac:dyDescent="0.25">
      <c r="A144" t="s">
        <v>151</v>
      </c>
      <c r="B144" t="s">
        <v>154</v>
      </c>
      <c r="C144" t="s">
        <v>1140</v>
      </c>
      <c r="D144">
        <v>3</v>
      </c>
      <c r="E144" t="s">
        <v>747</v>
      </c>
      <c r="F144" t="s">
        <v>755</v>
      </c>
      <c r="G144" t="s">
        <v>1141</v>
      </c>
      <c r="H144" t="s">
        <v>750</v>
      </c>
      <c r="I144" t="s">
        <v>141</v>
      </c>
    </row>
    <row r="145" spans="1:9" x14ac:dyDescent="0.25">
      <c r="A145" t="s">
        <v>151</v>
      </c>
      <c r="B145" t="s">
        <v>1142</v>
      </c>
      <c r="C145" t="s">
        <v>1143</v>
      </c>
      <c r="D145">
        <v>4</v>
      </c>
      <c r="E145" t="s">
        <v>747</v>
      </c>
      <c r="F145" t="s">
        <v>758</v>
      </c>
      <c r="G145" t="s">
        <v>1144</v>
      </c>
      <c r="H145" t="s">
        <v>760</v>
      </c>
      <c r="I145" t="s">
        <v>141</v>
      </c>
    </row>
    <row r="146" spans="1:9" x14ac:dyDescent="0.25">
      <c r="A146" t="s">
        <v>151</v>
      </c>
      <c r="B146" t="s">
        <v>1145</v>
      </c>
      <c r="C146" t="s">
        <v>1146</v>
      </c>
      <c r="D146">
        <v>5</v>
      </c>
      <c r="E146" t="s">
        <v>747</v>
      </c>
      <c r="F146" t="s">
        <v>763</v>
      </c>
      <c r="G146" t="s">
        <v>1147</v>
      </c>
      <c r="H146" t="s">
        <v>760</v>
      </c>
      <c r="I146" t="s">
        <v>141</v>
      </c>
    </row>
    <row r="147" spans="1:9" x14ac:dyDescent="0.25">
      <c r="A147" t="s">
        <v>151</v>
      </c>
      <c r="B147" t="s">
        <v>765</v>
      </c>
      <c r="C147" t="s">
        <v>1148</v>
      </c>
      <c r="E147" t="s">
        <v>767</v>
      </c>
      <c r="F147" t="s">
        <v>768</v>
      </c>
      <c r="G147" t="s">
        <v>1149</v>
      </c>
      <c r="H147" t="s">
        <v>750</v>
      </c>
      <c r="I147" t="s">
        <v>141</v>
      </c>
    </row>
    <row r="148" spans="1:9" x14ac:dyDescent="0.25">
      <c r="A148" t="s">
        <v>151</v>
      </c>
      <c r="B148" t="s">
        <v>770</v>
      </c>
      <c r="C148" t="s">
        <v>1150</v>
      </c>
      <c r="E148" t="s">
        <v>767</v>
      </c>
      <c r="F148" t="s">
        <v>772</v>
      </c>
      <c r="G148" t="s">
        <v>1151</v>
      </c>
      <c r="H148" t="s">
        <v>750</v>
      </c>
      <c r="I148" t="s">
        <v>141</v>
      </c>
    </row>
    <row r="149" spans="1:9" x14ac:dyDescent="0.25">
      <c r="A149" t="s">
        <v>155</v>
      </c>
      <c r="B149" t="s">
        <v>1152</v>
      </c>
      <c r="C149" t="s">
        <v>1153</v>
      </c>
      <c r="D149">
        <v>1</v>
      </c>
      <c r="E149" t="s">
        <v>747</v>
      </c>
      <c r="F149" t="s">
        <v>1154</v>
      </c>
      <c r="G149" t="s">
        <v>1155</v>
      </c>
      <c r="H149" t="s">
        <v>750</v>
      </c>
      <c r="I149" t="s">
        <v>141</v>
      </c>
    </row>
    <row r="150" spans="1:9" x14ac:dyDescent="0.25">
      <c r="A150" t="s">
        <v>155</v>
      </c>
      <c r="B150" t="s">
        <v>158</v>
      </c>
      <c r="C150" t="s">
        <v>1156</v>
      </c>
      <c r="D150">
        <v>2</v>
      </c>
      <c r="E150" t="s">
        <v>747</v>
      </c>
      <c r="F150" t="s">
        <v>1157</v>
      </c>
      <c r="G150" t="s">
        <v>1155</v>
      </c>
      <c r="H150" t="s">
        <v>750</v>
      </c>
      <c r="I150" t="s">
        <v>141</v>
      </c>
    </row>
    <row r="151" spans="1:9" x14ac:dyDescent="0.25">
      <c r="A151" t="s">
        <v>155</v>
      </c>
      <c r="B151" t="s">
        <v>1158</v>
      </c>
      <c r="C151" t="s">
        <v>1159</v>
      </c>
      <c r="D151">
        <v>3</v>
      </c>
      <c r="E151" t="s">
        <v>747</v>
      </c>
      <c r="F151" t="s">
        <v>755</v>
      </c>
      <c r="G151" t="s">
        <v>1160</v>
      </c>
      <c r="H151" t="s">
        <v>750</v>
      </c>
      <c r="I151" t="s">
        <v>141</v>
      </c>
    </row>
    <row r="152" spans="1:9" x14ac:dyDescent="0.25">
      <c r="A152" t="s">
        <v>155</v>
      </c>
      <c r="B152" t="s">
        <v>1161</v>
      </c>
      <c r="C152" t="s">
        <v>1162</v>
      </c>
      <c r="D152">
        <v>4</v>
      </c>
      <c r="E152" t="s">
        <v>747</v>
      </c>
      <c r="F152" t="s">
        <v>758</v>
      </c>
      <c r="G152" t="s">
        <v>1163</v>
      </c>
      <c r="H152" t="s">
        <v>760</v>
      </c>
      <c r="I152" t="s">
        <v>141</v>
      </c>
    </row>
    <row r="153" spans="1:9" x14ac:dyDescent="0.25">
      <c r="A153" t="s">
        <v>155</v>
      </c>
      <c r="B153" t="s">
        <v>1164</v>
      </c>
      <c r="C153" t="s">
        <v>1165</v>
      </c>
      <c r="D153">
        <v>5</v>
      </c>
      <c r="E153" t="s">
        <v>747</v>
      </c>
      <c r="F153" t="s">
        <v>763</v>
      </c>
      <c r="G153" t="s">
        <v>1166</v>
      </c>
      <c r="H153" t="s">
        <v>760</v>
      </c>
      <c r="I153" t="s">
        <v>141</v>
      </c>
    </row>
    <row r="154" spans="1:9" x14ac:dyDescent="0.25">
      <c r="A154" t="s">
        <v>155</v>
      </c>
      <c r="B154" t="s">
        <v>765</v>
      </c>
      <c r="C154" t="s">
        <v>1167</v>
      </c>
      <c r="E154" t="s">
        <v>767</v>
      </c>
      <c r="F154" t="s">
        <v>768</v>
      </c>
      <c r="G154" t="s">
        <v>1168</v>
      </c>
      <c r="H154" t="s">
        <v>750</v>
      </c>
      <c r="I154" t="s">
        <v>141</v>
      </c>
    </row>
    <row r="155" spans="1:9" x14ac:dyDescent="0.25">
      <c r="A155" t="s">
        <v>155</v>
      </c>
      <c r="B155" t="s">
        <v>770</v>
      </c>
      <c r="C155" t="s">
        <v>1169</v>
      </c>
      <c r="E155" t="s">
        <v>767</v>
      </c>
      <c r="F155" t="s">
        <v>772</v>
      </c>
      <c r="G155" t="s">
        <v>1170</v>
      </c>
      <c r="H155" t="s">
        <v>750</v>
      </c>
      <c r="I155" t="s">
        <v>141</v>
      </c>
    </row>
    <row r="156" spans="1:9" x14ac:dyDescent="0.25">
      <c r="A156" t="s">
        <v>159</v>
      </c>
      <c r="B156" t="s">
        <v>1171</v>
      </c>
      <c r="C156" t="s">
        <v>1172</v>
      </c>
      <c r="D156">
        <v>1</v>
      </c>
      <c r="E156" t="s">
        <v>747</v>
      </c>
      <c r="F156" t="s">
        <v>1173</v>
      </c>
      <c r="G156" t="s">
        <v>1174</v>
      </c>
      <c r="H156" t="s">
        <v>750</v>
      </c>
      <c r="I156" t="s">
        <v>141</v>
      </c>
    </row>
    <row r="157" spans="1:9" x14ac:dyDescent="0.25">
      <c r="A157" t="s">
        <v>159</v>
      </c>
      <c r="B157" t="s">
        <v>163</v>
      </c>
      <c r="C157" t="s">
        <v>1175</v>
      </c>
      <c r="D157">
        <v>2</v>
      </c>
      <c r="E157" t="s">
        <v>747</v>
      </c>
      <c r="F157" t="s">
        <v>1176</v>
      </c>
      <c r="G157" t="s">
        <v>1174</v>
      </c>
      <c r="H157" t="s">
        <v>750</v>
      </c>
      <c r="I157" t="s">
        <v>141</v>
      </c>
    </row>
    <row r="158" spans="1:9" x14ac:dyDescent="0.25">
      <c r="A158" t="s">
        <v>159</v>
      </c>
      <c r="B158" t="s">
        <v>1177</v>
      </c>
      <c r="C158" t="s">
        <v>1178</v>
      </c>
      <c r="D158">
        <v>3</v>
      </c>
      <c r="E158" t="s">
        <v>747</v>
      </c>
      <c r="F158" t="s">
        <v>755</v>
      </c>
      <c r="G158" t="s">
        <v>1179</v>
      </c>
      <c r="H158" t="s">
        <v>750</v>
      </c>
      <c r="I158" t="s">
        <v>141</v>
      </c>
    </row>
    <row r="159" spans="1:9" x14ac:dyDescent="0.25">
      <c r="A159" t="s">
        <v>159</v>
      </c>
      <c r="B159" t="s">
        <v>1180</v>
      </c>
      <c r="C159" t="s">
        <v>1181</v>
      </c>
      <c r="D159">
        <v>4</v>
      </c>
      <c r="E159" t="s">
        <v>747</v>
      </c>
      <c r="F159" t="s">
        <v>758</v>
      </c>
      <c r="G159" t="s">
        <v>1182</v>
      </c>
      <c r="H159" t="s">
        <v>760</v>
      </c>
      <c r="I159" t="s">
        <v>141</v>
      </c>
    </row>
    <row r="160" spans="1:9" x14ac:dyDescent="0.25">
      <c r="A160" t="s">
        <v>159</v>
      </c>
      <c r="B160" t="s">
        <v>1183</v>
      </c>
      <c r="C160" t="s">
        <v>1184</v>
      </c>
      <c r="D160">
        <v>5</v>
      </c>
      <c r="E160" t="s">
        <v>747</v>
      </c>
      <c r="F160" t="s">
        <v>763</v>
      </c>
      <c r="G160" t="s">
        <v>1185</v>
      </c>
      <c r="H160" t="s">
        <v>760</v>
      </c>
      <c r="I160" t="s">
        <v>141</v>
      </c>
    </row>
    <row r="161" spans="1:9" x14ac:dyDescent="0.25">
      <c r="A161" t="s">
        <v>159</v>
      </c>
      <c r="B161" t="s">
        <v>765</v>
      </c>
      <c r="C161" t="s">
        <v>1186</v>
      </c>
      <c r="E161" t="s">
        <v>767</v>
      </c>
      <c r="F161" t="s">
        <v>768</v>
      </c>
      <c r="G161" t="s">
        <v>1187</v>
      </c>
      <c r="H161" t="s">
        <v>750</v>
      </c>
      <c r="I161" t="s">
        <v>141</v>
      </c>
    </row>
    <row r="162" spans="1:9" x14ac:dyDescent="0.25">
      <c r="A162" t="s">
        <v>159</v>
      </c>
      <c r="B162" t="s">
        <v>770</v>
      </c>
      <c r="C162" t="s">
        <v>1188</v>
      </c>
      <c r="E162" t="s">
        <v>767</v>
      </c>
      <c r="F162" t="s">
        <v>772</v>
      </c>
      <c r="G162" t="s">
        <v>1189</v>
      </c>
      <c r="H162" t="s">
        <v>750</v>
      </c>
      <c r="I162" t="s">
        <v>141</v>
      </c>
    </row>
    <row r="163" spans="1:9" x14ac:dyDescent="0.25">
      <c r="A163" t="s">
        <v>165</v>
      </c>
      <c r="B163" t="s">
        <v>1190</v>
      </c>
      <c r="C163" t="s">
        <v>1191</v>
      </c>
      <c r="D163">
        <v>1</v>
      </c>
      <c r="E163" t="s">
        <v>747</v>
      </c>
      <c r="F163" t="s">
        <v>1192</v>
      </c>
      <c r="G163" t="s">
        <v>1193</v>
      </c>
      <c r="H163" t="s">
        <v>750</v>
      </c>
      <c r="I163" t="s">
        <v>141</v>
      </c>
    </row>
    <row r="164" spans="1:9" x14ac:dyDescent="0.25">
      <c r="A164" t="s">
        <v>165</v>
      </c>
      <c r="B164" t="s">
        <v>168</v>
      </c>
      <c r="C164" t="s">
        <v>1194</v>
      </c>
      <c r="D164">
        <v>2</v>
      </c>
      <c r="E164" t="s">
        <v>747</v>
      </c>
      <c r="F164" t="s">
        <v>1195</v>
      </c>
      <c r="G164" t="s">
        <v>1193</v>
      </c>
      <c r="H164" t="s">
        <v>750</v>
      </c>
      <c r="I164" t="s">
        <v>141</v>
      </c>
    </row>
    <row r="165" spans="1:9" x14ac:dyDescent="0.25">
      <c r="A165" t="s">
        <v>165</v>
      </c>
      <c r="B165" t="s">
        <v>1196</v>
      </c>
      <c r="C165" t="s">
        <v>1197</v>
      </c>
      <c r="D165">
        <v>3</v>
      </c>
      <c r="E165" t="s">
        <v>747</v>
      </c>
      <c r="F165" t="s">
        <v>755</v>
      </c>
      <c r="G165" t="s">
        <v>1198</v>
      </c>
      <c r="H165" t="s">
        <v>750</v>
      </c>
      <c r="I165" t="s">
        <v>141</v>
      </c>
    </row>
    <row r="166" spans="1:9" x14ac:dyDescent="0.25">
      <c r="A166" t="s">
        <v>165</v>
      </c>
      <c r="B166" t="s">
        <v>1199</v>
      </c>
      <c r="C166" t="s">
        <v>1200</v>
      </c>
      <c r="D166">
        <v>4</v>
      </c>
      <c r="E166" t="s">
        <v>747</v>
      </c>
      <c r="F166" t="s">
        <v>758</v>
      </c>
      <c r="G166" t="s">
        <v>1201</v>
      </c>
      <c r="H166" t="s">
        <v>760</v>
      </c>
      <c r="I166" t="s">
        <v>141</v>
      </c>
    </row>
    <row r="167" spans="1:9" x14ac:dyDescent="0.25">
      <c r="A167" t="s">
        <v>165</v>
      </c>
      <c r="B167" t="s">
        <v>1202</v>
      </c>
      <c r="C167" t="s">
        <v>1203</v>
      </c>
      <c r="D167">
        <v>5</v>
      </c>
      <c r="E167" t="s">
        <v>747</v>
      </c>
      <c r="F167" t="s">
        <v>763</v>
      </c>
      <c r="G167" t="s">
        <v>1204</v>
      </c>
      <c r="H167" t="s">
        <v>760</v>
      </c>
      <c r="I167" t="s">
        <v>141</v>
      </c>
    </row>
    <row r="168" spans="1:9" x14ac:dyDescent="0.25">
      <c r="A168" t="s">
        <v>165</v>
      </c>
      <c r="B168" t="s">
        <v>765</v>
      </c>
      <c r="C168" t="s">
        <v>1205</v>
      </c>
      <c r="E168" t="s">
        <v>767</v>
      </c>
      <c r="F168" t="s">
        <v>768</v>
      </c>
      <c r="G168" t="s">
        <v>1206</v>
      </c>
      <c r="H168" t="s">
        <v>750</v>
      </c>
      <c r="I168" t="s">
        <v>141</v>
      </c>
    </row>
    <row r="169" spans="1:9" x14ac:dyDescent="0.25">
      <c r="A169" t="s">
        <v>165</v>
      </c>
      <c r="B169" t="s">
        <v>770</v>
      </c>
      <c r="C169" t="s">
        <v>1207</v>
      </c>
      <c r="E169" t="s">
        <v>767</v>
      </c>
      <c r="F169" t="s">
        <v>772</v>
      </c>
      <c r="G169" t="s">
        <v>1208</v>
      </c>
      <c r="H169" t="s">
        <v>750</v>
      </c>
      <c r="I169" t="s">
        <v>141</v>
      </c>
    </row>
    <row r="170" spans="1:9" x14ac:dyDescent="0.25">
      <c r="A170" t="s">
        <v>169</v>
      </c>
      <c r="B170" t="s">
        <v>1209</v>
      </c>
      <c r="C170" t="s">
        <v>1210</v>
      </c>
      <c r="D170">
        <v>1</v>
      </c>
      <c r="E170" t="s">
        <v>747</v>
      </c>
      <c r="F170" t="s">
        <v>1211</v>
      </c>
      <c r="G170" t="s">
        <v>1212</v>
      </c>
      <c r="H170" t="s">
        <v>750</v>
      </c>
      <c r="I170" t="s">
        <v>141</v>
      </c>
    </row>
    <row r="171" spans="1:9" x14ac:dyDescent="0.25">
      <c r="A171" t="s">
        <v>169</v>
      </c>
      <c r="B171" t="s">
        <v>172</v>
      </c>
      <c r="C171" t="s">
        <v>1213</v>
      </c>
      <c r="D171">
        <v>2</v>
      </c>
      <c r="E171" t="s">
        <v>747</v>
      </c>
      <c r="F171" t="s">
        <v>1214</v>
      </c>
      <c r="G171" t="s">
        <v>1212</v>
      </c>
      <c r="H171" t="s">
        <v>750</v>
      </c>
      <c r="I171" t="s">
        <v>141</v>
      </c>
    </row>
    <row r="172" spans="1:9" x14ac:dyDescent="0.25">
      <c r="A172" t="s">
        <v>169</v>
      </c>
      <c r="B172" t="s">
        <v>1215</v>
      </c>
      <c r="C172" t="s">
        <v>1216</v>
      </c>
      <c r="D172">
        <v>3</v>
      </c>
      <c r="E172" t="s">
        <v>747</v>
      </c>
      <c r="F172" t="s">
        <v>755</v>
      </c>
      <c r="G172" t="s">
        <v>1217</v>
      </c>
      <c r="H172" t="s">
        <v>750</v>
      </c>
      <c r="I172" t="s">
        <v>141</v>
      </c>
    </row>
    <row r="173" spans="1:9" x14ac:dyDescent="0.25">
      <c r="A173" t="s">
        <v>169</v>
      </c>
      <c r="B173" t="s">
        <v>1218</v>
      </c>
      <c r="C173" t="s">
        <v>1219</v>
      </c>
      <c r="D173">
        <v>4</v>
      </c>
      <c r="E173" t="s">
        <v>747</v>
      </c>
      <c r="F173" t="s">
        <v>758</v>
      </c>
      <c r="G173" t="s">
        <v>1220</v>
      </c>
      <c r="H173" t="s">
        <v>760</v>
      </c>
      <c r="I173" t="s">
        <v>141</v>
      </c>
    </row>
    <row r="174" spans="1:9" x14ac:dyDescent="0.25">
      <c r="A174" t="s">
        <v>169</v>
      </c>
      <c r="B174" t="s">
        <v>1221</v>
      </c>
      <c r="C174" t="s">
        <v>1222</v>
      </c>
      <c r="D174">
        <v>5</v>
      </c>
      <c r="E174" t="s">
        <v>747</v>
      </c>
      <c r="F174" t="s">
        <v>763</v>
      </c>
      <c r="G174" t="s">
        <v>1223</v>
      </c>
      <c r="H174" t="s">
        <v>760</v>
      </c>
      <c r="I174" t="s">
        <v>141</v>
      </c>
    </row>
    <row r="175" spans="1:9" x14ac:dyDescent="0.25">
      <c r="A175" t="s">
        <v>169</v>
      </c>
      <c r="B175" t="s">
        <v>765</v>
      </c>
      <c r="C175" t="s">
        <v>1224</v>
      </c>
      <c r="E175" t="s">
        <v>767</v>
      </c>
      <c r="F175" t="s">
        <v>768</v>
      </c>
      <c r="G175" t="s">
        <v>1225</v>
      </c>
      <c r="H175" t="s">
        <v>750</v>
      </c>
      <c r="I175" t="s">
        <v>141</v>
      </c>
    </row>
    <row r="176" spans="1:9" x14ac:dyDescent="0.25">
      <c r="A176" t="s">
        <v>169</v>
      </c>
      <c r="B176" t="s">
        <v>770</v>
      </c>
      <c r="C176" t="s">
        <v>1226</v>
      </c>
      <c r="E176" t="s">
        <v>767</v>
      </c>
      <c r="F176" t="s">
        <v>772</v>
      </c>
      <c r="G176" t="s">
        <v>1227</v>
      </c>
      <c r="H176" t="s">
        <v>750</v>
      </c>
      <c r="I176" t="s">
        <v>141</v>
      </c>
    </row>
    <row r="177" spans="1:9" x14ac:dyDescent="0.25">
      <c r="A177" t="s">
        <v>173</v>
      </c>
      <c r="B177" t="s">
        <v>1228</v>
      </c>
      <c r="C177" t="s">
        <v>1229</v>
      </c>
      <c r="D177">
        <v>1</v>
      </c>
      <c r="E177" t="s">
        <v>747</v>
      </c>
      <c r="F177" t="s">
        <v>1230</v>
      </c>
      <c r="G177" t="s">
        <v>1231</v>
      </c>
      <c r="H177" t="s">
        <v>750</v>
      </c>
      <c r="I177" t="s">
        <v>141</v>
      </c>
    </row>
    <row r="178" spans="1:9" x14ac:dyDescent="0.25">
      <c r="A178" t="s">
        <v>173</v>
      </c>
      <c r="B178" t="s">
        <v>1232</v>
      </c>
      <c r="C178" t="s">
        <v>1233</v>
      </c>
      <c r="D178">
        <v>2</v>
      </c>
      <c r="E178" t="s">
        <v>747</v>
      </c>
      <c r="F178" t="s">
        <v>1234</v>
      </c>
      <c r="G178" t="s">
        <v>1231</v>
      </c>
      <c r="H178" t="s">
        <v>750</v>
      </c>
      <c r="I178" t="s">
        <v>141</v>
      </c>
    </row>
    <row r="179" spans="1:9" x14ac:dyDescent="0.25">
      <c r="A179" t="s">
        <v>173</v>
      </c>
      <c r="B179" t="s">
        <v>176</v>
      </c>
      <c r="C179" t="s">
        <v>1235</v>
      </c>
      <c r="D179">
        <v>3</v>
      </c>
      <c r="E179" t="s">
        <v>747</v>
      </c>
      <c r="F179" t="s">
        <v>755</v>
      </c>
      <c r="G179" t="s">
        <v>1236</v>
      </c>
      <c r="H179" t="s">
        <v>750</v>
      </c>
      <c r="I179" t="s">
        <v>141</v>
      </c>
    </row>
    <row r="180" spans="1:9" x14ac:dyDescent="0.25">
      <c r="A180" t="s">
        <v>173</v>
      </c>
      <c r="B180" t="s">
        <v>1237</v>
      </c>
      <c r="C180" t="s">
        <v>1238</v>
      </c>
      <c r="D180">
        <v>4</v>
      </c>
      <c r="E180" t="s">
        <v>747</v>
      </c>
      <c r="F180" t="s">
        <v>758</v>
      </c>
      <c r="G180" t="s">
        <v>1239</v>
      </c>
      <c r="H180" t="s">
        <v>760</v>
      </c>
      <c r="I180" t="s">
        <v>141</v>
      </c>
    </row>
    <row r="181" spans="1:9" x14ac:dyDescent="0.25">
      <c r="A181" t="s">
        <v>173</v>
      </c>
      <c r="B181" t="s">
        <v>1240</v>
      </c>
      <c r="C181" t="s">
        <v>1241</v>
      </c>
      <c r="D181">
        <v>5</v>
      </c>
      <c r="E181" t="s">
        <v>747</v>
      </c>
      <c r="F181" t="s">
        <v>763</v>
      </c>
      <c r="G181" t="s">
        <v>1242</v>
      </c>
      <c r="H181" t="s">
        <v>760</v>
      </c>
      <c r="I181" t="s">
        <v>141</v>
      </c>
    </row>
    <row r="182" spans="1:9" x14ac:dyDescent="0.25">
      <c r="A182" t="s">
        <v>173</v>
      </c>
      <c r="B182" t="s">
        <v>765</v>
      </c>
      <c r="C182" t="s">
        <v>1243</v>
      </c>
      <c r="E182" t="s">
        <v>767</v>
      </c>
      <c r="F182" t="s">
        <v>768</v>
      </c>
      <c r="G182" t="s">
        <v>1244</v>
      </c>
      <c r="H182" t="s">
        <v>750</v>
      </c>
      <c r="I182" t="s">
        <v>141</v>
      </c>
    </row>
    <row r="183" spans="1:9" x14ac:dyDescent="0.25">
      <c r="A183" t="s">
        <v>173</v>
      </c>
      <c r="B183" t="s">
        <v>770</v>
      </c>
      <c r="C183" t="s">
        <v>1245</v>
      </c>
      <c r="E183" t="s">
        <v>767</v>
      </c>
      <c r="F183" t="s">
        <v>772</v>
      </c>
      <c r="G183" t="s">
        <v>1246</v>
      </c>
      <c r="H183" t="s">
        <v>750</v>
      </c>
      <c r="I183" t="s">
        <v>141</v>
      </c>
    </row>
    <row r="184" spans="1:9" x14ac:dyDescent="0.25">
      <c r="A184" t="s">
        <v>177</v>
      </c>
      <c r="B184" t="s">
        <v>1247</v>
      </c>
      <c r="C184" t="s">
        <v>1248</v>
      </c>
      <c r="D184">
        <v>1</v>
      </c>
      <c r="E184" t="s">
        <v>747</v>
      </c>
      <c r="F184" t="s">
        <v>1249</v>
      </c>
      <c r="G184" t="s">
        <v>1250</v>
      </c>
      <c r="H184" t="s">
        <v>750</v>
      </c>
      <c r="I184" t="s">
        <v>141</v>
      </c>
    </row>
    <row r="185" spans="1:9" x14ac:dyDescent="0.25">
      <c r="A185" t="s">
        <v>177</v>
      </c>
      <c r="B185" t="s">
        <v>181</v>
      </c>
      <c r="C185" t="s">
        <v>1251</v>
      </c>
      <c r="D185">
        <v>2</v>
      </c>
      <c r="E185" t="s">
        <v>747</v>
      </c>
      <c r="F185" t="s">
        <v>1252</v>
      </c>
      <c r="G185" t="s">
        <v>1250</v>
      </c>
      <c r="H185" t="s">
        <v>750</v>
      </c>
      <c r="I185" t="s">
        <v>141</v>
      </c>
    </row>
    <row r="186" spans="1:9" x14ac:dyDescent="0.25">
      <c r="A186" t="s">
        <v>177</v>
      </c>
      <c r="B186" t="s">
        <v>1253</v>
      </c>
      <c r="C186" t="s">
        <v>1254</v>
      </c>
      <c r="D186">
        <v>3</v>
      </c>
      <c r="E186" t="s">
        <v>747</v>
      </c>
      <c r="F186" t="s">
        <v>755</v>
      </c>
      <c r="G186" t="s">
        <v>1255</v>
      </c>
      <c r="H186" t="s">
        <v>750</v>
      </c>
      <c r="I186" t="s">
        <v>141</v>
      </c>
    </row>
    <row r="187" spans="1:9" x14ac:dyDescent="0.25">
      <c r="A187" t="s">
        <v>177</v>
      </c>
      <c r="B187" t="s">
        <v>1256</v>
      </c>
      <c r="C187" t="s">
        <v>1257</v>
      </c>
      <c r="D187">
        <v>4</v>
      </c>
      <c r="E187" t="s">
        <v>747</v>
      </c>
      <c r="F187" t="s">
        <v>758</v>
      </c>
      <c r="G187" t="s">
        <v>1258</v>
      </c>
      <c r="H187" t="s">
        <v>760</v>
      </c>
      <c r="I187" t="s">
        <v>141</v>
      </c>
    </row>
    <row r="188" spans="1:9" x14ac:dyDescent="0.25">
      <c r="A188" t="s">
        <v>177</v>
      </c>
      <c r="B188" t="s">
        <v>1259</v>
      </c>
      <c r="C188" t="s">
        <v>1260</v>
      </c>
      <c r="D188">
        <v>5</v>
      </c>
      <c r="E188" t="s">
        <v>747</v>
      </c>
      <c r="F188" t="s">
        <v>763</v>
      </c>
      <c r="G188" t="s">
        <v>1261</v>
      </c>
      <c r="H188" t="s">
        <v>760</v>
      </c>
      <c r="I188" t="s">
        <v>141</v>
      </c>
    </row>
    <row r="189" spans="1:9" x14ac:dyDescent="0.25">
      <c r="A189" t="s">
        <v>177</v>
      </c>
      <c r="B189" t="s">
        <v>765</v>
      </c>
      <c r="C189" t="s">
        <v>1262</v>
      </c>
      <c r="E189" t="s">
        <v>767</v>
      </c>
      <c r="F189" t="s">
        <v>768</v>
      </c>
      <c r="G189" t="s">
        <v>1263</v>
      </c>
      <c r="H189" t="s">
        <v>750</v>
      </c>
      <c r="I189" t="s">
        <v>141</v>
      </c>
    </row>
    <row r="190" spans="1:9" x14ac:dyDescent="0.25">
      <c r="A190" t="s">
        <v>177</v>
      </c>
      <c r="B190" t="s">
        <v>770</v>
      </c>
      <c r="C190" t="s">
        <v>1264</v>
      </c>
      <c r="E190" t="s">
        <v>767</v>
      </c>
      <c r="F190" t="s">
        <v>772</v>
      </c>
      <c r="G190" t="s">
        <v>1265</v>
      </c>
      <c r="H190" t="s">
        <v>750</v>
      </c>
      <c r="I190" t="s">
        <v>141</v>
      </c>
    </row>
    <row r="191" spans="1:9" x14ac:dyDescent="0.25">
      <c r="A191" t="s">
        <v>182</v>
      </c>
      <c r="B191" t="s">
        <v>1266</v>
      </c>
      <c r="C191" t="s">
        <v>1267</v>
      </c>
      <c r="D191">
        <v>1</v>
      </c>
      <c r="E191" t="s">
        <v>747</v>
      </c>
      <c r="F191" t="s">
        <v>1268</v>
      </c>
      <c r="G191" t="s">
        <v>1269</v>
      </c>
      <c r="H191" t="s">
        <v>750</v>
      </c>
      <c r="I191" t="s">
        <v>141</v>
      </c>
    </row>
    <row r="192" spans="1:9" x14ac:dyDescent="0.25">
      <c r="A192" t="s">
        <v>182</v>
      </c>
      <c r="B192" t="s">
        <v>1270</v>
      </c>
      <c r="C192" t="s">
        <v>1271</v>
      </c>
      <c r="D192">
        <v>2</v>
      </c>
      <c r="E192" t="s">
        <v>747</v>
      </c>
      <c r="F192" t="s">
        <v>1272</v>
      </c>
      <c r="G192" t="s">
        <v>1269</v>
      </c>
      <c r="H192" t="s">
        <v>750</v>
      </c>
      <c r="I192" t="s">
        <v>141</v>
      </c>
    </row>
    <row r="193" spans="1:9" x14ac:dyDescent="0.25">
      <c r="A193" t="s">
        <v>182</v>
      </c>
      <c r="B193" t="s">
        <v>1273</v>
      </c>
      <c r="C193" t="s">
        <v>1274</v>
      </c>
      <c r="D193">
        <v>3</v>
      </c>
      <c r="E193" t="s">
        <v>747</v>
      </c>
      <c r="F193" t="s">
        <v>755</v>
      </c>
      <c r="G193" t="s">
        <v>1275</v>
      </c>
      <c r="H193" t="s">
        <v>750</v>
      </c>
      <c r="I193" t="s">
        <v>141</v>
      </c>
    </row>
    <row r="194" spans="1:9" x14ac:dyDescent="0.25">
      <c r="A194" t="s">
        <v>182</v>
      </c>
      <c r="B194" t="s">
        <v>1276</v>
      </c>
      <c r="C194" t="s">
        <v>1277</v>
      </c>
      <c r="D194">
        <v>4</v>
      </c>
      <c r="E194" t="s">
        <v>747</v>
      </c>
      <c r="F194" t="s">
        <v>758</v>
      </c>
      <c r="G194" t="s">
        <v>1278</v>
      </c>
      <c r="H194" t="s">
        <v>760</v>
      </c>
      <c r="I194" t="s">
        <v>141</v>
      </c>
    </row>
    <row r="195" spans="1:9" x14ac:dyDescent="0.25">
      <c r="A195" t="s">
        <v>182</v>
      </c>
      <c r="B195" t="s">
        <v>185</v>
      </c>
      <c r="C195" t="s">
        <v>1279</v>
      </c>
      <c r="D195">
        <v>5</v>
      </c>
      <c r="E195" t="s">
        <v>747</v>
      </c>
      <c r="F195" t="s">
        <v>763</v>
      </c>
      <c r="G195" t="s">
        <v>1280</v>
      </c>
      <c r="H195" t="s">
        <v>760</v>
      </c>
      <c r="I195" t="s">
        <v>141</v>
      </c>
    </row>
    <row r="196" spans="1:9" x14ac:dyDescent="0.25">
      <c r="A196" t="s">
        <v>182</v>
      </c>
      <c r="B196" t="s">
        <v>765</v>
      </c>
      <c r="C196" t="s">
        <v>1281</v>
      </c>
      <c r="E196" t="s">
        <v>767</v>
      </c>
      <c r="F196" t="s">
        <v>768</v>
      </c>
      <c r="G196" t="s">
        <v>1282</v>
      </c>
      <c r="H196" t="s">
        <v>750</v>
      </c>
      <c r="I196" t="s">
        <v>141</v>
      </c>
    </row>
    <row r="197" spans="1:9" x14ac:dyDescent="0.25">
      <c r="A197" t="s">
        <v>182</v>
      </c>
      <c r="B197" t="s">
        <v>770</v>
      </c>
      <c r="C197" t="s">
        <v>1283</v>
      </c>
      <c r="E197" t="s">
        <v>767</v>
      </c>
      <c r="F197" t="s">
        <v>772</v>
      </c>
      <c r="G197" t="s">
        <v>1284</v>
      </c>
      <c r="H197" t="s">
        <v>750</v>
      </c>
      <c r="I197" t="s">
        <v>141</v>
      </c>
    </row>
    <row r="198" spans="1:9" x14ac:dyDescent="0.25">
      <c r="A198" t="s">
        <v>186</v>
      </c>
      <c r="B198" t="s">
        <v>1285</v>
      </c>
      <c r="C198" t="s">
        <v>1286</v>
      </c>
      <c r="D198">
        <v>1</v>
      </c>
      <c r="E198" t="s">
        <v>747</v>
      </c>
      <c r="F198" t="s">
        <v>1287</v>
      </c>
      <c r="G198" t="s">
        <v>1288</v>
      </c>
      <c r="H198" t="s">
        <v>750</v>
      </c>
      <c r="I198" t="s">
        <v>141</v>
      </c>
    </row>
    <row r="199" spans="1:9" x14ac:dyDescent="0.25">
      <c r="A199" t="s">
        <v>186</v>
      </c>
      <c r="B199" t="s">
        <v>1289</v>
      </c>
      <c r="C199" t="s">
        <v>1290</v>
      </c>
      <c r="D199">
        <v>2</v>
      </c>
      <c r="E199" t="s">
        <v>747</v>
      </c>
      <c r="F199" t="s">
        <v>1291</v>
      </c>
      <c r="G199" t="s">
        <v>1288</v>
      </c>
      <c r="H199" t="s">
        <v>750</v>
      </c>
      <c r="I199" t="s">
        <v>141</v>
      </c>
    </row>
    <row r="200" spans="1:9" x14ac:dyDescent="0.25">
      <c r="A200" t="s">
        <v>186</v>
      </c>
      <c r="B200" t="s">
        <v>189</v>
      </c>
      <c r="C200" t="s">
        <v>1292</v>
      </c>
      <c r="D200">
        <v>3</v>
      </c>
      <c r="E200" t="s">
        <v>747</v>
      </c>
      <c r="F200" t="s">
        <v>755</v>
      </c>
      <c r="G200" t="s">
        <v>1293</v>
      </c>
      <c r="H200" t="s">
        <v>750</v>
      </c>
      <c r="I200" t="s">
        <v>141</v>
      </c>
    </row>
    <row r="201" spans="1:9" x14ac:dyDescent="0.25">
      <c r="A201" t="s">
        <v>186</v>
      </c>
      <c r="B201" t="s">
        <v>1294</v>
      </c>
      <c r="C201" t="s">
        <v>1295</v>
      </c>
      <c r="D201">
        <v>4</v>
      </c>
      <c r="E201" t="s">
        <v>747</v>
      </c>
      <c r="F201" t="s">
        <v>758</v>
      </c>
      <c r="G201" t="s">
        <v>1296</v>
      </c>
      <c r="H201" t="s">
        <v>760</v>
      </c>
      <c r="I201" t="s">
        <v>141</v>
      </c>
    </row>
    <row r="202" spans="1:9" x14ac:dyDescent="0.25">
      <c r="A202" t="s">
        <v>186</v>
      </c>
      <c r="B202" t="s">
        <v>1297</v>
      </c>
      <c r="C202" t="s">
        <v>1298</v>
      </c>
      <c r="D202">
        <v>5</v>
      </c>
      <c r="E202" t="s">
        <v>747</v>
      </c>
      <c r="F202" t="s">
        <v>763</v>
      </c>
      <c r="G202" t="s">
        <v>1299</v>
      </c>
      <c r="H202" t="s">
        <v>760</v>
      </c>
      <c r="I202" t="s">
        <v>141</v>
      </c>
    </row>
    <row r="203" spans="1:9" x14ac:dyDescent="0.25">
      <c r="A203" t="s">
        <v>186</v>
      </c>
      <c r="B203" t="s">
        <v>765</v>
      </c>
      <c r="C203" t="s">
        <v>1300</v>
      </c>
      <c r="E203" t="s">
        <v>767</v>
      </c>
      <c r="F203" t="s">
        <v>768</v>
      </c>
      <c r="G203" t="s">
        <v>1301</v>
      </c>
      <c r="H203" t="s">
        <v>750</v>
      </c>
      <c r="I203" t="s">
        <v>141</v>
      </c>
    </row>
    <row r="204" spans="1:9" x14ac:dyDescent="0.25">
      <c r="A204" t="s">
        <v>186</v>
      </c>
      <c r="B204" t="s">
        <v>770</v>
      </c>
      <c r="C204" t="s">
        <v>1302</v>
      </c>
      <c r="E204" t="s">
        <v>767</v>
      </c>
      <c r="F204" t="s">
        <v>772</v>
      </c>
      <c r="G204" t="s">
        <v>1303</v>
      </c>
      <c r="H204" t="s">
        <v>750</v>
      </c>
      <c r="I204" t="s">
        <v>141</v>
      </c>
    </row>
    <row r="205" spans="1:9" x14ac:dyDescent="0.25">
      <c r="A205" t="s">
        <v>190</v>
      </c>
      <c r="B205" t="s">
        <v>1304</v>
      </c>
      <c r="C205" t="s">
        <v>1305</v>
      </c>
      <c r="D205">
        <v>1</v>
      </c>
      <c r="E205" t="s">
        <v>747</v>
      </c>
      <c r="F205" t="s">
        <v>1306</v>
      </c>
      <c r="G205" t="s">
        <v>1307</v>
      </c>
      <c r="H205" t="s">
        <v>750</v>
      </c>
      <c r="I205" t="s">
        <v>141</v>
      </c>
    </row>
    <row r="206" spans="1:9" x14ac:dyDescent="0.25">
      <c r="A206" t="s">
        <v>190</v>
      </c>
      <c r="B206" t="s">
        <v>1308</v>
      </c>
      <c r="C206" t="s">
        <v>1309</v>
      </c>
      <c r="D206">
        <v>2</v>
      </c>
      <c r="E206" t="s">
        <v>747</v>
      </c>
      <c r="F206" t="s">
        <v>1310</v>
      </c>
      <c r="G206" t="s">
        <v>1307</v>
      </c>
      <c r="H206" t="s">
        <v>750</v>
      </c>
      <c r="I206" t="s">
        <v>141</v>
      </c>
    </row>
    <row r="207" spans="1:9" x14ac:dyDescent="0.25">
      <c r="A207" t="s">
        <v>190</v>
      </c>
      <c r="B207" t="s">
        <v>1311</v>
      </c>
      <c r="C207" t="s">
        <v>1312</v>
      </c>
      <c r="D207">
        <v>3</v>
      </c>
      <c r="E207" t="s">
        <v>747</v>
      </c>
      <c r="F207" t="s">
        <v>755</v>
      </c>
      <c r="G207" t="s">
        <v>1313</v>
      </c>
      <c r="H207" t="s">
        <v>750</v>
      </c>
      <c r="I207" t="s">
        <v>141</v>
      </c>
    </row>
    <row r="208" spans="1:9" x14ac:dyDescent="0.25">
      <c r="A208" t="s">
        <v>190</v>
      </c>
      <c r="B208" t="s">
        <v>193</v>
      </c>
      <c r="C208" t="s">
        <v>1314</v>
      </c>
      <c r="D208">
        <v>4</v>
      </c>
      <c r="E208" t="s">
        <v>747</v>
      </c>
      <c r="F208" t="s">
        <v>758</v>
      </c>
      <c r="G208" t="s">
        <v>1315</v>
      </c>
      <c r="H208" t="s">
        <v>760</v>
      </c>
      <c r="I208" t="s">
        <v>141</v>
      </c>
    </row>
    <row r="209" spans="1:9" x14ac:dyDescent="0.25">
      <c r="A209" t="s">
        <v>190</v>
      </c>
      <c r="B209" t="s">
        <v>1316</v>
      </c>
      <c r="C209" t="s">
        <v>1317</v>
      </c>
      <c r="D209">
        <v>5</v>
      </c>
      <c r="E209" t="s">
        <v>747</v>
      </c>
      <c r="F209" t="s">
        <v>763</v>
      </c>
      <c r="G209" t="s">
        <v>1318</v>
      </c>
      <c r="H209" t="s">
        <v>760</v>
      </c>
      <c r="I209" t="s">
        <v>141</v>
      </c>
    </row>
    <row r="210" spans="1:9" x14ac:dyDescent="0.25">
      <c r="A210" t="s">
        <v>190</v>
      </c>
      <c r="B210" t="s">
        <v>765</v>
      </c>
      <c r="C210" t="s">
        <v>1319</v>
      </c>
      <c r="E210" t="s">
        <v>767</v>
      </c>
      <c r="F210" t="s">
        <v>768</v>
      </c>
      <c r="G210" t="s">
        <v>1320</v>
      </c>
      <c r="H210" t="s">
        <v>750</v>
      </c>
      <c r="I210" t="s">
        <v>141</v>
      </c>
    </row>
    <row r="211" spans="1:9" x14ac:dyDescent="0.25">
      <c r="A211" t="s">
        <v>190</v>
      </c>
      <c r="B211" t="s">
        <v>770</v>
      </c>
      <c r="C211" t="s">
        <v>1321</v>
      </c>
      <c r="E211" t="s">
        <v>767</v>
      </c>
      <c r="F211" t="s">
        <v>772</v>
      </c>
      <c r="G211" t="s">
        <v>1322</v>
      </c>
      <c r="H211" t="s">
        <v>750</v>
      </c>
      <c r="I211" t="s">
        <v>141</v>
      </c>
    </row>
    <row r="212" spans="1:9" x14ac:dyDescent="0.25">
      <c r="A212" t="s">
        <v>194</v>
      </c>
      <c r="B212" t="s">
        <v>1323</v>
      </c>
      <c r="C212" t="s">
        <v>1324</v>
      </c>
      <c r="D212">
        <v>1</v>
      </c>
      <c r="E212" t="s">
        <v>747</v>
      </c>
      <c r="F212" t="s">
        <v>1325</v>
      </c>
      <c r="G212" t="s">
        <v>1326</v>
      </c>
      <c r="H212" t="s">
        <v>750</v>
      </c>
      <c r="I212" t="s">
        <v>141</v>
      </c>
    </row>
    <row r="213" spans="1:9" x14ac:dyDescent="0.25">
      <c r="A213" t="s">
        <v>194</v>
      </c>
      <c r="B213" t="s">
        <v>1327</v>
      </c>
      <c r="C213" t="s">
        <v>1328</v>
      </c>
      <c r="D213">
        <v>2</v>
      </c>
      <c r="E213" t="s">
        <v>747</v>
      </c>
      <c r="F213" t="s">
        <v>1329</v>
      </c>
      <c r="G213" t="s">
        <v>1326</v>
      </c>
      <c r="H213" t="s">
        <v>750</v>
      </c>
      <c r="I213" t="s">
        <v>141</v>
      </c>
    </row>
    <row r="214" spans="1:9" x14ac:dyDescent="0.25">
      <c r="A214" t="s">
        <v>194</v>
      </c>
      <c r="B214" t="s">
        <v>198</v>
      </c>
      <c r="C214" t="s">
        <v>1330</v>
      </c>
      <c r="D214">
        <v>3</v>
      </c>
      <c r="E214" t="s">
        <v>747</v>
      </c>
      <c r="F214" t="s">
        <v>755</v>
      </c>
      <c r="G214" t="s">
        <v>1331</v>
      </c>
      <c r="H214" t="s">
        <v>750</v>
      </c>
      <c r="I214" t="s">
        <v>141</v>
      </c>
    </row>
    <row r="215" spans="1:9" x14ac:dyDescent="0.25">
      <c r="A215" t="s">
        <v>194</v>
      </c>
      <c r="B215" t="s">
        <v>1332</v>
      </c>
      <c r="C215" t="s">
        <v>1333</v>
      </c>
      <c r="D215">
        <v>4</v>
      </c>
      <c r="E215" t="s">
        <v>747</v>
      </c>
      <c r="F215" t="s">
        <v>758</v>
      </c>
      <c r="G215" t="s">
        <v>1334</v>
      </c>
      <c r="H215" t="s">
        <v>760</v>
      </c>
      <c r="I215" t="s">
        <v>141</v>
      </c>
    </row>
    <row r="216" spans="1:9" x14ac:dyDescent="0.25">
      <c r="A216" t="s">
        <v>194</v>
      </c>
      <c r="B216" t="s">
        <v>1335</v>
      </c>
      <c r="C216" t="s">
        <v>1336</v>
      </c>
      <c r="D216">
        <v>5</v>
      </c>
      <c r="E216" t="s">
        <v>747</v>
      </c>
      <c r="F216" t="s">
        <v>763</v>
      </c>
      <c r="G216" t="s">
        <v>1337</v>
      </c>
      <c r="H216" t="s">
        <v>760</v>
      </c>
      <c r="I216" t="s">
        <v>141</v>
      </c>
    </row>
    <row r="217" spans="1:9" x14ac:dyDescent="0.25">
      <c r="A217" t="s">
        <v>194</v>
      </c>
      <c r="B217" t="s">
        <v>765</v>
      </c>
      <c r="C217" t="s">
        <v>1338</v>
      </c>
      <c r="E217" t="s">
        <v>767</v>
      </c>
      <c r="F217" t="s">
        <v>768</v>
      </c>
      <c r="G217" t="s">
        <v>1339</v>
      </c>
      <c r="H217" t="s">
        <v>750</v>
      </c>
      <c r="I217" t="s">
        <v>141</v>
      </c>
    </row>
    <row r="218" spans="1:9" x14ac:dyDescent="0.25">
      <c r="A218" t="s">
        <v>194</v>
      </c>
      <c r="B218" t="s">
        <v>770</v>
      </c>
      <c r="C218" t="s">
        <v>1340</v>
      </c>
      <c r="E218" t="s">
        <v>767</v>
      </c>
      <c r="F218" t="s">
        <v>772</v>
      </c>
      <c r="G218" t="s">
        <v>1341</v>
      </c>
      <c r="H218" t="s">
        <v>750</v>
      </c>
      <c r="I218" t="s">
        <v>141</v>
      </c>
    </row>
    <row r="219" spans="1:9" x14ac:dyDescent="0.25">
      <c r="A219" t="s">
        <v>200</v>
      </c>
      <c r="B219" t="s">
        <v>1342</v>
      </c>
      <c r="C219" t="s">
        <v>1343</v>
      </c>
      <c r="D219">
        <v>1</v>
      </c>
      <c r="E219" t="s">
        <v>747</v>
      </c>
      <c r="F219" t="s">
        <v>1344</v>
      </c>
      <c r="G219" t="s">
        <v>1345</v>
      </c>
      <c r="H219" t="s">
        <v>750</v>
      </c>
      <c r="I219" t="s">
        <v>141</v>
      </c>
    </row>
    <row r="220" spans="1:9" x14ac:dyDescent="0.25">
      <c r="A220" t="s">
        <v>200</v>
      </c>
      <c r="B220" t="s">
        <v>1346</v>
      </c>
      <c r="C220" t="s">
        <v>1347</v>
      </c>
      <c r="D220">
        <v>2</v>
      </c>
      <c r="E220" t="s">
        <v>747</v>
      </c>
      <c r="F220" t="s">
        <v>1348</v>
      </c>
      <c r="G220" t="s">
        <v>1345</v>
      </c>
      <c r="H220" t="s">
        <v>750</v>
      </c>
      <c r="I220" t="s">
        <v>141</v>
      </c>
    </row>
    <row r="221" spans="1:9" x14ac:dyDescent="0.25">
      <c r="A221" t="s">
        <v>200</v>
      </c>
      <c r="B221" t="s">
        <v>1349</v>
      </c>
      <c r="C221" t="s">
        <v>1350</v>
      </c>
      <c r="D221">
        <v>3</v>
      </c>
      <c r="E221" t="s">
        <v>747</v>
      </c>
      <c r="F221" t="s">
        <v>755</v>
      </c>
      <c r="G221" t="s">
        <v>1351</v>
      </c>
      <c r="H221" t="s">
        <v>750</v>
      </c>
      <c r="I221" t="s">
        <v>141</v>
      </c>
    </row>
    <row r="222" spans="1:9" x14ac:dyDescent="0.25">
      <c r="A222" t="s">
        <v>200</v>
      </c>
      <c r="B222" t="s">
        <v>203</v>
      </c>
      <c r="C222" t="s">
        <v>1352</v>
      </c>
      <c r="D222">
        <v>4</v>
      </c>
      <c r="E222" t="s">
        <v>747</v>
      </c>
      <c r="F222" t="s">
        <v>758</v>
      </c>
      <c r="G222" t="s">
        <v>1353</v>
      </c>
      <c r="H222" t="s">
        <v>760</v>
      </c>
      <c r="I222" t="s">
        <v>141</v>
      </c>
    </row>
    <row r="223" spans="1:9" x14ac:dyDescent="0.25">
      <c r="A223" t="s">
        <v>200</v>
      </c>
      <c r="B223" t="s">
        <v>1354</v>
      </c>
      <c r="C223" t="s">
        <v>1355</v>
      </c>
      <c r="D223">
        <v>5</v>
      </c>
      <c r="E223" t="s">
        <v>747</v>
      </c>
      <c r="F223" t="s">
        <v>763</v>
      </c>
      <c r="G223" t="s">
        <v>1356</v>
      </c>
      <c r="H223" t="s">
        <v>760</v>
      </c>
      <c r="I223" t="s">
        <v>141</v>
      </c>
    </row>
    <row r="224" spans="1:9" x14ac:dyDescent="0.25">
      <c r="A224" t="s">
        <v>200</v>
      </c>
      <c r="B224" t="s">
        <v>765</v>
      </c>
      <c r="C224" t="s">
        <v>1357</v>
      </c>
      <c r="E224" t="s">
        <v>767</v>
      </c>
      <c r="F224" t="s">
        <v>768</v>
      </c>
      <c r="G224" t="s">
        <v>1358</v>
      </c>
      <c r="H224" t="s">
        <v>750</v>
      </c>
      <c r="I224" t="s">
        <v>141</v>
      </c>
    </row>
    <row r="225" spans="1:9" x14ac:dyDescent="0.25">
      <c r="A225" t="s">
        <v>200</v>
      </c>
      <c r="B225" t="s">
        <v>770</v>
      </c>
      <c r="C225" t="s">
        <v>1359</v>
      </c>
      <c r="E225" t="s">
        <v>767</v>
      </c>
      <c r="F225" t="s">
        <v>772</v>
      </c>
      <c r="G225" t="s">
        <v>1360</v>
      </c>
      <c r="H225" t="s">
        <v>750</v>
      </c>
      <c r="I225" t="s">
        <v>141</v>
      </c>
    </row>
    <row r="226" spans="1:9" x14ac:dyDescent="0.25">
      <c r="A226" t="s">
        <v>204</v>
      </c>
      <c r="B226" t="s">
        <v>1361</v>
      </c>
      <c r="C226" t="s">
        <v>1362</v>
      </c>
      <c r="D226">
        <v>1</v>
      </c>
      <c r="E226" t="s">
        <v>747</v>
      </c>
      <c r="F226" t="s">
        <v>1363</v>
      </c>
      <c r="G226" t="s">
        <v>1364</v>
      </c>
      <c r="H226" t="s">
        <v>750</v>
      </c>
      <c r="I226" t="s">
        <v>141</v>
      </c>
    </row>
    <row r="227" spans="1:9" x14ac:dyDescent="0.25">
      <c r="A227" t="s">
        <v>204</v>
      </c>
      <c r="B227" t="s">
        <v>1365</v>
      </c>
      <c r="C227" t="s">
        <v>1366</v>
      </c>
      <c r="D227">
        <v>2</v>
      </c>
      <c r="E227" t="s">
        <v>747</v>
      </c>
      <c r="F227" t="s">
        <v>1367</v>
      </c>
      <c r="G227" t="s">
        <v>1364</v>
      </c>
      <c r="H227" t="s">
        <v>750</v>
      </c>
      <c r="I227" t="s">
        <v>141</v>
      </c>
    </row>
    <row r="228" spans="1:9" x14ac:dyDescent="0.25">
      <c r="A228" t="s">
        <v>204</v>
      </c>
      <c r="B228" t="s">
        <v>1368</v>
      </c>
      <c r="C228" t="s">
        <v>1369</v>
      </c>
      <c r="D228">
        <v>3</v>
      </c>
      <c r="E228" t="s">
        <v>747</v>
      </c>
      <c r="F228" t="s">
        <v>755</v>
      </c>
      <c r="G228" t="s">
        <v>1370</v>
      </c>
      <c r="H228" t="s">
        <v>750</v>
      </c>
      <c r="I228" t="s">
        <v>141</v>
      </c>
    </row>
    <row r="229" spans="1:9" x14ac:dyDescent="0.25">
      <c r="A229" t="s">
        <v>204</v>
      </c>
      <c r="B229" t="s">
        <v>207</v>
      </c>
      <c r="C229" t="s">
        <v>1371</v>
      </c>
      <c r="D229">
        <v>4</v>
      </c>
      <c r="E229" t="s">
        <v>747</v>
      </c>
      <c r="F229" t="s">
        <v>758</v>
      </c>
      <c r="G229" t="s">
        <v>1372</v>
      </c>
      <c r="H229" t="s">
        <v>760</v>
      </c>
      <c r="I229" t="s">
        <v>141</v>
      </c>
    </row>
    <row r="230" spans="1:9" x14ac:dyDescent="0.25">
      <c r="A230" t="s">
        <v>204</v>
      </c>
      <c r="B230" t="s">
        <v>1373</v>
      </c>
      <c r="C230" t="s">
        <v>1374</v>
      </c>
      <c r="D230">
        <v>5</v>
      </c>
      <c r="E230" t="s">
        <v>747</v>
      </c>
      <c r="F230" t="s">
        <v>763</v>
      </c>
      <c r="G230" t="s">
        <v>1375</v>
      </c>
      <c r="H230" t="s">
        <v>760</v>
      </c>
      <c r="I230" t="s">
        <v>141</v>
      </c>
    </row>
    <row r="231" spans="1:9" x14ac:dyDescent="0.25">
      <c r="A231" t="s">
        <v>204</v>
      </c>
      <c r="B231" t="s">
        <v>765</v>
      </c>
      <c r="C231" t="s">
        <v>1376</v>
      </c>
      <c r="E231" t="s">
        <v>767</v>
      </c>
      <c r="F231" t="s">
        <v>768</v>
      </c>
      <c r="G231" t="s">
        <v>1377</v>
      </c>
      <c r="H231" t="s">
        <v>750</v>
      </c>
      <c r="I231" t="s">
        <v>141</v>
      </c>
    </row>
    <row r="232" spans="1:9" x14ac:dyDescent="0.25">
      <c r="A232" t="s">
        <v>204</v>
      </c>
      <c r="B232" t="s">
        <v>770</v>
      </c>
      <c r="C232" t="s">
        <v>1378</v>
      </c>
      <c r="E232" t="s">
        <v>767</v>
      </c>
      <c r="F232" t="s">
        <v>772</v>
      </c>
      <c r="G232" t="s">
        <v>1379</v>
      </c>
      <c r="H232" t="s">
        <v>750</v>
      </c>
      <c r="I232" t="s">
        <v>141</v>
      </c>
    </row>
    <row r="233" spans="1:9" x14ac:dyDescent="0.25">
      <c r="A233" t="s">
        <v>208</v>
      </c>
      <c r="B233" t="s">
        <v>1380</v>
      </c>
      <c r="C233" t="s">
        <v>1381</v>
      </c>
      <c r="D233">
        <v>1</v>
      </c>
      <c r="E233" t="s">
        <v>747</v>
      </c>
      <c r="F233" t="s">
        <v>1382</v>
      </c>
      <c r="G233" t="s">
        <v>1383</v>
      </c>
      <c r="H233" t="s">
        <v>750</v>
      </c>
      <c r="I233" t="s">
        <v>209</v>
      </c>
    </row>
    <row r="234" spans="1:9" x14ac:dyDescent="0.25">
      <c r="A234" t="s">
        <v>208</v>
      </c>
      <c r="B234" t="s">
        <v>1384</v>
      </c>
      <c r="C234" t="s">
        <v>1385</v>
      </c>
      <c r="D234">
        <v>2</v>
      </c>
      <c r="E234" t="s">
        <v>747</v>
      </c>
      <c r="F234" t="s">
        <v>1386</v>
      </c>
      <c r="G234" t="s">
        <v>1383</v>
      </c>
      <c r="H234" t="s">
        <v>750</v>
      </c>
      <c r="I234" t="s">
        <v>209</v>
      </c>
    </row>
    <row r="235" spans="1:9" x14ac:dyDescent="0.25">
      <c r="A235" t="s">
        <v>208</v>
      </c>
      <c r="B235" t="s">
        <v>213</v>
      </c>
      <c r="C235" t="s">
        <v>1387</v>
      </c>
      <c r="D235">
        <v>3</v>
      </c>
      <c r="E235" t="s">
        <v>747</v>
      </c>
      <c r="F235" t="s">
        <v>755</v>
      </c>
      <c r="G235" t="s">
        <v>1388</v>
      </c>
      <c r="H235" t="s">
        <v>750</v>
      </c>
      <c r="I235" t="s">
        <v>209</v>
      </c>
    </row>
    <row r="236" spans="1:9" x14ac:dyDescent="0.25">
      <c r="A236" t="s">
        <v>208</v>
      </c>
      <c r="B236" t="s">
        <v>1389</v>
      </c>
      <c r="C236" t="s">
        <v>1390</v>
      </c>
      <c r="D236">
        <v>4</v>
      </c>
      <c r="E236" t="s">
        <v>747</v>
      </c>
      <c r="F236" t="s">
        <v>758</v>
      </c>
      <c r="G236" t="s">
        <v>1391</v>
      </c>
      <c r="H236" t="s">
        <v>760</v>
      </c>
      <c r="I236" t="s">
        <v>209</v>
      </c>
    </row>
    <row r="237" spans="1:9" x14ac:dyDescent="0.25">
      <c r="A237" t="s">
        <v>208</v>
      </c>
      <c r="B237" t="s">
        <v>1392</v>
      </c>
      <c r="C237" t="s">
        <v>1393</v>
      </c>
      <c r="D237">
        <v>5</v>
      </c>
      <c r="E237" t="s">
        <v>747</v>
      </c>
      <c r="F237" t="s">
        <v>763</v>
      </c>
      <c r="G237" t="s">
        <v>1394</v>
      </c>
      <c r="H237" t="s">
        <v>760</v>
      </c>
      <c r="I237" t="s">
        <v>209</v>
      </c>
    </row>
    <row r="238" spans="1:9" x14ac:dyDescent="0.25">
      <c r="A238" t="s">
        <v>208</v>
      </c>
      <c r="B238" t="s">
        <v>765</v>
      </c>
      <c r="C238" t="s">
        <v>1395</v>
      </c>
      <c r="E238" t="s">
        <v>767</v>
      </c>
      <c r="F238" t="s">
        <v>768</v>
      </c>
      <c r="G238" t="s">
        <v>1396</v>
      </c>
      <c r="H238" t="s">
        <v>750</v>
      </c>
      <c r="I238" t="s">
        <v>209</v>
      </c>
    </row>
    <row r="239" spans="1:9" x14ac:dyDescent="0.25">
      <c r="A239" t="s">
        <v>208</v>
      </c>
      <c r="B239" t="s">
        <v>770</v>
      </c>
      <c r="C239" t="s">
        <v>1397</v>
      </c>
      <c r="E239" t="s">
        <v>767</v>
      </c>
      <c r="F239" t="s">
        <v>772</v>
      </c>
      <c r="G239" t="s">
        <v>1398</v>
      </c>
      <c r="H239" t="s">
        <v>750</v>
      </c>
      <c r="I239" t="s">
        <v>209</v>
      </c>
    </row>
    <row r="240" spans="1:9" x14ac:dyDescent="0.25">
      <c r="A240" t="s">
        <v>214</v>
      </c>
      <c r="B240" t="s">
        <v>1399</v>
      </c>
      <c r="C240" t="s">
        <v>1400</v>
      </c>
      <c r="D240">
        <v>1</v>
      </c>
      <c r="E240" t="s">
        <v>747</v>
      </c>
      <c r="F240" t="s">
        <v>1401</v>
      </c>
      <c r="G240" t="s">
        <v>1402</v>
      </c>
      <c r="H240" t="s">
        <v>750</v>
      </c>
      <c r="I240" t="s">
        <v>209</v>
      </c>
    </row>
    <row r="241" spans="1:9" x14ac:dyDescent="0.25">
      <c r="A241" t="s">
        <v>214</v>
      </c>
      <c r="B241" t="s">
        <v>1403</v>
      </c>
      <c r="C241" t="s">
        <v>1404</v>
      </c>
      <c r="D241">
        <v>2</v>
      </c>
      <c r="E241" t="s">
        <v>747</v>
      </c>
      <c r="F241" t="s">
        <v>1405</v>
      </c>
      <c r="G241" t="s">
        <v>1402</v>
      </c>
      <c r="H241" t="s">
        <v>750</v>
      </c>
      <c r="I241" t="s">
        <v>209</v>
      </c>
    </row>
    <row r="242" spans="1:9" x14ac:dyDescent="0.25">
      <c r="A242" t="s">
        <v>214</v>
      </c>
      <c r="B242" t="s">
        <v>1406</v>
      </c>
      <c r="C242" t="s">
        <v>1407</v>
      </c>
      <c r="D242">
        <v>3</v>
      </c>
      <c r="E242" t="s">
        <v>747</v>
      </c>
      <c r="F242" t="s">
        <v>755</v>
      </c>
      <c r="G242" t="s">
        <v>1408</v>
      </c>
      <c r="H242" t="s">
        <v>750</v>
      </c>
      <c r="I242" t="s">
        <v>209</v>
      </c>
    </row>
    <row r="243" spans="1:9" x14ac:dyDescent="0.25">
      <c r="A243" t="s">
        <v>214</v>
      </c>
      <c r="B243" t="s">
        <v>217</v>
      </c>
      <c r="C243" t="s">
        <v>1409</v>
      </c>
      <c r="D243">
        <v>4</v>
      </c>
      <c r="E243" t="s">
        <v>747</v>
      </c>
      <c r="F243" t="s">
        <v>758</v>
      </c>
      <c r="G243" t="s">
        <v>1410</v>
      </c>
      <c r="H243" t="s">
        <v>760</v>
      </c>
      <c r="I243" t="s">
        <v>209</v>
      </c>
    </row>
    <row r="244" spans="1:9" x14ac:dyDescent="0.25">
      <c r="A244" t="s">
        <v>214</v>
      </c>
      <c r="B244" t="s">
        <v>1411</v>
      </c>
      <c r="C244" t="s">
        <v>1412</v>
      </c>
      <c r="D244">
        <v>5</v>
      </c>
      <c r="E244" t="s">
        <v>747</v>
      </c>
      <c r="F244" t="s">
        <v>763</v>
      </c>
      <c r="G244" t="s">
        <v>1413</v>
      </c>
      <c r="H244" t="s">
        <v>760</v>
      </c>
      <c r="I244" t="s">
        <v>209</v>
      </c>
    </row>
    <row r="245" spans="1:9" x14ac:dyDescent="0.25">
      <c r="A245" t="s">
        <v>214</v>
      </c>
      <c r="B245" t="s">
        <v>765</v>
      </c>
      <c r="C245" t="s">
        <v>1414</v>
      </c>
      <c r="E245" t="s">
        <v>767</v>
      </c>
      <c r="F245" t="s">
        <v>768</v>
      </c>
      <c r="G245" t="s">
        <v>1415</v>
      </c>
      <c r="H245" t="s">
        <v>750</v>
      </c>
      <c r="I245" t="s">
        <v>209</v>
      </c>
    </row>
    <row r="246" spans="1:9" x14ac:dyDescent="0.25">
      <c r="A246" t="s">
        <v>214</v>
      </c>
      <c r="B246" t="s">
        <v>770</v>
      </c>
      <c r="C246" t="s">
        <v>1416</v>
      </c>
      <c r="E246" t="s">
        <v>767</v>
      </c>
      <c r="F246" t="s">
        <v>772</v>
      </c>
      <c r="G246" t="s">
        <v>1417</v>
      </c>
      <c r="H246" t="s">
        <v>750</v>
      </c>
      <c r="I246" t="s">
        <v>209</v>
      </c>
    </row>
    <row r="247" spans="1:9" x14ac:dyDescent="0.25">
      <c r="A247" t="s">
        <v>218</v>
      </c>
      <c r="B247" t="s">
        <v>1418</v>
      </c>
      <c r="C247" t="s">
        <v>1419</v>
      </c>
      <c r="D247">
        <v>1</v>
      </c>
      <c r="E247" t="s">
        <v>747</v>
      </c>
      <c r="F247" t="s">
        <v>1420</v>
      </c>
      <c r="G247" t="s">
        <v>1421</v>
      </c>
      <c r="H247" t="s">
        <v>750</v>
      </c>
      <c r="I247" t="s">
        <v>209</v>
      </c>
    </row>
    <row r="248" spans="1:9" x14ac:dyDescent="0.25">
      <c r="A248" t="s">
        <v>218</v>
      </c>
      <c r="B248" t="s">
        <v>1422</v>
      </c>
      <c r="C248" t="s">
        <v>1423</v>
      </c>
      <c r="D248">
        <v>2</v>
      </c>
      <c r="E248" t="s">
        <v>747</v>
      </c>
      <c r="F248" t="s">
        <v>1424</v>
      </c>
      <c r="G248" t="s">
        <v>1421</v>
      </c>
      <c r="H248" t="s">
        <v>750</v>
      </c>
      <c r="I248" t="s">
        <v>209</v>
      </c>
    </row>
    <row r="249" spans="1:9" x14ac:dyDescent="0.25">
      <c r="A249" t="s">
        <v>218</v>
      </c>
      <c r="B249" t="s">
        <v>1425</v>
      </c>
      <c r="C249" t="s">
        <v>1426</v>
      </c>
      <c r="D249">
        <v>3</v>
      </c>
      <c r="E249" t="s">
        <v>747</v>
      </c>
      <c r="F249" t="s">
        <v>755</v>
      </c>
      <c r="G249" t="s">
        <v>1427</v>
      </c>
      <c r="H249" t="s">
        <v>750</v>
      </c>
      <c r="I249" t="s">
        <v>209</v>
      </c>
    </row>
    <row r="250" spans="1:9" x14ac:dyDescent="0.25">
      <c r="A250" t="s">
        <v>218</v>
      </c>
      <c r="B250" t="s">
        <v>221</v>
      </c>
      <c r="C250" t="s">
        <v>1428</v>
      </c>
      <c r="D250">
        <v>4</v>
      </c>
      <c r="E250" t="s">
        <v>747</v>
      </c>
      <c r="F250" t="s">
        <v>758</v>
      </c>
      <c r="G250" t="s">
        <v>1429</v>
      </c>
      <c r="H250" t="s">
        <v>760</v>
      </c>
      <c r="I250" t="s">
        <v>209</v>
      </c>
    </row>
    <row r="251" spans="1:9" x14ac:dyDescent="0.25">
      <c r="A251" t="s">
        <v>218</v>
      </c>
      <c r="B251" t="s">
        <v>1430</v>
      </c>
      <c r="C251" t="s">
        <v>1431</v>
      </c>
      <c r="D251">
        <v>5</v>
      </c>
      <c r="E251" t="s">
        <v>747</v>
      </c>
      <c r="F251" t="s">
        <v>763</v>
      </c>
      <c r="G251" t="s">
        <v>1432</v>
      </c>
      <c r="H251" t="s">
        <v>760</v>
      </c>
      <c r="I251" t="s">
        <v>209</v>
      </c>
    </row>
    <row r="252" spans="1:9" x14ac:dyDescent="0.25">
      <c r="A252" t="s">
        <v>218</v>
      </c>
      <c r="B252" t="s">
        <v>765</v>
      </c>
      <c r="C252" t="s">
        <v>1433</v>
      </c>
      <c r="E252" t="s">
        <v>767</v>
      </c>
      <c r="F252" t="s">
        <v>768</v>
      </c>
      <c r="G252" t="s">
        <v>1434</v>
      </c>
      <c r="H252" t="s">
        <v>750</v>
      </c>
      <c r="I252" t="s">
        <v>209</v>
      </c>
    </row>
    <row r="253" spans="1:9" x14ac:dyDescent="0.25">
      <c r="A253" t="s">
        <v>218</v>
      </c>
      <c r="B253" t="s">
        <v>770</v>
      </c>
      <c r="C253" t="s">
        <v>1435</v>
      </c>
      <c r="E253" t="s">
        <v>767</v>
      </c>
      <c r="F253" t="s">
        <v>772</v>
      </c>
      <c r="G253" t="s">
        <v>1436</v>
      </c>
      <c r="H253" t="s">
        <v>750</v>
      </c>
      <c r="I253" t="s">
        <v>209</v>
      </c>
    </row>
    <row r="254" spans="1:9" x14ac:dyDescent="0.25">
      <c r="A254" t="s">
        <v>222</v>
      </c>
      <c r="B254" t="s">
        <v>1437</v>
      </c>
      <c r="C254" t="s">
        <v>1438</v>
      </c>
      <c r="D254">
        <v>1</v>
      </c>
      <c r="E254" t="s">
        <v>747</v>
      </c>
      <c r="F254" t="s">
        <v>1439</v>
      </c>
      <c r="G254" t="s">
        <v>1440</v>
      </c>
      <c r="H254" t="s">
        <v>750</v>
      </c>
      <c r="I254" t="s">
        <v>209</v>
      </c>
    </row>
    <row r="255" spans="1:9" x14ac:dyDescent="0.25">
      <c r="A255" t="s">
        <v>222</v>
      </c>
      <c r="B255" t="s">
        <v>1441</v>
      </c>
      <c r="C255" t="s">
        <v>1442</v>
      </c>
      <c r="D255">
        <v>2</v>
      </c>
      <c r="E255" t="s">
        <v>747</v>
      </c>
      <c r="F255" t="s">
        <v>1443</v>
      </c>
      <c r="G255" t="s">
        <v>1440</v>
      </c>
      <c r="H255" t="s">
        <v>750</v>
      </c>
      <c r="I255" t="s">
        <v>209</v>
      </c>
    </row>
    <row r="256" spans="1:9" x14ac:dyDescent="0.25">
      <c r="A256" t="s">
        <v>222</v>
      </c>
      <c r="B256" t="s">
        <v>225</v>
      </c>
      <c r="C256" t="s">
        <v>1444</v>
      </c>
      <c r="D256">
        <v>3</v>
      </c>
      <c r="E256" t="s">
        <v>747</v>
      </c>
      <c r="F256" t="s">
        <v>755</v>
      </c>
      <c r="G256" t="s">
        <v>1445</v>
      </c>
      <c r="H256" t="s">
        <v>750</v>
      </c>
      <c r="I256" t="s">
        <v>209</v>
      </c>
    </row>
    <row r="257" spans="1:9" x14ac:dyDescent="0.25">
      <c r="A257" t="s">
        <v>222</v>
      </c>
      <c r="B257" t="s">
        <v>1446</v>
      </c>
      <c r="C257" t="s">
        <v>1447</v>
      </c>
      <c r="D257">
        <v>4</v>
      </c>
      <c r="E257" t="s">
        <v>747</v>
      </c>
      <c r="F257" t="s">
        <v>758</v>
      </c>
      <c r="G257" t="s">
        <v>1448</v>
      </c>
      <c r="H257" t="s">
        <v>760</v>
      </c>
      <c r="I257" t="s">
        <v>209</v>
      </c>
    </row>
    <row r="258" spans="1:9" x14ac:dyDescent="0.25">
      <c r="A258" t="s">
        <v>222</v>
      </c>
      <c r="B258" t="s">
        <v>1449</v>
      </c>
      <c r="C258" t="s">
        <v>1450</v>
      </c>
      <c r="D258">
        <v>5</v>
      </c>
      <c r="E258" t="s">
        <v>747</v>
      </c>
      <c r="F258" t="s">
        <v>763</v>
      </c>
      <c r="G258" t="s">
        <v>1451</v>
      </c>
      <c r="H258" t="s">
        <v>760</v>
      </c>
      <c r="I258" t="s">
        <v>209</v>
      </c>
    </row>
    <row r="259" spans="1:9" x14ac:dyDescent="0.25">
      <c r="A259" t="s">
        <v>222</v>
      </c>
      <c r="B259" t="s">
        <v>765</v>
      </c>
      <c r="C259" t="s">
        <v>1452</v>
      </c>
      <c r="E259" t="s">
        <v>767</v>
      </c>
      <c r="F259" t="s">
        <v>768</v>
      </c>
      <c r="G259" t="s">
        <v>1453</v>
      </c>
      <c r="H259" t="s">
        <v>750</v>
      </c>
      <c r="I259" t="s">
        <v>209</v>
      </c>
    </row>
    <row r="260" spans="1:9" x14ac:dyDescent="0.25">
      <c r="A260" t="s">
        <v>222</v>
      </c>
      <c r="B260" t="s">
        <v>770</v>
      </c>
      <c r="C260" t="s">
        <v>1454</v>
      </c>
      <c r="E260" t="s">
        <v>767</v>
      </c>
      <c r="F260" t="s">
        <v>772</v>
      </c>
      <c r="G260" t="s">
        <v>1455</v>
      </c>
      <c r="H260" t="s">
        <v>750</v>
      </c>
      <c r="I260" t="s">
        <v>209</v>
      </c>
    </row>
    <row r="261" spans="1:9" x14ac:dyDescent="0.25">
      <c r="A261" t="s">
        <v>226</v>
      </c>
      <c r="B261" t="s">
        <v>1456</v>
      </c>
      <c r="C261" t="s">
        <v>1457</v>
      </c>
      <c r="D261">
        <v>1</v>
      </c>
      <c r="E261" t="s">
        <v>747</v>
      </c>
      <c r="F261" t="s">
        <v>1458</v>
      </c>
      <c r="G261" t="s">
        <v>1459</v>
      </c>
      <c r="H261" t="s">
        <v>750</v>
      </c>
      <c r="I261" t="s">
        <v>209</v>
      </c>
    </row>
    <row r="262" spans="1:9" x14ac:dyDescent="0.25">
      <c r="A262" t="s">
        <v>226</v>
      </c>
      <c r="B262" t="s">
        <v>1460</v>
      </c>
      <c r="C262" t="s">
        <v>1461</v>
      </c>
      <c r="D262">
        <v>2</v>
      </c>
      <c r="E262" t="s">
        <v>747</v>
      </c>
      <c r="F262" t="s">
        <v>1462</v>
      </c>
      <c r="G262" t="s">
        <v>1459</v>
      </c>
      <c r="H262" t="s">
        <v>750</v>
      </c>
      <c r="I262" t="s">
        <v>209</v>
      </c>
    </row>
    <row r="263" spans="1:9" x14ac:dyDescent="0.25">
      <c r="A263" t="s">
        <v>226</v>
      </c>
      <c r="B263" t="s">
        <v>230</v>
      </c>
      <c r="C263" t="s">
        <v>1463</v>
      </c>
      <c r="D263">
        <v>3</v>
      </c>
      <c r="E263" t="s">
        <v>747</v>
      </c>
      <c r="F263" t="s">
        <v>755</v>
      </c>
      <c r="G263" t="s">
        <v>1464</v>
      </c>
      <c r="H263" t="s">
        <v>750</v>
      </c>
      <c r="I263" t="s">
        <v>209</v>
      </c>
    </row>
    <row r="264" spans="1:9" x14ac:dyDescent="0.25">
      <c r="A264" t="s">
        <v>226</v>
      </c>
      <c r="B264" t="s">
        <v>1465</v>
      </c>
      <c r="C264" t="s">
        <v>1466</v>
      </c>
      <c r="D264">
        <v>4</v>
      </c>
      <c r="E264" t="s">
        <v>747</v>
      </c>
      <c r="F264" t="s">
        <v>758</v>
      </c>
      <c r="G264" t="s">
        <v>1467</v>
      </c>
      <c r="H264" t="s">
        <v>760</v>
      </c>
      <c r="I264" t="s">
        <v>209</v>
      </c>
    </row>
    <row r="265" spans="1:9" x14ac:dyDescent="0.25">
      <c r="A265" t="s">
        <v>226</v>
      </c>
      <c r="B265" t="s">
        <v>1468</v>
      </c>
      <c r="C265" t="s">
        <v>1469</v>
      </c>
      <c r="D265">
        <v>5</v>
      </c>
      <c r="E265" t="s">
        <v>747</v>
      </c>
      <c r="F265" t="s">
        <v>763</v>
      </c>
      <c r="G265" t="s">
        <v>1470</v>
      </c>
      <c r="H265" t="s">
        <v>760</v>
      </c>
      <c r="I265" t="s">
        <v>209</v>
      </c>
    </row>
    <row r="266" spans="1:9" x14ac:dyDescent="0.25">
      <c r="A266" t="s">
        <v>226</v>
      </c>
      <c r="B266" t="s">
        <v>765</v>
      </c>
      <c r="C266" t="s">
        <v>1471</v>
      </c>
      <c r="E266" t="s">
        <v>767</v>
      </c>
      <c r="F266" t="s">
        <v>768</v>
      </c>
      <c r="G266" t="s">
        <v>1472</v>
      </c>
      <c r="H266" t="s">
        <v>750</v>
      </c>
      <c r="I266" t="s">
        <v>209</v>
      </c>
    </row>
    <row r="267" spans="1:9" x14ac:dyDescent="0.25">
      <c r="A267" t="s">
        <v>226</v>
      </c>
      <c r="B267" t="s">
        <v>770</v>
      </c>
      <c r="C267" t="s">
        <v>1473</v>
      </c>
      <c r="E267" t="s">
        <v>767</v>
      </c>
      <c r="F267" t="s">
        <v>772</v>
      </c>
      <c r="G267" t="s">
        <v>1474</v>
      </c>
      <c r="H267" t="s">
        <v>750</v>
      </c>
      <c r="I267" t="s">
        <v>209</v>
      </c>
    </row>
    <row r="268" spans="1:9" x14ac:dyDescent="0.25">
      <c r="A268" t="s">
        <v>231</v>
      </c>
      <c r="B268" t="s">
        <v>1475</v>
      </c>
      <c r="C268" t="s">
        <v>1476</v>
      </c>
      <c r="D268">
        <v>1</v>
      </c>
      <c r="E268" t="s">
        <v>747</v>
      </c>
      <c r="F268" t="s">
        <v>1477</v>
      </c>
      <c r="G268" t="s">
        <v>1478</v>
      </c>
      <c r="H268" t="s">
        <v>750</v>
      </c>
      <c r="I268" t="s">
        <v>209</v>
      </c>
    </row>
    <row r="269" spans="1:9" x14ac:dyDescent="0.25">
      <c r="A269" t="s">
        <v>231</v>
      </c>
      <c r="B269" t="s">
        <v>1479</v>
      </c>
      <c r="C269" t="s">
        <v>1480</v>
      </c>
      <c r="D269">
        <v>2</v>
      </c>
      <c r="E269" t="s">
        <v>747</v>
      </c>
      <c r="F269" t="s">
        <v>1481</v>
      </c>
      <c r="G269" t="s">
        <v>1478</v>
      </c>
      <c r="H269" t="s">
        <v>750</v>
      </c>
      <c r="I269" t="s">
        <v>209</v>
      </c>
    </row>
    <row r="270" spans="1:9" x14ac:dyDescent="0.25">
      <c r="A270" t="s">
        <v>231</v>
      </c>
      <c r="B270" t="s">
        <v>1482</v>
      </c>
      <c r="C270" t="s">
        <v>1483</v>
      </c>
      <c r="D270">
        <v>3</v>
      </c>
      <c r="E270" t="s">
        <v>747</v>
      </c>
      <c r="F270" t="s">
        <v>755</v>
      </c>
      <c r="G270" t="s">
        <v>1484</v>
      </c>
      <c r="H270" t="s">
        <v>750</v>
      </c>
      <c r="I270" t="s">
        <v>209</v>
      </c>
    </row>
    <row r="271" spans="1:9" x14ac:dyDescent="0.25">
      <c r="A271" t="s">
        <v>231</v>
      </c>
      <c r="B271" t="s">
        <v>234</v>
      </c>
      <c r="C271" t="s">
        <v>1485</v>
      </c>
      <c r="D271">
        <v>4</v>
      </c>
      <c r="E271" t="s">
        <v>747</v>
      </c>
      <c r="F271" t="s">
        <v>758</v>
      </c>
      <c r="G271" t="s">
        <v>1486</v>
      </c>
      <c r="H271" t="s">
        <v>760</v>
      </c>
      <c r="I271" t="s">
        <v>209</v>
      </c>
    </row>
    <row r="272" spans="1:9" x14ac:dyDescent="0.25">
      <c r="A272" t="s">
        <v>231</v>
      </c>
      <c r="B272" t="s">
        <v>1487</v>
      </c>
      <c r="C272" t="s">
        <v>1488</v>
      </c>
      <c r="D272">
        <v>5</v>
      </c>
      <c r="E272" t="s">
        <v>747</v>
      </c>
      <c r="F272" t="s">
        <v>763</v>
      </c>
      <c r="G272" t="s">
        <v>1489</v>
      </c>
      <c r="H272" t="s">
        <v>760</v>
      </c>
      <c r="I272" t="s">
        <v>209</v>
      </c>
    </row>
    <row r="273" spans="1:9" x14ac:dyDescent="0.25">
      <c r="A273" t="s">
        <v>231</v>
      </c>
      <c r="B273" t="s">
        <v>765</v>
      </c>
      <c r="C273" t="s">
        <v>1490</v>
      </c>
      <c r="E273" t="s">
        <v>767</v>
      </c>
      <c r="F273" t="s">
        <v>768</v>
      </c>
      <c r="G273" t="s">
        <v>1491</v>
      </c>
      <c r="H273" t="s">
        <v>750</v>
      </c>
      <c r="I273" t="s">
        <v>209</v>
      </c>
    </row>
    <row r="274" spans="1:9" x14ac:dyDescent="0.25">
      <c r="A274" t="s">
        <v>231</v>
      </c>
      <c r="B274" t="s">
        <v>770</v>
      </c>
      <c r="C274" t="s">
        <v>1492</v>
      </c>
      <c r="E274" t="s">
        <v>767</v>
      </c>
      <c r="F274" t="s">
        <v>772</v>
      </c>
      <c r="G274" t="s">
        <v>1493</v>
      </c>
      <c r="H274" t="s">
        <v>750</v>
      </c>
      <c r="I274" t="s">
        <v>209</v>
      </c>
    </row>
    <row r="275" spans="1:9" x14ac:dyDescent="0.25">
      <c r="A275" t="s">
        <v>235</v>
      </c>
      <c r="B275" t="s">
        <v>1494</v>
      </c>
      <c r="C275" t="s">
        <v>1495</v>
      </c>
      <c r="D275">
        <v>1</v>
      </c>
      <c r="E275" t="s">
        <v>747</v>
      </c>
      <c r="F275" t="s">
        <v>1496</v>
      </c>
      <c r="G275" t="s">
        <v>1497</v>
      </c>
      <c r="H275" t="s">
        <v>750</v>
      </c>
      <c r="I275" t="s">
        <v>209</v>
      </c>
    </row>
    <row r="276" spans="1:9" x14ac:dyDescent="0.25">
      <c r="A276" t="s">
        <v>235</v>
      </c>
      <c r="B276" t="s">
        <v>1498</v>
      </c>
      <c r="C276" t="s">
        <v>1499</v>
      </c>
      <c r="D276">
        <v>2</v>
      </c>
      <c r="E276" t="s">
        <v>747</v>
      </c>
      <c r="F276" t="s">
        <v>1500</v>
      </c>
      <c r="G276" t="s">
        <v>1497</v>
      </c>
      <c r="H276" t="s">
        <v>750</v>
      </c>
      <c r="I276" t="s">
        <v>209</v>
      </c>
    </row>
    <row r="277" spans="1:9" x14ac:dyDescent="0.25">
      <c r="A277" t="s">
        <v>235</v>
      </c>
      <c r="B277" t="s">
        <v>238</v>
      </c>
      <c r="C277" t="s">
        <v>1501</v>
      </c>
      <c r="D277">
        <v>3</v>
      </c>
      <c r="E277" t="s">
        <v>747</v>
      </c>
      <c r="F277" t="s">
        <v>755</v>
      </c>
      <c r="G277" t="s">
        <v>1502</v>
      </c>
      <c r="H277" t="s">
        <v>750</v>
      </c>
      <c r="I277" t="s">
        <v>209</v>
      </c>
    </row>
    <row r="278" spans="1:9" x14ac:dyDescent="0.25">
      <c r="A278" t="s">
        <v>235</v>
      </c>
      <c r="B278" t="s">
        <v>1503</v>
      </c>
      <c r="C278" t="s">
        <v>1504</v>
      </c>
      <c r="D278">
        <v>4</v>
      </c>
      <c r="E278" t="s">
        <v>747</v>
      </c>
      <c r="F278" t="s">
        <v>758</v>
      </c>
      <c r="G278" t="s">
        <v>1505</v>
      </c>
      <c r="H278" t="s">
        <v>760</v>
      </c>
      <c r="I278" t="s">
        <v>209</v>
      </c>
    </row>
    <row r="279" spans="1:9" x14ac:dyDescent="0.25">
      <c r="A279" t="s">
        <v>235</v>
      </c>
      <c r="B279" t="s">
        <v>1506</v>
      </c>
      <c r="C279" t="s">
        <v>1507</v>
      </c>
      <c r="D279">
        <v>5</v>
      </c>
      <c r="E279" t="s">
        <v>747</v>
      </c>
      <c r="F279" t="s">
        <v>763</v>
      </c>
      <c r="G279" t="s">
        <v>1508</v>
      </c>
      <c r="H279" t="s">
        <v>760</v>
      </c>
      <c r="I279" t="s">
        <v>209</v>
      </c>
    </row>
    <row r="280" spans="1:9" x14ac:dyDescent="0.25">
      <c r="A280" t="s">
        <v>235</v>
      </c>
      <c r="B280" t="s">
        <v>765</v>
      </c>
      <c r="C280" t="s">
        <v>1509</v>
      </c>
      <c r="E280" t="s">
        <v>767</v>
      </c>
      <c r="F280" t="s">
        <v>768</v>
      </c>
      <c r="G280" t="s">
        <v>1510</v>
      </c>
      <c r="H280" t="s">
        <v>750</v>
      </c>
      <c r="I280" t="s">
        <v>209</v>
      </c>
    </row>
    <row r="281" spans="1:9" x14ac:dyDescent="0.25">
      <c r="A281" t="s">
        <v>235</v>
      </c>
      <c r="B281" t="s">
        <v>770</v>
      </c>
      <c r="C281" t="s">
        <v>1511</v>
      </c>
      <c r="E281" t="s">
        <v>767</v>
      </c>
      <c r="F281" t="s">
        <v>772</v>
      </c>
      <c r="G281" t="s">
        <v>1512</v>
      </c>
      <c r="H281" t="s">
        <v>750</v>
      </c>
      <c r="I281" t="s">
        <v>209</v>
      </c>
    </row>
    <row r="282" spans="1:9" x14ac:dyDescent="0.25">
      <c r="A282" t="s">
        <v>239</v>
      </c>
      <c r="B282" t="s">
        <v>1513</v>
      </c>
      <c r="C282" t="s">
        <v>1514</v>
      </c>
      <c r="D282">
        <v>1</v>
      </c>
      <c r="E282" t="s">
        <v>747</v>
      </c>
      <c r="F282" t="s">
        <v>1515</v>
      </c>
      <c r="G282" t="s">
        <v>1516</v>
      </c>
      <c r="H282" t="s">
        <v>750</v>
      </c>
      <c r="I282" t="s">
        <v>209</v>
      </c>
    </row>
    <row r="283" spans="1:9" x14ac:dyDescent="0.25">
      <c r="A283" t="s">
        <v>239</v>
      </c>
      <c r="B283" t="s">
        <v>1517</v>
      </c>
      <c r="C283" t="s">
        <v>1518</v>
      </c>
      <c r="D283">
        <v>2</v>
      </c>
      <c r="E283" t="s">
        <v>747</v>
      </c>
      <c r="F283" t="s">
        <v>968</v>
      </c>
      <c r="G283" t="s">
        <v>1516</v>
      </c>
      <c r="H283" t="s">
        <v>750</v>
      </c>
      <c r="I283" t="s">
        <v>209</v>
      </c>
    </row>
    <row r="284" spans="1:9" x14ac:dyDescent="0.25">
      <c r="A284" t="s">
        <v>239</v>
      </c>
      <c r="B284" t="s">
        <v>242</v>
      </c>
      <c r="C284" t="s">
        <v>1519</v>
      </c>
      <c r="D284">
        <v>3</v>
      </c>
      <c r="E284" t="s">
        <v>747</v>
      </c>
      <c r="F284" t="s">
        <v>755</v>
      </c>
      <c r="G284" t="s">
        <v>1520</v>
      </c>
      <c r="H284" t="s">
        <v>750</v>
      </c>
      <c r="I284" t="s">
        <v>209</v>
      </c>
    </row>
    <row r="285" spans="1:9" x14ac:dyDescent="0.25">
      <c r="A285" t="s">
        <v>239</v>
      </c>
      <c r="B285" t="s">
        <v>1521</v>
      </c>
      <c r="C285" t="s">
        <v>1522</v>
      </c>
      <c r="D285">
        <v>4</v>
      </c>
      <c r="E285" t="s">
        <v>747</v>
      </c>
      <c r="F285" t="s">
        <v>758</v>
      </c>
      <c r="G285" t="s">
        <v>1523</v>
      </c>
      <c r="H285" t="s">
        <v>760</v>
      </c>
      <c r="I285" t="s">
        <v>209</v>
      </c>
    </row>
    <row r="286" spans="1:9" x14ac:dyDescent="0.25">
      <c r="A286" t="s">
        <v>239</v>
      </c>
      <c r="B286" t="s">
        <v>1524</v>
      </c>
      <c r="C286" t="s">
        <v>1525</v>
      </c>
      <c r="D286">
        <v>5</v>
      </c>
      <c r="E286" t="s">
        <v>747</v>
      </c>
      <c r="F286" t="s">
        <v>763</v>
      </c>
      <c r="G286" t="s">
        <v>1526</v>
      </c>
      <c r="H286" t="s">
        <v>760</v>
      </c>
      <c r="I286" t="s">
        <v>209</v>
      </c>
    </row>
    <row r="287" spans="1:9" x14ac:dyDescent="0.25">
      <c r="A287" t="s">
        <v>239</v>
      </c>
      <c r="B287" t="s">
        <v>765</v>
      </c>
      <c r="C287" t="s">
        <v>1527</v>
      </c>
      <c r="E287" t="s">
        <v>767</v>
      </c>
      <c r="F287" t="s">
        <v>768</v>
      </c>
      <c r="G287" t="s">
        <v>1528</v>
      </c>
      <c r="H287" t="s">
        <v>750</v>
      </c>
      <c r="I287" t="s">
        <v>209</v>
      </c>
    </row>
    <row r="288" spans="1:9" x14ac:dyDescent="0.25">
      <c r="A288" t="s">
        <v>239</v>
      </c>
      <c r="B288" t="s">
        <v>770</v>
      </c>
      <c r="C288" t="s">
        <v>1529</v>
      </c>
      <c r="E288" t="s">
        <v>767</v>
      </c>
      <c r="F288" t="s">
        <v>772</v>
      </c>
      <c r="G288" t="s">
        <v>1530</v>
      </c>
      <c r="H288" t="s">
        <v>750</v>
      </c>
      <c r="I288" t="s">
        <v>209</v>
      </c>
    </row>
    <row r="289" spans="1:9" x14ac:dyDescent="0.25">
      <c r="A289" t="s">
        <v>243</v>
      </c>
      <c r="B289" t="s">
        <v>1531</v>
      </c>
      <c r="C289" t="s">
        <v>1532</v>
      </c>
      <c r="D289">
        <v>1</v>
      </c>
      <c r="E289" t="s">
        <v>747</v>
      </c>
      <c r="F289" t="s">
        <v>1533</v>
      </c>
      <c r="G289" t="s">
        <v>1534</v>
      </c>
      <c r="H289" t="s">
        <v>750</v>
      </c>
      <c r="I289" t="s">
        <v>209</v>
      </c>
    </row>
    <row r="290" spans="1:9" x14ac:dyDescent="0.25">
      <c r="A290" t="s">
        <v>243</v>
      </c>
      <c r="B290" t="s">
        <v>1535</v>
      </c>
      <c r="C290" t="s">
        <v>1536</v>
      </c>
      <c r="D290">
        <v>2</v>
      </c>
      <c r="E290" t="s">
        <v>747</v>
      </c>
      <c r="F290" t="s">
        <v>1537</v>
      </c>
      <c r="G290" t="s">
        <v>1534</v>
      </c>
      <c r="H290" t="s">
        <v>750</v>
      </c>
      <c r="I290" t="s">
        <v>209</v>
      </c>
    </row>
    <row r="291" spans="1:9" x14ac:dyDescent="0.25">
      <c r="A291" t="s">
        <v>243</v>
      </c>
      <c r="B291" t="s">
        <v>247</v>
      </c>
      <c r="C291" t="s">
        <v>1538</v>
      </c>
      <c r="D291">
        <v>3</v>
      </c>
      <c r="E291" t="s">
        <v>747</v>
      </c>
      <c r="F291" t="s">
        <v>755</v>
      </c>
      <c r="G291" t="s">
        <v>1539</v>
      </c>
      <c r="H291" t="s">
        <v>750</v>
      </c>
      <c r="I291" t="s">
        <v>209</v>
      </c>
    </row>
    <row r="292" spans="1:9" x14ac:dyDescent="0.25">
      <c r="A292" t="s">
        <v>243</v>
      </c>
      <c r="B292" t="s">
        <v>1540</v>
      </c>
      <c r="C292" t="s">
        <v>1541</v>
      </c>
      <c r="D292">
        <v>4</v>
      </c>
      <c r="E292" t="s">
        <v>747</v>
      </c>
      <c r="F292" t="s">
        <v>758</v>
      </c>
      <c r="G292" t="s">
        <v>1542</v>
      </c>
      <c r="H292" t="s">
        <v>760</v>
      </c>
      <c r="I292" t="s">
        <v>209</v>
      </c>
    </row>
    <row r="293" spans="1:9" x14ac:dyDescent="0.25">
      <c r="A293" t="s">
        <v>243</v>
      </c>
      <c r="B293" t="s">
        <v>1543</v>
      </c>
      <c r="C293" t="s">
        <v>1544</v>
      </c>
      <c r="D293">
        <v>5</v>
      </c>
      <c r="E293" t="s">
        <v>747</v>
      </c>
      <c r="F293" t="s">
        <v>763</v>
      </c>
      <c r="G293" t="s">
        <v>1545</v>
      </c>
      <c r="H293" t="s">
        <v>760</v>
      </c>
      <c r="I293" t="s">
        <v>209</v>
      </c>
    </row>
    <row r="294" spans="1:9" x14ac:dyDescent="0.25">
      <c r="A294" t="s">
        <v>243</v>
      </c>
      <c r="B294" t="s">
        <v>765</v>
      </c>
      <c r="C294" t="s">
        <v>1546</v>
      </c>
      <c r="E294" t="s">
        <v>767</v>
      </c>
      <c r="F294" t="s">
        <v>768</v>
      </c>
      <c r="G294" t="s">
        <v>1547</v>
      </c>
      <c r="H294" t="s">
        <v>750</v>
      </c>
      <c r="I294" t="s">
        <v>209</v>
      </c>
    </row>
    <row r="295" spans="1:9" x14ac:dyDescent="0.25">
      <c r="A295" t="s">
        <v>243</v>
      </c>
      <c r="B295" t="s">
        <v>770</v>
      </c>
      <c r="C295" t="s">
        <v>1548</v>
      </c>
      <c r="E295" t="s">
        <v>767</v>
      </c>
      <c r="F295" t="s">
        <v>772</v>
      </c>
      <c r="G295" t="s">
        <v>1549</v>
      </c>
      <c r="H295" t="s">
        <v>750</v>
      </c>
      <c r="I295" t="s">
        <v>209</v>
      </c>
    </row>
    <row r="296" spans="1:9" x14ac:dyDescent="0.25">
      <c r="A296" t="s">
        <v>248</v>
      </c>
      <c r="B296" t="s">
        <v>1550</v>
      </c>
      <c r="C296" t="s">
        <v>1551</v>
      </c>
      <c r="D296">
        <v>1</v>
      </c>
      <c r="E296" t="s">
        <v>747</v>
      </c>
      <c r="F296" t="s">
        <v>1552</v>
      </c>
      <c r="G296" t="s">
        <v>1553</v>
      </c>
      <c r="H296" t="s">
        <v>750</v>
      </c>
      <c r="I296" t="s">
        <v>209</v>
      </c>
    </row>
    <row r="297" spans="1:9" x14ac:dyDescent="0.25">
      <c r="A297" t="s">
        <v>248</v>
      </c>
      <c r="B297" t="s">
        <v>251</v>
      </c>
      <c r="C297" t="s">
        <v>1554</v>
      </c>
      <c r="D297">
        <v>2</v>
      </c>
      <c r="E297" t="s">
        <v>747</v>
      </c>
      <c r="F297" t="s">
        <v>1555</v>
      </c>
      <c r="G297" t="s">
        <v>1553</v>
      </c>
      <c r="H297" t="s">
        <v>750</v>
      </c>
      <c r="I297" t="s">
        <v>209</v>
      </c>
    </row>
    <row r="298" spans="1:9" x14ac:dyDescent="0.25">
      <c r="A298" t="s">
        <v>248</v>
      </c>
      <c r="B298" t="s">
        <v>1556</v>
      </c>
      <c r="C298" t="s">
        <v>1557</v>
      </c>
      <c r="D298">
        <v>3</v>
      </c>
      <c r="E298" t="s">
        <v>747</v>
      </c>
      <c r="F298" t="s">
        <v>755</v>
      </c>
      <c r="G298" t="s">
        <v>1558</v>
      </c>
      <c r="H298" t="s">
        <v>750</v>
      </c>
      <c r="I298" t="s">
        <v>209</v>
      </c>
    </row>
    <row r="299" spans="1:9" x14ac:dyDescent="0.25">
      <c r="A299" t="s">
        <v>248</v>
      </c>
      <c r="B299" t="s">
        <v>1559</v>
      </c>
      <c r="C299" t="s">
        <v>1560</v>
      </c>
      <c r="D299">
        <v>4</v>
      </c>
      <c r="E299" t="s">
        <v>747</v>
      </c>
      <c r="F299" t="s">
        <v>758</v>
      </c>
      <c r="G299" t="s">
        <v>1561</v>
      </c>
      <c r="H299" t="s">
        <v>760</v>
      </c>
      <c r="I299" t="s">
        <v>209</v>
      </c>
    </row>
    <row r="300" spans="1:9" x14ac:dyDescent="0.25">
      <c r="A300" t="s">
        <v>248</v>
      </c>
      <c r="B300" t="s">
        <v>1562</v>
      </c>
      <c r="C300" t="s">
        <v>1563</v>
      </c>
      <c r="D300">
        <v>5</v>
      </c>
      <c r="E300" t="s">
        <v>747</v>
      </c>
      <c r="F300" t="s">
        <v>763</v>
      </c>
      <c r="G300" t="s">
        <v>1564</v>
      </c>
      <c r="H300" t="s">
        <v>760</v>
      </c>
      <c r="I300" t="s">
        <v>209</v>
      </c>
    </row>
    <row r="301" spans="1:9" x14ac:dyDescent="0.25">
      <c r="A301" t="s">
        <v>248</v>
      </c>
      <c r="B301" t="s">
        <v>765</v>
      </c>
      <c r="C301" t="s">
        <v>1565</v>
      </c>
      <c r="E301" t="s">
        <v>767</v>
      </c>
      <c r="F301" t="s">
        <v>768</v>
      </c>
      <c r="G301" t="s">
        <v>1566</v>
      </c>
      <c r="H301" t="s">
        <v>750</v>
      </c>
      <c r="I301" t="s">
        <v>209</v>
      </c>
    </row>
    <row r="302" spans="1:9" x14ac:dyDescent="0.25">
      <c r="A302" t="s">
        <v>248</v>
      </c>
      <c r="B302" t="s">
        <v>770</v>
      </c>
      <c r="C302" t="s">
        <v>1567</v>
      </c>
      <c r="E302" t="s">
        <v>767</v>
      </c>
      <c r="F302" t="s">
        <v>772</v>
      </c>
      <c r="G302" t="s">
        <v>1568</v>
      </c>
      <c r="H302" t="s">
        <v>750</v>
      </c>
      <c r="I302" t="s">
        <v>209</v>
      </c>
    </row>
    <row r="303" spans="1:9" x14ac:dyDescent="0.25">
      <c r="A303" t="s">
        <v>252</v>
      </c>
      <c r="B303" t="s">
        <v>1569</v>
      </c>
      <c r="C303" t="s">
        <v>1570</v>
      </c>
      <c r="D303">
        <v>1</v>
      </c>
      <c r="E303" t="s">
        <v>747</v>
      </c>
      <c r="F303" t="s">
        <v>1571</v>
      </c>
      <c r="G303" t="s">
        <v>1572</v>
      </c>
      <c r="H303" t="s">
        <v>750</v>
      </c>
      <c r="I303" t="s">
        <v>209</v>
      </c>
    </row>
    <row r="304" spans="1:9" x14ac:dyDescent="0.25">
      <c r="A304" t="s">
        <v>252</v>
      </c>
      <c r="B304" t="s">
        <v>1573</v>
      </c>
      <c r="C304" t="s">
        <v>1574</v>
      </c>
      <c r="D304">
        <v>2</v>
      </c>
      <c r="E304" t="s">
        <v>747</v>
      </c>
      <c r="F304" t="s">
        <v>1575</v>
      </c>
      <c r="G304" t="s">
        <v>1572</v>
      </c>
      <c r="H304" t="s">
        <v>750</v>
      </c>
      <c r="I304" t="s">
        <v>209</v>
      </c>
    </row>
    <row r="305" spans="1:9" x14ac:dyDescent="0.25">
      <c r="A305" t="s">
        <v>252</v>
      </c>
      <c r="B305" t="s">
        <v>1576</v>
      </c>
      <c r="C305" t="s">
        <v>1577</v>
      </c>
      <c r="D305">
        <v>3</v>
      </c>
      <c r="E305" t="s">
        <v>747</v>
      </c>
      <c r="F305" t="s">
        <v>755</v>
      </c>
      <c r="G305" t="s">
        <v>1578</v>
      </c>
      <c r="H305" t="s">
        <v>750</v>
      </c>
      <c r="I305" t="s">
        <v>209</v>
      </c>
    </row>
    <row r="306" spans="1:9" x14ac:dyDescent="0.25">
      <c r="A306" t="s">
        <v>252</v>
      </c>
      <c r="B306" t="s">
        <v>255</v>
      </c>
      <c r="C306" t="s">
        <v>1579</v>
      </c>
      <c r="D306">
        <v>4</v>
      </c>
      <c r="E306" t="s">
        <v>747</v>
      </c>
      <c r="F306" t="s">
        <v>758</v>
      </c>
      <c r="G306" t="s">
        <v>1580</v>
      </c>
      <c r="H306" t="s">
        <v>760</v>
      </c>
      <c r="I306" t="s">
        <v>209</v>
      </c>
    </row>
    <row r="307" spans="1:9" x14ac:dyDescent="0.25">
      <c r="A307" t="s">
        <v>252</v>
      </c>
      <c r="B307" t="s">
        <v>1581</v>
      </c>
      <c r="C307" t="s">
        <v>1582</v>
      </c>
      <c r="D307">
        <v>5</v>
      </c>
      <c r="E307" t="s">
        <v>747</v>
      </c>
      <c r="F307" t="s">
        <v>763</v>
      </c>
      <c r="G307" t="s">
        <v>1583</v>
      </c>
      <c r="H307" t="s">
        <v>760</v>
      </c>
      <c r="I307" t="s">
        <v>209</v>
      </c>
    </row>
    <row r="308" spans="1:9" x14ac:dyDescent="0.25">
      <c r="A308" t="s">
        <v>252</v>
      </c>
      <c r="B308" t="s">
        <v>765</v>
      </c>
      <c r="C308" t="s">
        <v>1584</v>
      </c>
      <c r="E308" t="s">
        <v>767</v>
      </c>
      <c r="F308" t="s">
        <v>768</v>
      </c>
      <c r="G308" t="s">
        <v>1585</v>
      </c>
      <c r="H308" t="s">
        <v>750</v>
      </c>
      <c r="I308" t="s">
        <v>209</v>
      </c>
    </row>
    <row r="309" spans="1:9" x14ac:dyDescent="0.25">
      <c r="A309" t="s">
        <v>252</v>
      </c>
      <c r="B309" t="s">
        <v>770</v>
      </c>
      <c r="C309" t="s">
        <v>1586</v>
      </c>
      <c r="E309" t="s">
        <v>767</v>
      </c>
      <c r="F309" t="s">
        <v>772</v>
      </c>
      <c r="G309" t="s">
        <v>1587</v>
      </c>
      <c r="H309" t="s">
        <v>750</v>
      </c>
      <c r="I309" t="s">
        <v>209</v>
      </c>
    </row>
    <row r="310" spans="1:9" x14ac:dyDescent="0.25">
      <c r="A310" t="s">
        <v>256</v>
      </c>
      <c r="B310" t="s">
        <v>1588</v>
      </c>
      <c r="C310" t="s">
        <v>1589</v>
      </c>
      <c r="D310">
        <v>1</v>
      </c>
      <c r="E310" t="s">
        <v>747</v>
      </c>
      <c r="F310" t="s">
        <v>1590</v>
      </c>
      <c r="G310" t="s">
        <v>1591</v>
      </c>
      <c r="H310" t="s">
        <v>750</v>
      </c>
      <c r="I310" t="s">
        <v>209</v>
      </c>
    </row>
    <row r="311" spans="1:9" x14ac:dyDescent="0.25">
      <c r="A311" t="s">
        <v>256</v>
      </c>
      <c r="B311" t="s">
        <v>1592</v>
      </c>
      <c r="C311" t="s">
        <v>1593</v>
      </c>
      <c r="D311">
        <v>2</v>
      </c>
      <c r="E311" t="s">
        <v>747</v>
      </c>
      <c r="F311" t="s">
        <v>1594</v>
      </c>
      <c r="G311" t="s">
        <v>1591</v>
      </c>
      <c r="H311" t="s">
        <v>750</v>
      </c>
      <c r="I311" t="s">
        <v>209</v>
      </c>
    </row>
    <row r="312" spans="1:9" x14ac:dyDescent="0.25">
      <c r="A312" t="s">
        <v>256</v>
      </c>
      <c r="B312" t="s">
        <v>1595</v>
      </c>
      <c r="C312" t="s">
        <v>1596</v>
      </c>
      <c r="D312">
        <v>3</v>
      </c>
      <c r="E312" t="s">
        <v>747</v>
      </c>
      <c r="F312" t="s">
        <v>755</v>
      </c>
      <c r="G312" t="s">
        <v>1597</v>
      </c>
      <c r="H312" t="s">
        <v>750</v>
      </c>
      <c r="I312" t="s">
        <v>209</v>
      </c>
    </row>
    <row r="313" spans="1:9" x14ac:dyDescent="0.25">
      <c r="A313" t="s">
        <v>256</v>
      </c>
      <c r="B313" t="s">
        <v>259</v>
      </c>
      <c r="C313" t="s">
        <v>1598</v>
      </c>
      <c r="D313">
        <v>4</v>
      </c>
      <c r="E313" t="s">
        <v>747</v>
      </c>
      <c r="F313" t="s">
        <v>758</v>
      </c>
      <c r="G313" t="s">
        <v>1599</v>
      </c>
      <c r="H313" t="s">
        <v>760</v>
      </c>
      <c r="I313" t="s">
        <v>209</v>
      </c>
    </row>
    <row r="314" spans="1:9" x14ac:dyDescent="0.25">
      <c r="A314" t="s">
        <v>256</v>
      </c>
      <c r="B314" t="s">
        <v>1600</v>
      </c>
      <c r="C314" t="s">
        <v>1601</v>
      </c>
      <c r="D314">
        <v>5</v>
      </c>
      <c r="E314" t="s">
        <v>747</v>
      </c>
      <c r="F314" t="s">
        <v>763</v>
      </c>
      <c r="G314" t="s">
        <v>1602</v>
      </c>
      <c r="H314" t="s">
        <v>760</v>
      </c>
      <c r="I314" t="s">
        <v>209</v>
      </c>
    </row>
    <row r="315" spans="1:9" x14ac:dyDescent="0.25">
      <c r="A315" t="s">
        <v>256</v>
      </c>
      <c r="B315" t="s">
        <v>765</v>
      </c>
      <c r="C315" t="s">
        <v>1603</v>
      </c>
      <c r="E315" t="s">
        <v>767</v>
      </c>
      <c r="F315" t="s">
        <v>768</v>
      </c>
      <c r="G315" t="s">
        <v>1604</v>
      </c>
      <c r="H315" t="s">
        <v>750</v>
      </c>
      <c r="I315" t="s">
        <v>209</v>
      </c>
    </row>
    <row r="316" spans="1:9" x14ac:dyDescent="0.25">
      <c r="A316" t="s">
        <v>256</v>
      </c>
      <c r="B316" t="s">
        <v>770</v>
      </c>
      <c r="C316" t="s">
        <v>1605</v>
      </c>
      <c r="E316" t="s">
        <v>767</v>
      </c>
      <c r="F316" t="s">
        <v>772</v>
      </c>
      <c r="G316" t="s">
        <v>1606</v>
      </c>
      <c r="H316" t="s">
        <v>750</v>
      </c>
      <c r="I316" t="s">
        <v>209</v>
      </c>
    </row>
    <row r="317" spans="1:9" x14ac:dyDescent="0.25">
      <c r="A317" t="s">
        <v>260</v>
      </c>
      <c r="B317" t="s">
        <v>1607</v>
      </c>
      <c r="C317" t="s">
        <v>1608</v>
      </c>
      <c r="D317">
        <v>1</v>
      </c>
      <c r="E317" t="s">
        <v>747</v>
      </c>
      <c r="F317" t="s">
        <v>1609</v>
      </c>
      <c r="G317" t="s">
        <v>1610</v>
      </c>
      <c r="H317" t="s">
        <v>750</v>
      </c>
      <c r="I317" t="s">
        <v>209</v>
      </c>
    </row>
    <row r="318" spans="1:9" x14ac:dyDescent="0.25">
      <c r="A318" t="s">
        <v>260</v>
      </c>
      <c r="B318" t="s">
        <v>1611</v>
      </c>
      <c r="C318" t="s">
        <v>1612</v>
      </c>
      <c r="D318">
        <v>2</v>
      </c>
      <c r="E318" t="s">
        <v>747</v>
      </c>
      <c r="F318" t="s">
        <v>1613</v>
      </c>
      <c r="G318" t="s">
        <v>1610</v>
      </c>
      <c r="H318" t="s">
        <v>750</v>
      </c>
      <c r="I318" t="s">
        <v>209</v>
      </c>
    </row>
    <row r="319" spans="1:9" x14ac:dyDescent="0.25">
      <c r="A319" t="s">
        <v>260</v>
      </c>
      <c r="B319" t="s">
        <v>264</v>
      </c>
      <c r="C319" t="s">
        <v>1614</v>
      </c>
      <c r="D319">
        <v>3</v>
      </c>
      <c r="E319" t="s">
        <v>747</v>
      </c>
      <c r="F319" t="s">
        <v>755</v>
      </c>
      <c r="G319" t="s">
        <v>1615</v>
      </c>
      <c r="H319" t="s">
        <v>750</v>
      </c>
      <c r="I319" t="s">
        <v>209</v>
      </c>
    </row>
    <row r="320" spans="1:9" x14ac:dyDescent="0.25">
      <c r="A320" t="s">
        <v>260</v>
      </c>
      <c r="B320" t="s">
        <v>1616</v>
      </c>
      <c r="C320" t="s">
        <v>1617</v>
      </c>
      <c r="D320">
        <v>4</v>
      </c>
      <c r="E320" t="s">
        <v>747</v>
      </c>
      <c r="F320" t="s">
        <v>758</v>
      </c>
      <c r="G320" t="s">
        <v>1618</v>
      </c>
      <c r="H320" t="s">
        <v>760</v>
      </c>
      <c r="I320" t="s">
        <v>209</v>
      </c>
    </row>
    <row r="321" spans="1:9" x14ac:dyDescent="0.25">
      <c r="A321" t="s">
        <v>260</v>
      </c>
      <c r="B321" t="s">
        <v>1619</v>
      </c>
      <c r="C321" t="s">
        <v>1620</v>
      </c>
      <c r="D321">
        <v>5</v>
      </c>
      <c r="E321" t="s">
        <v>747</v>
      </c>
      <c r="F321" t="s">
        <v>763</v>
      </c>
      <c r="G321" t="s">
        <v>1621</v>
      </c>
      <c r="H321" t="s">
        <v>760</v>
      </c>
      <c r="I321" t="s">
        <v>209</v>
      </c>
    </row>
    <row r="322" spans="1:9" x14ac:dyDescent="0.25">
      <c r="A322" t="s">
        <v>260</v>
      </c>
      <c r="B322" t="s">
        <v>765</v>
      </c>
      <c r="C322" t="s">
        <v>1622</v>
      </c>
      <c r="E322" t="s">
        <v>767</v>
      </c>
      <c r="F322" t="s">
        <v>768</v>
      </c>
      <c r="G322" t="s">
        <v>1623</v>
      </c>
      <c r="H322" t="s">
        <v>750</v>
      </c>
      <c r="I322" t="s">
        <v>209</v>
      </c>
    </row>
    <row r="323" spans="1:9" x14ac:dyDescent="0.25">
      <c r="A323" t="s">
        <v>260</v>
      </c>
      <c r="B323" t="s">
        <v>770</v>
      </c>
      <c r="C323" t="s">
        <v>1624</v>
      </c>
      <c r="E323" t="s">
        <v>767</v>
      </c>
      <c r="F323" t="s">
        <v>772</v>
      </c>
      <c r="G323" t="s">
        <v>1625</v>
      </c>
      <c r="H323" t="s">
        <v>750</v>
      </c>
      <c r="I323" t="s">
        <v>209</v>
      </c>
    </row>
    <row r="324" spans="1:9" x14ac:dyDescent="0.25">
      <c r="A324" t="s">
        <v>265</v>
      </c>
      <c r="B324" t="s">
        <v>1626</v>
      </c>
      <c r="C324" t="s">
        <v>1627</v>
      </c>
      <c r="D324">
        <v>1</v>
      </c>
      <c r="E324" t="s">
        <v>747</v>
      </c>
      <c r="F324" t="s">
        <v>1628</v>
      </c>
      <c r="G324" t="s">
        <v>1629</v>
      </c>
      <c r="H324" t="s">
        <v>750</v>
      </c>
      <c r="I324" t="s">
        <v>209</v>
      </c>
    </row>
    <row r="325" spans="1:9" x14ac:dyDescent="0.25">
      <c r="A325" t="s">
        <v>265</v>
      </c>
      <c r="B325" t="s">
        <v>1630</v>
      </c>
      <c r="C325" t="s">
        <v>1631</v>
      </c>
      <c r="D325">
        <v>2</v>
      </c>
      <c r="E325" t="s">
        <v>747</v>
      </c>
      <c r="F325" t="s">
        <v>1632</v>
      </c>
      <c r="G325" t="s">
        <v>1629</v>
      </c>
      <c r="H325" t="s">
        <v>750</v>
      </c>
      <c r="I325" t="s">
        <v>209</v>
      </c>
    </row>
    <row r="326" spans="1:9" x14ac:dyDescent="0.25">
      <c r="A326" t="s">
        <v>265</v>
      </c>
      <c r="B326" t="s">
        <v>268</v>
      </c>
      <c r="C326" t="s">
        <v>1633</v>
      </c>
      <c r="D326">
        <v>3</v>
      </c>
      <c r="E326" t="s">
        <v>747</v>
      </c>
      <c r="F326" t="s">
        <v>755</v>
      </c>
      <c r="G326" t="s">
        <v>1634</v>
      </c>
      <c r="H326" t="s">
        <v>750</v>
      </c>
      <c r="I326" t="s">
        <v>209</v>
      </c>
    </row>
    <row r="327" spans="1:9" x14ac:dyDescent="0.25">
      <c r="A327" t="s">
        <v>265</v>
      </c>
      <c r="B327" t="s">
        <v>1635</v>
      </c>
      <c r="C327" t="s">
        <v>1636</v>
      </c>
      <c r="D327">
        <v>4</v>
      </c>
      <c r="E327" t="s">
        <v>747</v>
      </c>
      <c r="F327" t="s">
        <v>758</v>
      </c>
      <c r="G327" t="s">
        <v>1637</v>
      </c>
      <c r="H327" t="s">
        <v>760</v>
      </c>
      <c r="I327" t="s">
        <v>209</v>
      </c>
    </row>
    <row r="328" spans="1:9" x14ac:dyDescent="0.25">
      <c r="A328" t="s">
        <v>265</v>
      </c>
      <c r="B328" t="s">
        <v>1638</v>
      </c>
      <c r="C328" t="s">
        <v>1639</v>
      </c>
      <c r="D328">
        <v>5</v>
      </c>
      <c r="E328" t="s">
        <v>747</v>
      </c>
      <c r="F328" t="s">
        <v>763</v>
      </c>
      <c r="G328" t="s">
        <v>1640</v>
      </c>
      <c r="H328" t="s">
        <v>760</v>
      </c>
      <c r="I328" t="s">
        <v>209</v>
      </c>
    </row>
    <row r="329" spans="1:9" x14ac:dyDescent="0.25">
      <c r="A329" t="s">
        <v>265</v>
      </c>
      <c r="B329" t="s">
        <v>765</v>
      </c>
      <c r="C329" t="s">
        <v>1641</v>
      </c>
      <c r="E329" t="s">
        <v>767</v>
      </c>
      <c r="F329" t="s">
        <v>768</v>
      </c>
      <c r="G329" t="s">
        <v>1642</v>
      </c>
      <c r="H329" t="s">
        <v>750</v>
      </c>
      <c r="I329" t="s">
        <v>209</v>
      </c>
    </row>
    <row r="330" spans="1:9" x14ac:dyDescent="0.25">
      <c r="A330" t="s">
        <v>265</v>
      </c>
      <c r="B330" t="s">
        <v>770</v>
      </c>
      <c r="C330" t="s">
        <v>1643</v>
      </c>
      <c r="E330" t="s">
        <v>767</v>
      </c>
      <c r="F330" t="s">
        <v>772</v>
      </c>
      <c r="G330" t="s">
        <v>1644</v>
      </c>
      <c r="H330" t="s">
        <v>750</v>
      </c>
      <c r="I330" t="s">
        <v>209</v>
      </c>
    </row>
    <row r="331" spans="1:9" x14ac:dyDescent="0.25">
      <c r="A331" t="s">
        <v>269</v>
      </c>
      <c r="B331" t="s">
        <v>1645</v>
      </c>
      <c r="C331" t="s">
        <v>1646</v>
      </c>
      <c r="D331">
        <v>1</v>
      </c>
      <c r="E331" t="s">
        <v>747</v>
      </c>
      <c r="F331" t="s">
        <v>1647</v>
      </c>
      <c r="G331" t="s">
        <v>1648</v>
      </c>
      <c r="H331" t="s">
        <v>750</v>
      </c>
      <c r="I331" t="s">
        <v>209</v>
      </c>
    </row>
    <row r="332" spans="1:9" x14ac:dyDescent="0.25">
      <c r="A332" t="s">
        <v>269</v>
      </c>
      <c r="B332" t="s">
        <v>272</v>
      </c>
      <c r="C332" t="s">
        <v>1649</v>
      </c>
      <c r="D332">
        <v>2</v>
      </c>
      <c r="E332" t="s">
        <v>747</v>
      </c>
      <c r="F332" t="s">
        <v>1650</v>
      </c>
      <c r="G332" t="s">
        <v>1648</v>
      </c>
      <c r="H332" t="s">
        <v>750</v>
      </c>
      <c r="I332" t="s">
        <v>209</v>
      </c>
    </row>
    <row r="333" spans="1:9" x14ac:dyDescent="0.25">
      <c r="A333" t="s">
        <v>269</v>
      </c>
      <c r="B333" t="s">
        <v>1651</v>
      </c>
      <c r="C333" t="s">
        <v>1652</v>
      </c>
      <c r="D333">
        <v>3</v>
      </c>
      <c r="E333" t="s">
        <v>747</v>
      </c>
      <c r="F333" t="s">
        <v>755</v>
      </c>
      <c r="G333" t="s">
        <v>1653</v>
      </c>
      <c r="H333" t="s">
        <v>750</v>
      </c>
      <c r="I333" t="s">
        <v>209</v>
      </c>
    </row>
    <row r="334" spans="1:9" x14ac:dyDescent="0.25">
      <c r="A334" t="s">
        <v>269</v>
      </c>
      <c r="B334" t="s">
        <v>1654</v>
      </c>
      <c r="C334" t="s">
        <v>1655</v>
      </c>
      <c r="D334">
        <v>4</v>
      </c>
      <c r="E334" t="s">
        <v>747</v>
      </c>
      <c r="F334" t="s">
        <v>758</v>
      </c>
      <c r="G334" t="s">
        <v>1656</v>
      </c>
      <c r="H334" t="s">
        <v>760</v>
      </c>
      <c r="I334" t="s">
        <v>209</v>
      </c>
    </row>
    <row r="335" spans="1:9" x14ac:dyDescent="0.25">
      <c r="A335" t="s">
        <v>269</v>
      </c>
      <c r="B335" t="s">
        <v>1657</v>
      </c>
      <c r="C335" t="s">
        <v>1658</v>
      </c>
      <c r="D335">
        <v>5</v>
      </c>
      <c r="E335" t="s">
        <v>747</v>
      </c>
      <c r="F335" t="s">
        <v>763</v>
      </c>
      <c r="G335" t="s">
        <v>1659</v>
      </c>
      <c r="H335" t="s">
        <v>760</v>
      </c>
      <c r="I335" t="s">
        <v>209</v>
      </c>
    </row>
    <row r="336" spans="1:9" x14ac:dyDescent="0.25">
      <c r="A336" t="s">
        <v>269</v>
      </c>
      <c r="B336" t="s">
        <v>765</v>
      </c>
      <c r="C336" t="s">
        <v>1660</v>
      </c>
      <c r="E336" t="s">
        <v>767</v>
      </c>
      <c r="F336" t="s">
        <v>768</v>
      </c>
      <c r="G336" t="s">
        <v>1661</v>
      </c>
      <c r="H336" t="s">
        <v>750</v>
      </c>
      <c r="I336" t="s">
        <v>209</v>
      </c>
    </row>
    <row r="337" spans="1:9" x14ac:dyDescent="0.25">
      <c r="A337" t="s">
        <v>269</v>
      </c>
      <c r="B337" t="s">
        <v>770</v>
      </c>
      <c r="C337" t="s">
        <v>1662</v>
      </c>
      <c r="E337" t="s">
        <v>767</v>
      </c>
      <c r="F337" t="s">
        <v>772</v>
      </c>
      <c r="G337" t="s">
        <v>1663</v>
      </c>
      <c r="H337" t="s">
        <v>750</v>
      </c>
      <c r="I337" t="s">
        <v>209</v>
      </c>
    </row>
    <row r="338" spans="1:9" x14ac:dyDescent="0.25">
      <c r="A338" t="s">
        <v>273</v>
      </c>
      <c r="B338" t="s">
        <v>1664</v>
      </c>
      <c r="C338" t="s">
        <v>1665</v>
      </c>
      <c r="D338">
        <v>1</v>
      </c>
      <c r="E338" t="s">
        <v>747</v>
      </c>
      <c r="F338" t="s">
        <v>1666</v>
      </c>
      <c r="G338" t="s">
        <v>1667</v>
      </c>
      <c r="H338" t="s">
        <v>750</v>
      </c>
      <c r="I338" t="s">
        <v>209</v>
      </c>
    </row>
    <row r="339" spans="1:9" x14ac:dyDescent="0.25">
      <c r="A339" t="s">
        <v>273</v>
      </c>
      <c r="B339" t="s">
        <v>1668</v>
      </c>
      <c r="C339" t="s">
        <v>1669</v>
      </c>
      <c r="D339">
        <v>2</v>
      </c>
      <c r="E339" t="s">
        <v>747</v>
      </c>
      <c r="F339" t="s">
        <v>1670</v>
      </c>
      <c r="G339" t="s">
        <v>1667</v>
      </c>
      <c r="H339" t="s">
        <v>750</v>
      </c>
      <c r="I339" t="s">
        <v>209</v>
      </c>
    </row>
    <row r="340" spans="1:9" x14ac:dyDescent="0.25">
      <c r="A340" t="s">
        <v>273</v>
      </c>
      <c r="B340" t="s">
        <v>1671</v>
      </c>
      <c r="C340" t="s">
        <v>1672</v>
      </c>
      <c r="D340">
        <v>3</v>
      </c>
      <c r="E340" t="s">
        <v>747</v>
      </c>
      <c r="F340" t="s">
        <v>755</v>
      </c>
      <c r="G340" t="s">
        <v>1673</v>
      </c>
      <c r="H340" t="s">
        <v>750</v>
      </c>
      <c r="I340" t="s">
        <v>209</v>
      </c>
    </row>
    <row r="341" spans="1:9" x14ac:dyDescent="0.25">
      <c r="A341" t="s">
        <v>273</v>
      </c>
      <c r="B341" t="s">
        <v>276</v>
      </c>
      <c r="C341" t="s">
        <v>1674</v>
      </c>
      <c r="D341">
        <v>4</v>
      </c>
      <c r="E341" t="s">
        <v>747</v>
      </c>
      <c r="F341" t="s">
        <v>758</v>
      </c>
      <c r="G341" t="s">
        <v>1675</v>
      </c>
      <c r="H341" t="s">
        <v>760</v>
      </c>
      <c r="I341" t="s">
        <v>209</v>
      </c>
    </row>
    <row r="342" spans="1:9" x14ac:dyDescent="0.25">
      <c r="A342" t="s">
        <v>273</v>
      </c>
      <c r="B342" t="s">
        <v>1676</v>
      </c>
      <c r="C342" t="s">
        <v>1677</v>
      </c>
      <c r="D342">
        <v>5</v>
      </c>
      <c r="E342" t="s">
        <v>747</v>
      </c>
      <c r="F342" t="s">
        <v>763</v>
      </c>
      <c r="G342" t="s">
        <v>1678</v>
      </c>
      <c r="H342" t="s">
        <v>760</v>
      </c>
      <c r="I342" t="s">
        <v>209</v>
      </c>
    </row>
    <row r="343" spans="1:9" x14ac:dyDescent="0.25">
      <c r="A343" t="s">
        <v>273</v>
      </c>
      <c r="B343" t="s">
        <v>765</v>
      </c>
      <c r="C343" t="s">
        <v>1679</v>
      </c>
      <c r="E343" t="s">
        <v>767</v>
      </c>
      <c r="F343" t="s">
        <v>768</v>
      </c>
      <c r="G343" t="s">
        <v>1680</v>
      </c>
      <c r="H343" t="s">
        <v>750</v>
      </c>
      <c r="I343" t="s">
        <v>209</v>
      </c>
    </row>
    <row r="344" spans="1:9" x14ac:dyDescent="0.25">
      <c r="A344" t="s">
        <v>273</v>
      </c>
      <c r="B344" t="s">
        <v>770</v>
      </c>
      <c r="C344" t="s">
        <v>1681</v>
      </c>
      <c r="E344" t="s">
        <v>767</v>
      </c>
      <c r="F344" t="s">
        <v>772</v>
      </c>
      <c r="G344" t="s">
        <v>1682</v>
      </c>
      <c r="H344" t="s">
        <v>750</v>
      </c>
      <c r="I344" t="s">
        <v>209</v>
      </c>
    </row>
    <row r="345" spans="1:9" x14ac:dyDescent="0.25">
      <c r="A345" t="s">
        <v>277</v>
      </c>
      <c r="B345" t="s">
        <v>1683</v>
      </c>
      <c r="C345" t="s">
        <v>1684</v>
      </c>
      <c r="D345">
        <v>1</v>
      </c>
      <c r="E345" t="s">
        <v>747</v>
      </c>
      <c r="F345" t="s">
        <v>1685</v>
      </c>
      <c r="G345" t="s">
        <v>1686</v>
      </c>
      <c r="H345" t="s">
        <v>750</v>
      </c>
      <c r="I345" t="s">
        <v>278</v>
      </c>
    </row>
    <row r="346" spans="1:9" x14ac:dyDescent="0.25">
      <c r="A346" t="s">
        <v>277</v>
      </c>
      <c r="B346" t="s">
        <v>1687</v>
      </c>
      <c r="C346" t="s">
        <v>1688</v>
      </c>
      <c r="D346">
        <v>2</v>
      </c>
      <c r="E346" t="s">
        <v>747</v>
      </c>
      <c r="F346" t="s">
        <v>1689</v>
      </c>
      <c r="G346" t="s">
        <v>1686</v>
      </c>
      <c r="H346" t="s">
        <v>750</v>
      </c>
      <c r="I346" t="s">
        <v>278</v>
      </c>
    </row>
    <row r="347" spans="1:9" x14ac:dyDescent="0.25">
      <c r="A347" t="s">
        <v>277</v>
      </c>
      <c r="B347" t="s">
        <v>1690</v>
      </c>
      <c r="C347" t="s">
        <v>1691</v>
      </c>
      <c r="D347">
        <v>3</v>
      </c>
      <c r="E347" t="s">
        <v>747</v>
      </c>
      <c r="F347" t="s">
        <v>755</v>
      </c>
      <c r="G347" t="s">
        <v>1692</v>
      </c>
      <c r="H347" t="s">
        <v>750</v>
      </c>
      <c r="I347" t="s">
        <v>278</v>
      </c>
    </row>
    <row r="348" spans="1:9" x14ac:dyDescent="0.25">
      <c r="A348" t="s">
        <v>277</v>
      </c>
      <c r="B348" t="s">
        <v>282</v>
      </c>
      <c r="C348" t="s">
        <v>1693</v>
      </c>
      <c r="D348">
        <v>4</v>
      </c>
      <c r="E348" t="s">
        <v>747</v>
      </c>
      <c r="F348" t="s">
        <v>758</v>
      </c>
      <c r="G348" t="s">
        <v>1694</v>
      </c>
      <c r="H348" t="s">
        <v>760</v>
      </c>
      <c r="I348" t="s">
        <v>278</v>
      </c>
    </row>
    <row r="349" spans="1:9" x14ac:dyDescent="0.25">
      <c r="A349" t="s">
        <v>277</v>
      </c>
      <c r="B349" t="s">
        <v>1695</v>
      </c>
      <c r="C349" t="s">
        <v>1696</v>
      </c>
      <c r="D349">
        <v>5</v>
      </c>
      <c r="E349" t="s">
        <v>747</v>
      </c>
      <c r="F349" t="s">
        <v>763</v>
      </c>
      <c r="G349" t="s">
        <v>1697</v>
      </c>
      <c r="H349" t="s">
        <v>760</v>
      </c>
      <c r="I349" t="s">
        <v>278</v>
      </c>
    </row>
    <row r="350" spans="1:9" x14ac:dyDescent="0.25">
      <c r="A350" t="s">
        <v>277</v>
      </c>
      <c r="B350" t="s">
        <v>765</v>
      </c>
      <c r="C350" t="s">
        <v>1698</v>
      </c>
      <c r="E350" t="s">
        <v>767</v>
      </c>
      <c r="F350" t="s">
        <v>768</v>
      </c>
      <c r="G350" t="s">
        <v>1699</v>
      </c>
      <c r="H350" t="s">
        <v>750</v>
      </c>
      <c r="I350" t="s">
        <v>278</v>
      </c>
    </row>
    <row r="351" spans="1:9" x14ac:dyDescent="0.25">
      <c r="A351" t="s">
        <v>277</v>
      </c>
      <c r="B351" t="s">
        <v>770</v>
      </c>
      <c r="C351" t="s">
        <v>1700</v>
      </c>
      <c r="E351" t="s">
        <v>767</v>
      </c>
      <c r="F351" t="s">
        <v>772</v>
      </c>
      <c r="G351" t="s">
        <v>1701</v>
      </c>
      <c r="H351" t="s">
        <v>750</v>
      </c>
      <c r="I351" t="s">
        <v>278</v>
      </c>
    </row>
    <row r="352" spans="1:9" x14ac:dyDescent="0.25">
      <c r="A352" t="s">
        <v>283</v>
      </c>
      <c r="B352" t="s">
        <v>1702</v>
      </c>
      <c r="C352" t="s">
        <v>1703</v>
      </c>
      <c r="D352">
        <v>1</v>
      </c>
      <c r="E352" t="s">
        <v>747</v>
      </c>
      <c r="F352" t="s">
        <v>1704</v>
      </c>
      <c r="G352" t="s">
        <v>1705</v>
      </c>
      <c r="H352" t="s">
        <v>750</v>
      </c>
      <c r="I352" t="s">
        <v>278</v>
      </c>
    </row>
    <row r="353" spans="1:9" x14ac:dyDescent="0.25">
      <c r="A353" t="s">
        <v>283</v>
      </c>
      <c r="B353" t="s">
        <v>1706</v>
      </c>
      <c r="C353" t="s">
        <v>1707</v>
      </c>
      <c r="D353">
        <v>2</v>
      </c>
      <c r="E353" t="s">
        <v>747</v>
      </c>
      <c r="F353" t="s">
        <v>1708</v>
      </c>
      <c r="G353" t="s">
        <v>1705</v>
      </c>
      <c r="H353" t="s">
        <v>750</v>
      </c>
      <c r="I353" t="s">
        <v>278</v>
      </c>
    </row>
    <row r="354" spans="1:9" x14ac:dyDescent="0.25">
      <c r="A354" t="s">
        <v>283</v>
      </c>
      <c r="B354" t="s">
        <v>286</v>
      </c>
      <c r="C354" t="s">
        <v>1709</v>
      </c>
      <c r="D354">
        <v>3</v>
      </c>
      <c r="E354" t="s">
        <v>747</v>
      </c>
      <c r="F354" t="s">
        <v>755</v>
      </c>
      <c r="G354" t="s">
        <v>1710</v>
      </c>
      <c r="H354" t="s">
        <v>750</v>
      </c>
      <c r="I354" t="s">
        <v>278</v>
      </c>
    </row>
    <row r="355" spans="1:9" x14ac:dyDescent="0.25">
      <c r="A355" t="s">
        <v>283</v>
      </c>
      <c r="B355" t="s">
        <v>1711</v>
      </c>
      <c r="C355" t="s">
        <v>1712</v>
      </c>
      <c r="D355">
        <v>4</v>
      </c>
      <c r="E355" t="s">
        <v>747</v>
      </c>
      <c r="F355" t="s">
        <v>758</v>
      </c>
      <c r="G355" t="s">
        <v>1713</v>
      </c>
      <c r="H355" t="s">
        <v>760</v>
      </c>
      <c r="I355" t="s">
        <v>278</v>
      </c>
    </row>
    <row r="356" spans="1:9" x14ac:dyDescent="0.25">
      <c r="A356" t="s">
        <v>283</v>
      </c>
      <c r="B356" t="s">
        <v>1714</v>
      </c>
      <c r="C356" t="s">
        <v>1715</v>
      </c>
      <c r="D356">
        <v>5</v>
      </c>
      <c r="E356" t="s">
        <v>747</v>
      </c>
      <c r="F356" t="s">
        <v>763</v>
      </c>
      <c r="G356" t="s">
        <v>1716</v>
      </c>
      <c r="H356" t="s">
        <v>760</v>
      </c>
      <c r="I356" t="s">
        <v>278</v>
      </c>
    </row>
    <row r="357" spans="1:9" x14ac:dyDescent="0.25">
      <c r="A357" t="s">
        <v>283</v>
      </c>
      <c r="B357" t="s">
        <v>765</v>
      </c>
      <c r="C357" t="s">
        <v>1717</v>
      </c>
      <c r="E357" t="s">
        <v>767</v>
      </c>
      <c r="F357" t="s">
        <v>768</v>
      </c>
      <c r="G357" t="s">
        <v>1718</v>
      </c>
      <c r="H357" t="s">
        <v>750</v>
      </c>
      <c r="I357" t="s">
        <v>278</v>
      </c>
    </row>
    <row r="358" spans="1:9" x14ac:dyDescent="0.25">
      <c r="A358" t="s">
        <v>283</v>
      </c>
      <c r="B358" t="s">
        <v>770</v>
      </c>
      <c r="C358" t="s">
        <v>1719</v>
      </c>
      <c r="E358" t="s">
        <v>767</v>
      </c>
      <c r="F358" t="s">
        <v>772</v>
      </c>
      <c r="G358" t="s">
        <v>1720</v>
      </c>
      <c r="H358" t="s">
        <v>750</v>
      </c>
      <c r="I358" t="s">
        <v>278</v>
      </c>
    </row>
    <row r="359" spans="1:9" x14ac:dyDescent="0.25">
      <c r="A359" t="s">
        <v>287</v>
      </c>
      <c r="B359" t="s">
        <v>1721</v>
      </c>
      <c r="C359" t="s">
        <v>1722</v>
      </c>
      <c r="D359">
        <v>1</v>
      </c>
      <c r="E359" t="s">
        <v>747</v>
      </c>
      <c r="F359" t="s">
        <v>1723</v>
      </c>
      <c r="G359" t="s">
        <v>1724</v>
      </c>
      <c r="H359" t="s">
        <v>750</v>
      </c>
      <c r="I359" t="s">
        <v>278</v>
      </c>
    </row>
    <row r="360" spans="1:9" x14ac:dyDescent="0.25">
      <c r="A360" t="s">
        <v>287</v>
      </c>
      <c r="B360" t="s">
        <v>1725</v>
      </c>
      <c r="C360" t="s">
        <v>1726</v>
      </c>
      <c r="D360">
        <v>2</v>
      </c>
      <c r="E360" t="s">
        <v>747</v>
      </c>
      <c r="F360" t="s">
        <v>1727</v>
      </c>
      <c r="G360" t="s">
        <v>1724</v>
      </c>
      <c r="H360" t="s">
        <v>750</v>
      </c>
      <c r="I360" t="s">
        <v>278</v>
      </c>
    </row>
    <row r="361" spans="1:9" x14ac:dyDescent="0.25">
      <c r="A361" t="s">
        <v>287</v>
      </c>
      <c r="B361" t="s">
        <v>290</v>
      </c>
      <c r="C361" t="s">
        <v>1728</v>
      </c>
      <c r="D361">
        <v>3</v>
      </c>
      <c r="E361" t="s">
        <v>747</v>
      </c>
      <c r="F361" t="s">
        <v>755</v>
      </c>
      <c r="G361" t="s">
        <v>1729</v>
      </c>
      <c r="H361" t="s">
        <v>750</v>
      </c>
      <c r="I361" t="s">
        <v>278</v>
      </c>
    </row>
    <row r="362" spans="1:9" x14ac:dyDescent="0.25">
      <c r="A362" t="s">
        <v>287</v>
      </c>
      <c r="B362" t="s">
        <v>1730</v>
      </c>
      <c r="C362" t="s">
        <v>1731</v>
      </c>
      <c r="D362">
        <v>4</v>
      </c>
      <c r="E362" t="s">
        <v>747</v>
      </c>
      <c r="F362" t="s">
        <v>758</v>
      </c>
      <c r="G362" t="s">
        <v>1732</v>
      </c>
      <c r="H362" t="s">
        <v>760</v>
      </c>
      <c r="I362" t="s">
        <v>278</v>
      </c>
    </row>
    <row r="363" spans="1:9" x14ac:dyDescent="0.25">
      <c r="A363" t="s">
        <v>287</v>
      </c>
      <c r="B363" t="s">
        <v>1733</v>
      </c>
      <c r="C363" t="s">
        <v>1734</v>
      </c>
      <c r="D363">
        <v>5</v>
      </c>
      <c r="E363" t="s">
        <v>747</v>
      </c>
      <c r="F363" t="s">
        <v>763</v>
      </c>
      <c r="G363" t="s">
        <v>1735</v>
      </c>
      <c r="H363" t="s">
        <v>760</v>
      </c>
      <c r="I363" t="s">
        <v>278</v>
      </c>
    </row>
    <row r="364" spans="1:9" x14ac:dyDescent="0.25">
      <c r="A364" t="s">
        <v>287</v>
      </c>
      <c r="B364" t="s">
        <v>765</v>
      </c>
      <c r="C364" t="s">
        <v>1736</v>
      </c>
      <c r="E364" t="s">
        <v>767</v>
      </c>
      <c r="F364" t="s">
        <v>768</v>
      </c>
      <c r="G364" t="s">
        <v>1737</v>
      </c>
      <c r="H364" t="s">
        <v>750</v>
      </c>
      <c r="I364" t="s">
        <v>278</v>
      </c>
    </row>
    <row r="365" spans="1:9" x14ac:dyDescent="0.25">
      <c r="A365" t="s">
        <v>287</v>
      </c>
      <c r="B365" t="s">
        <v>770</v>
      </c>
      <c r="C365" t="s">
        <v>1738</v>
      </c>
      <c r="E365" t="s">
        <v>767</v>
      </c>
      <c r="F365" t="s">
        <v>772</v>
      </c>
      <c r="G365" t="s">
        <v>1739</v>
      </c>
      <c r="H365" t="s">
        <v>750</v>
      </c>
      <c r="I365" t="s">
        <v>278</v>
      </c>
    </row>
    <row r="366" spans="1:9" x14ac:dyDescent="0.25">
      <c r="A366" t="s">
        <v>291</v>
      </c>
      <c r="B366" t="s">
        <v>1740</v>
      </c>
      <c r="C366" t="s">
        <v>1741</v>
      </c>
      <c r="D366">
        <v>1</v>
      </c>
      <c r="E366" t="s">
        <v>747</v>
      </c>
      <c r="F366" t="s">
        <v>1742</v>
      </c>
      <c r="G366" t="s">
        <v>1743</v>
      </c>
      <c r="H366" t="s">
        <v>750</v>
      </c>
      <c r="I366" t="s">
        <v>278</v>
      </c>
    </row>
    <row r="367" spans="1:9" x14ac:dyDescent="0.25">
      <c r="A367" t="s">
        <v>291</v>
      </c>
      <c r="B367" t="s">
        <v>1744</v>
      </c>
      <c r="C367" t="s">
        <v>1745</v>
      </c>
      <c r="D367">
        <v>2</v>
      </c>
      <c r="E367" t="s">
        <v>747</v>
      </c>
      <c r="F367" t="s">
        <v>1746</v>
      </c>
      <c r="G367" t="s">
        <v>1743</v>
      </c>
      <c r="H367" t="s">
        <v>750</v>
      </c>
      <c r="I367" t="s">
        <v>278</v>
      </c>
    </row>
    <row r="368" spans="1:9" x14ac:dyDescent="0.25">
      <c r="A368" t="s">
        <v>291</v>
      </c>
      <c r="B368" t="s">
        <v>294</v>
      </c>
      <c r="C368" t="s">
        <v>1747</v>
      </c>
      <c r="D368">
        <v>3</v>
      </c>
      <c r="E368" t="s">
        <v>747</v>
      </c>
      <c r="F368" t="s">
        <v>755</v>
      </c>
      <c r="G368" t="s">
        <v>1748</v>
      </c>
      <c r="H368" t="s">
        <v>750</v>
      </c>
      <c r="I368" t="s">
        <v>278</v>
      </c>
    </row>
    <row r="369" spans="1:9" x14ac:dyDescent="0.25">
      <c r="A369" t="s">
        <v>291</v>
      </c>
      <c r="B369" t="s">
        <v>1749</v>
      </c>
      <c r="C369" t="s">
        <v>1750</v>
      </c>
      <c r="D369">
        <v>4</v>
      </c>
      <c r="E369" t="s">
        <v>747</v>
      </c>
      <c r="F369" t="s">
        <v>758</v>
      </c>
      <c r="G369" t="s">
        <v>1751</v>
      </c>
      <c r="H369" t="s">
        <v>760</v>
      </c>
      <c r="I369" t="s">
        <v>278</v>
      </c>
    </row>
    <row r="370" spans="1:9" x14ac:dyDescent="0.25">
      <c r="A370" t="s">
        <v>291</v>
      </c>
      <c r="B370" t="s">
        <v>1752</v>
      </c>
      <c r="C370" t="s">
        <v>1753</v>
      </c>
      <c r="D370">
        <v>5</v>
      </c>
      <c r="E370" t="s">
        <v>747</v>
      </c>
      <c r="F370" t="s">
        <v>763</v>
      </c>
      <c r="G370" t="s">
        <v>1754</v>
      </c>
      <c r="H370" t="s">
        <v>760</v>
      </c>
      <c r="I370" t="s">
        <v>278</v>
      </c>
    </row>
    <row r="371" spans="1:9" x14ac:dyDescent="0.25">
      <c r="A371" t="s">
        <v>291</v>
      </c>
      <c r="B371" t="s">
        <v>765</v>
      </c>
      <c r="C371" t="s">
        <v>1755</v>
      </c>
      <c r="E371" t="s">
        <v>767</v>
      </c>
      <c r="F371" t="s">
        <v>768</v>
      </c>
      <c r="G371" t="s">
        <v>1756</v>
      </c>
      <c r="H371" t="s">
        <v>750</v>
      </c>
      <c r="I371" t="s">
        <v>278</v>
      </c>
    </row>
    <row r="372" spans="1:9" x14ac:dyDescent="0.25">
      <c r="A372" t="s">
        <v>291</v>
      </c>
      <c r="B372" t="s">
        <v>770</v>
      </c>
      <c r="C372" t="s">
        <v>1757</v>
      </c>
      <c r="E372" t="s">
        <v>767</v>
      </c>
      <c r="F372" t="s">
        <v>772</v>
      </c>
      <c r="G372" t="s">
        <v>1758</v>
      </c>
      <c r="H372" t="s">
        <v>750</v>
      </c>
      <c r="I372" t="s">
        <v>278</v>
      </c>
    </row>
    <row r="373" spans="1:9" x14ac:dyDescent="0.25">
      <c r="A373" t="s">
        <v>295</v>
      </c>
      <c r="B373" t="s">
        <v>1759</v>
      </c>
      <c r="C373" t="s">
        <v>1760</v>
      </c>
      <c r="D373">
        <v>1</v>
      </c>
      <c r="E373" t="s">
        <v>747</v>
      </c>
      <c r="F373" t="s">
        <v>1761</v>
      </c>
      <c r="G373" t="s">
        <v>1762</v>
      </c>
      <c r="H373" t="s">
        <v>750</v>
      </c>
      <c r="I373" t="s">
        <v>278</v>
      </c>
    </row>
    <row r="374" spans="1:9" x14ac:dyDescent="0.25">
      <c r="A374" t="s">
        <v>295</v>
      </c>
      <c r="B374" t="s">
        <v>299</v>
      </c>
      <c r="C374" t="s">
        <v>1763</v>
      </c>
      <c r="D374">
        <v>2</v>
      </c>
      <c r="E374" t="s">
        <v>747</v>
      </c>
      <c r="F374" t="s">
        <v>1764</v>
      </c>
      <c r="G374" t="s">
        <v>1762</v>
      </c>
      <c r="H374" t="s">
        <v>750</v>
      </c>
      <c r="I374" t="s">
        <v>278</v>
      </c>
    </row>
    <row r="375" spans="1:9" x14ac:dyDescent="0.25">
      <c r="A375" t="s">
        <v>295</v>
      </c>
      <c r="B375" t="s">
        <v>1765</v>
      </c>
      <c r="C375" t="s">
        <v>1766</v>
      </c>
      <c r="D375">
        <v>3</v>
      </c>
      <c r="E375" t="s">
        <v>747</v>
      </c>
      <c r="F375" t="s">
        <v>755</v>
      </c>
      <c r="G375" t="s">
        <v>1767</v>
      </c>
      <c r="H375" t="s">
        <v>750</v>
      </c>
      <c r="I375" t="s">
        <v>278</v>
      </c>
    </row>
    <row r="376" spans="1:9" x14ac:dyDescent="0.25">
      <c r="A376" t="s">
        <v>295</v>
      </c>
      <c r="B376" t="s">
        <v>1768</v>
      </c>
      <c r="C376" t="s">
        <v>1769</v>
      </c>
      <c r="D376">
        <v>4</v>
      </c>
      <c r="E376" t="s">
        <v>747</v>
      </c>
      <c r="F376" t="s">
        <v>758</v>
      </c>
      <c r="G376" t="s">
        <v>1770</v>
      </c>
      <c r="H376" t="s">
        <v>760</v>
      </c>
      <c r="I376" t="s">
        <v>278</v>
      </c>
    </row>
    <row r="377" spans="1:9" x14ac:dyDescent="0.25">
      <c r="A377" t="s">
        <v>295</v>
      </c>
      <c r="B377" t="s">
        <v>1771</v>
      </c>
      <c r="C377" t="s">
        <v>1772</v>
      </c>
      <c r="D377">
        <v>5</v>
      </c>
      <c r="E377" t="s">
        <v>747</v>
      </c>
      <c r="F377" t="s">
        <v>763</v>
      </c>
      <c r="G377" t="s">
        <v>1773</v>
      </c>
      <c r="H377" t="s">
        <v>760</v>
      </c>
      <c r="I377" t="s">
        <v>278</v>
      </c>
    </row>
    <row r="378" spans="1:9" x14ac:dyDescent="0.25">
      <c r="A378" t="s">
        <v>295</v>
      </c>
      <c r="B378" t="s">
        <v>765</v>
      </c>
      <c r="C378" t="s">
        <v>1774</v>
      </c>
      <c r="E378" t="s">
        <v>767</v>
      </c>
      <c r="F378" t="s">
        <v>768</v>
      </c>
      <c r="G378" t="s">
        <v>1775</v>
      </c>
      <c r="H378" t="s">
        <v>750</v>
      </c>
      <c r="I378" t="s">
        <v>278</v>
      </c>
    </row>
    <row r="379" spans="1:9" x14ac:dyDescent="0.25">
      <c r="A379" t="s">
        <v>295</v>
      </c>
      <c r="B379" t="s">
        <v>770</v>
      </c>
      <c r="C379" t="s">
        <v>1776</v>
      </c>
      <c r="E379" t="s">
        <v>767</v>
      </c>
      <c r="F379" t="s">
        <v>772</v>
      </c>
      <c r="G379" t="s">
        <v>1777</v>
      </c>
      <c r="H379" t="s">
        <v>750</v>
      </c>
      <c r="I379" t="s">
        <v>278</v>
      </c>
    </row>
    <row r="380" spans="1:9" x14ac:dyDescent="0.25">
      <c r="A380" t="s">
        <v>300</v>
      </c>
      <c r="B380" t="s">
        <v>1778</v>
      </c>
      <c r="C380" t="s">
        <v>1779</v>
      </c>
      <c r="D380">
        <v>1</v>
      </c>
      <c r="E380" t="s">
        <v>747</v>
      </c>
      <c r="F380" t="s">
        <v>1780</v>
      </c>
      <c r="G380" t="s">
        <v>1781</v>
      </c>
      <c r="H380" t="s">
        <v>750</v>
      </c>
      <c r="I380" t="s">
        <v>278</v>
      </c>
    </row>
    <row r="381" spans="1:9" x14ac:dyDescent="0.25">
      <c r="A381" t="s">
        <v>300</v>
      </c>
      <c r="B381" t="s">
        <v>303</v>
      </c>
      <c r="C381" t="s">
        <v>1782</v>
      </c>
      <c r="D381">
        <v>2</v>
      </c>
      <c r="E381" t="s">
        <v>747</v>
      </c>
      <c r="F381" t="s">
        <v>1783</v>
      </c>
      <c r="G381" t="s">
        <v>1781</v>
      </c>
      <c r="H381" t="s">
        <v>750</v>
      </c>
      <c r="I381" t="s">
        <v>278</v>
      </c>
    </row>
    <row r="382" spans="1:9" x14ac:dyDescent="0.25">
      <c r="A382" t="s">
        <v>300</v>
      </c>
      <c r="B382" t="s">
        <v>1784</v>
      </c>
      <c r="C382" t="s">
        <v>1785</v>
      </c>
      <c r="D382">
        <v>3</v>
      </c>
      <c r="E382" t="s">
        <v>747</v>
      </c>
      <c r="F382" t="s">
        <v>755</v>
      </c>
      <c r="G382" t="s">
        <v>1786</v>
      </c>
      <c r="H382" t="s">
        <v>750</v>
      </c>
      <c r="I382" t="s">
        <v>278</v>
      </c>
    </row>
    <row r="383" spans="1:9" x14ac:dyDescent="0.25">
      <c r="A383" t="s">
        <v>300</v>
      </c>
      <c r="B383" t="s">
        <v>1787</v>
      </c>
      <c r="C383" t="s">
        <v>1788</v>
      </c>
      <c r="D383">
        <v>4</v>
      </c>
      <c r="E383" t="s">
        <v>747</v>
      </c>
      <c r="F383" t="s">
        <v>758</v>
      </c>
      <c r="G383" t="s">
        <v>1789</v>
      </c>
      <c r="H383" t="s">
        <v>760</v>
      </c>
      <c r="I383" t="s">
        <v>278</v>
      </c>
    </row>
    <row r="384" spans="1:9" x14ac:dyDescent="0.25">
      <c r="A384" t="s">
        <v>300</v>
      </c>
      <c r="B384" t="s">
        <v>1790</v>
      </c>
      <c r="C384" t="s">
        <v>1791</v>
      </c>
      <c r="D384">
        <v>5</v>
      </c>
      <c r="E384" t="s">
        <v>747</v>
      </c>
      <c r="F384" t="s">
        <v>763</v>
      </c>
      <c r="G384" t="s">
        <v>1792</v>
      </c>
      <c r="H384" t="s">
        <v>760</v>
      </c>
      <c r="I384" t="s">
        <v>278</v>
      </c>
    </row>
    <row r="385" spans="1:9" x14ac:dyDescent="0.25">
      <c r="A385" t="s">
        <v>300</v>
      </c>
      <c r="B385" t="s">
        <v>765</v>
      </c>
      <c r="C385" t="s">
        <v>1793</v>
      </c>
      <c r="E385" t="s">
        <v>767</v>
      </c>
      <c r="F385" t="s">
        <v>768</v>
      </c>
      <c r="G385" t="s">
        <v>1794</v>
      </c>
      <c r="H385" t="s">
        <v>750</v>
      </c>
      <c r="I385" t="s">
        <v>278</v>
      </c>
    </row>
    <row r="386" spans="1:9" x14ac:dyDescent="0.25">
      <c r="A386" t="s">
        <v>300</v>
      </c>
      <c r="B386" t="s">
        <v>770</v>
      </c>
      <c r="C386" t="s">
        <v>1795</v>
      </c>
      <c r="E386" t="s">
        <v>767</v>
      </c>
      <c r="F386" t="s">
        <v>772</v>
      </c>
      <c r="G386" t="s">
        <v>1796</v>
      </c>
      <c r="H386" t="s">
        <v>750</v>
      </c>
      <c r="I386" t="s">
        <v>278</v>
      </c>
    </row>
    <row r="387" spans="1:9" x14ac:dyDescent="0.25">
      <c r="A387" t="s">
        <v>304</v>
      </c>
      <c r="B387" t="s">
        <v>1797</v>
      </c>
      <c r="C387" t="s">
        <v>1798</v>
      </c>
      <c r="D387">
        <v>1</v>
      </c>
      <c r="E387" t="s">
        <v>747</v>
      </c>
      <c r="F387" t="s">
        <v>1799</v>
      </c>
      <c r="G387" t="s">
        <v>1800</v>
      </c>
      <c r="H387" t="s">
        <v>750</v>
      </c>
      <c r="I387" t="s">
        <v>278</v>
      </c>
    </row>
    <row r="388" spans="1:9" x14ac:dyDescent="0.25">
      <c r="A388" t="s">
        <v>304</v>
      </c>
      <c r="B388" t="s">
        <v>307</v>
      </c>
      <c r="C388" t="s">
        <v>1801</v>
      </c>
      <c r="D388">
        <v>2</v>
      </c>
      <c r="E388" t="s">
        <v>747</v>
      </c>
      <c r="F388" t="s">
        <v>1802</v>
      </c>
      <c r="G388" t="s">
        <v>1800</v>
      </c>
      <c r="H388" t="s">
        <v>750</v>
      </c>
      <c r="I388" t="s">
        <v>278</v>
      </c>
    </row>
    <row r="389" spans="1:9" x14ac:dyDescent="0.25">
      <c r="A389" t="s">
        <v>304</v>
      </c>
      <c r="B389" t="s">
        <v>1803</v>
      </c>
      <c r="C389" t="s">
        <v>1804</v>
      </c>
      <c r="D389">
        <v>3</v>
      </c>
      <c r="E389" t="s">
        <v>747</v>
      </c>
      <c r="F389" t="s">
        <v>755</v>
      </c>
      <c r="G389" t="s">
        <v>1805</v>
      </c>
      <c r="H389" t="s">
        <v>750</v>
      </c>
      <c r="I389" t="s">
        <v>278</v>
      </c>
    </row>
    <row r="390" spans="1:9" x14ac:dyDescent="0.25">
      <c r="A390" t="s">
        <v>304</v>
      </c>
      <c r="B390" t="s">
        <v>1806</v>
      </c>
      <c r="C390" t="s">
        <v>1807</v>
      </c>
      <c r="D390">
        <v>4</v>
      </c>
      <c r="E390" t="s">
        <v>747</v>
      </c>
      <c r="F390" t="s">
        <v>758</v>
      </c>
      <c r="G390" t="s">
        <v>1808</v>
      </c>
      <c r="H390" t="s">
        <v>760</v>
      </c>
      <c r="I390" t="s">
        <v>278</v>
      </c>
    </row>
    <row r="391" spans="1:9" x14ac:dyDescent="0.25">
      <c r="A391" t="s">
        <v>304</v>
      </c>
      <c r="B391" t="s">
        <v>1809</v>
      </c>
      <c r="C391" t="s">
        <v>1810</v>
      </c>
      <c r="D391">
        <v>5</v>
      </c>
      <c r="E391" t="s">
        <v>747</v>
      </c>
      <c r="F391" t="s">
        <v>763</v>
      </c>
      <c r="G391" t="s">
        <v>1811</v>
      </c>
      <c r="H391" t="s">
        <v>760</v>
      </c>
      <c r="I391" t="s">
        <v>278</v>
      </c>
    </row>
    <row r="392" spans="1:9" x14ac:dyDescent="0.25">
      <c r="A392" t="s">
        <v>304</v>
      </c>
      <c r="B392" t="s">
        <v>765</v>
      </c>
      <c r="C392" t="s">
        <v>1812</v>
      </c>
      <c r="E392" t="s">
        <v>767</v>
      </c>
      <c r="F392" t="s">
        <v>768</v>
      </c>
      <c r="G392" t="s">
        <v>1813</v>
      </c>
      <c r="H392" t="s">
        <v>750</v>
      </c>
      <c r="I392" t="s">
        <v>278</v>
      </c>
    </row>
    <row r="393" spans="1:9" x14ac:dyDescent="0.25">
      <c r="A393" t="s">
        <v>304</v>
      </c>
      <c r="B393" t="s">
        <v>770</v>
      </c>
      <c r="C393" t="s">
        <v>1814</v>
      </c>
      <c r="E393" t="s">
        <v>767</v>
      </c>
      <c r="F393" t="s">
        <v>772</v>
      </c>
      <c r="G393" t="s">
        <v>1815</v>
      </c>
      <c r="H393" t="s">
        <v>750</v>
      </c>
      <c r="I393" t="s">
        <v>278</v>
      </c>
    </row>
    <row r="394" spans="1:9" x14ac:dyDescent="0.25">
      <c r="A394" t="s">
        <v>308</v>
      </c>
      <c r="B394" t="s">
        <v>1816</v>
      </c>
      <c r="C394" t="s">
        <v>1817</v>
      </c>
      <c r="D394">
        <v>1</v>
      </c>
      <c r="E394" t="s">
        <v>747</v>
      </c>
      <c r="F394" t="s">
        <v>1818</v>
      </c>
      <c r="G394" t="s">
        <v>1819</v>
      </c>
      <c r="H394" t="s">
        <v>750</v>
      </c>
      <c r="I394" t="s">
        <v>278</v>
      </c>
    </row>
    <row r="395" spans="1:9" x14ac:dyDescent="0.25">
      <c r="A395" t="s">
        <v>308</v>
      </c>
      <c r="B395" t="s">
        <v>311</v>
      </c>
      <c r="C395" t="s">
        <v>1820</v>
      </c>
      <c r="D395">
        <v>2</v>
      </c>
      <c r="E395" t="s">
        <v>747</v>
      </c>
      <c r="F395" t="s">
        <v>1821</v>
      </c>
      <c r="G395" t="s">
        <v>1819</v>
      </c>
      <c r="H395" t="s">
        <v>750</v>
      </c>
      <c r="I395" t="s">
        <v>278</v>
      </c>
    </row>
    <row r="396" spans="1:9" x14ac:dyDescent="0.25">
      <c r="A396" t="s">
        <v>308</v>
      </c>
      <c r="B396" t="s">
        <v>1822</v>
      </c>
      <c r="C396" t="s">
        <v>1823</v>
      </c>
      <c r="D396">
        <v>3</v>
      </c>
      <c r="E396" t="s">
        <v>747</v>
      </c>
      <c r="F396" t="s">
        <v>755</v>
      </c>
      <c r="G396" t="s">
        <v>1824</v>
      </c>
      <c r="H396" t="s">
        <v>750</v>
      </c>
      <c r="I396" t="s">
        <v>278</v>
      </c>
    </row>
    <row r="397" spans="1:9" x14ac:dyDescent="0.25">
      <c r="A397" t="s">
        <v>308</v>
      </c>
      <c r="B397" t="s">
        <v>1825</v>
      </c>
      <c r="C397" t="s">
        <v>1826</v>
      </c>
      <c r="D397">
        <v>4</v>
      </c>
      <c r="E397" t="s">
        <v>747</v>
      </c>
      <c r="F397" t="s">
        <v>758</v>
      </c>
      <c r="G397" t="s">
        <v>1827</v>
      </c>
      <c r="H397" t="s">
        <v>760</v>
      </c>
      <c r="I397" t="s">
        <v>278</v>
      </c>
    </row>
    <row r="398" spans="1:9" x14ac:dyDescent="0.25">
      <c r="A398" t="s">
        <v>308</v>
      </c>
      <c r="B398" t="s">
        <v>1828</v>
      </c>
      <c r="C398" t="s">
        <v>1829</v>
      </c>
      <c r="D398">
        <v>5</v>
      </c>
      <c r="E398" t="s">
        <v>747</v>
      </c>
      <c r="F398" t="s">
        <v>763</v>
      </c>
      <c r="G398" t="s">
        <v>1830</v>
      </c>
      <c r="H398" t="s">
        <v>760</v>
      </c>
      <c r="I398" t="s">
        <v>278</v>
      </c>
    </row>
    <row r="399" spans="1:9" x14ac:dyDescent="0.25">
      <c r="A399" t="s">
        <v>308</v>
      </c>
      <c r="B399" t="s">
        <v>765</v>
      </c>
      <c r="C399" t="s">
        <v>1831</v>
      </c>
      <c r="E399" t="s">
        <v>767</v>
      </c>
      <c r="F399" t="s">
        <v>768</v>
      </c>
      <c r="G399" t="s">
        <v>1832</v>
      </c>
      <c r="H399" t="s">
        <v>750</v>
      </c>
      <c r="I399" t="s">
        <v>278</v>
      </c>
    </row>
    <row r="400" spans="1:9" x14ac:dyDescent="0.25">
      <c r="A400" t="s">
        <v>308</v>
      </c>
      <c r="B400" t="s">
        <v>770</v>
      </c>
      <c r="C400" t="s">
        <v>1833</v>
      </c>
      <c r="E400" t="s">
        <v>767</v>
      </c>
      <c r="F400" t="s">
        <v>772</v>
      </c>
      <c r="G400" t="s">
        <v>1834</v>
      </c>
      <c r="H400" t="s">
        <v>750</v>
      </c>
      <c r="I400" t="s">
        <v>278</v>
      </c>
    </row>
    <row r="401" spans="1:9" x14ac:dyDescent="0.25">
      <c r="A401" t="s">
        <v>312</v>
      </c>
      <c r="B401" t="s">
        <v>1835</v>
      </c>
      <c r="C401" t="s">
        <v>1836</v>
      </c>
      <c r="D401">
        <v>1</v>
      </c>
      <c r="E401" t="s">
        <v>747</v>
      </c>
      <c r="F401" t="s">
        <v>1837</v>
      </c>
      <c r="G401" t="s">
        <v>1838</v>
      </c>
      <c r="H401" t="s">
        <v>750</v>
      </c>
      <c r="I401" t="s">
        <v>278</v>
      </c>
    </row>
    <row r="402" spans="1:9" x14ac:dyDescent="0.25">
      <c r="A402" t="s">
        <v>312</v>
      </c>
      <c r="B402" t="s">
        <v>316</v>
      </c>
      <c r="C402" t="s">
        <v>1839</v>
      </c>
      <c r="D402">
        <v>2</v>
      </c>
      <c r="E402" t="s">
        <v>747</v>
      </c>
      <c r="F402" t="s">
        <v>1840</v>
      </c>
      <c r="G402" t="s">
        <v>1838</v>
      </c>
      <c r="H402" t="s">
        <v>750</v>
      </c>
      <c r="I402" t="s">
        <v>278</v>
      </c>
    </row>
    <row r="403" spans="1:9" x14ac:dyDescent="0.25">
      <c r="A403" t="s">
        <v>312</v>
      </c>
      <c r="B403" t="s">
        <v>1841</v>
      </c>
      <c r="C403" t="s">
        <v>1842</v>
      </c>
      <c r="D403">
        <v>3</v>
      </c>
      <c r="E403" t="s">
        <v>747</v>
      </c>
      <c r="F403" t="s">
        <v>755</v>
      </c>
      <c r="G403" t="s">
        <v>1843</v>
      </c>
      <c r="H403" t="s">
        <v>750</v>
      </c>
      <c r="I403" t="s">
        <v>278</v>
      </c>
    </row>
    <row r="404" spans="1:9" x14ac:dyDescent="0.25">
      <c r="A404" t="s">
        <v>312</v>
      </c>
      <c r="B404" t="s">
        <v>1844</v>
      </c>
      <c r="C404" t="s">
        <v>1845</v>
      </c>
      <c r="D404">
        <v>4</v>
      </c>
      <c r="E404" t="s">
        <v>747</v>
      </c>
      <c r="F404" t="s">
        <v>758</v>
      </c>
      <c r="G404" t="s">
        <v>1846</v>
      </c>
      <c r="H404" t="s">
        <v>760</v>
      </c>
      <c r="I404" t="s">
        <v>278</v>
      </c>
    </row>
    <row r="405" spans="1:9" x14ac:dyDescent="0.25">
      <c r="A405" t="s">
        <v>312</v>
      </c>
      <c r="B405" t="s">
        <v>1847</v>
      </c>
      <c r="C405" t="s">
        <v>1848</v>
      </c>
      <c r="D405">
        <v>5</v>
      </c>
      <c r="E405" t="s">
        <v>747</v>
      </c>
      <c r="F405" t="s">
        <v>763</v>
      </c>
      <c r="G405" t="s">
        <v>1849</v>
      </c>
      <c r="H405" t="s">
        <v>760</v>
      </c>
      <c r="I405" t="s">
        <v>278</v>
      </c>
    </row>
    <row r="406" spans="1:9" x14ac:dyDescent="0.25">
      <c r="A406" t="s">
        <v>312</v>
      </c>
      <c r="B406" t="s">
        <v>765</v>
      </c>
      <c r="C406" t="s">
        <v>1850</v>
      </c>
      <c r="E406" t="s">
        <v>767</v>
      </c>
      <c r="F406" t="s">
        <v>768</v>
      </c>
      <c r="G406" t="s">
        <v>1851</v>
      </c>
      <c r="H406" t="s">
        <v>750</v>
      </c>
      <c r="I406" t="s">
        <v>278</v>
      </c>
    </row>
    <row r="407" spans="1:9" x14ac:dyDescent="0.25">
      <c r="A407" t="s">
        <v>312</v>
      </c>
      <c r="B407" t="s">
        <v>770</v>
      </c>
      <c r="C407" t="s">
        <v>1852</v>
      </c>
      <c r="E407" t="s">
        <v>767</v>
      </c>
      <c r="F407" t="s">
        <v>772</v>
      </c>
      <c r="G407" t="s">
        <v>1853</v>
      </c>
      <c r="H407" t="s">
        <v>750</v>
      </c>
      <c r="I407" t="s">
        <v>278</v>
      </c>
    </row>
    <row r="408" spans="1:9" x14ac:dyDescent="0.25">
      <c r="A408" t="s">
        <v>317</v>
      </c>
      <c r="B408" t="s">
        <v>1854</v>
      </c>
      <c r="C408" t="s">
        <v>1855</v>
      </c>
      <c r="D408">
        <v>1</v>
      </c>
      <c r="E408" t="s">
        <v>747</v>
      </c>
      <c r="F408" t="s">
        <v>1856</v>
      </c>
      <c r="G408" t="s">
        <v>1857</v>
      </c>
      <c r="H408" t="s">
        <v>750</v>
      </c>
      <c r="I408" t="s">
        <v>278</v>
      </c>
    </row>
    <row r="409" spans="1:9" x14ac:dyDescent="0.25">
      <c r="A409" t="s">
        <v>317</v>
      </c>
      <c r="B409" t="s">
        <v>1858</v>
      </c>
      <c r="C409" t="s">
        <v>1859</v>
      </c>
      <c r="D409">
        <v>2</v>
      </c>
      <c r="E409" t="s">
        <v>747</v>
      </c>
      <c r="F409" t="s">
        <v>1860</v>
      </c>
      <c r="G409" t="s">
        <v>1857</v>
      </c>
      <c r="H409" t="s">
        <v>750</v>
      </c>
      <c r="I409" t="s">
        <v>278</v>
      </c>
    </row>
    <row r="410" spans="1:9" x14ac:dyDescent="0.25">
      <c r="A410" t="s">
        <v>317</v>
      </c>
      <c r="B410" t="s">
        <v>320</v>
      </c>
      <c r="C410" t="s">
        <v>1861</v>
      </c>
      <c r="D410">
        <v>3</v>
      </c>
      <c r="E410" t="s">
        <v>747</v>
      </c>
      <c r="F410" t="s">
        <v>755</v>
      </c>
      <c r="G410" t="s">
        <v>1862</v>
      </c>
      <c r="H410" t="s">
        <v>750</v>
      </c>
      <c r="I410" t="s">
        <v>278</v>
      </c>
    </row>
    <row r="411" spans="1:9" x14ac:dyDescent="0.25">
      <c r="A411" t="s">
        <v>317</v>
      </c>
      <c r="B411" t="s">
        <v>1863</v>
      </c>
      <c r="C411" t="s">
        <v>1864</v>
      </c>
      <c r="D411">
        <v>4</v>
      </c>
      <c r="E411" t="s">
        <v>747</v>
      </c>
      <c r="F411" t="s">
        <v>758</v>
      </c>
      <c r="G411" t="s">
        <v>1865</v>
      </c>
      <c r="H411" t="s">
        <v>760</v>
      </c>
      <c r="I411" t="s">
        <v>278</v>
      </c>
    </row>
    <row r="412" spans="1:9" x14ac:dyDescent="0.25">
      <c r="A412" t="s">
        <v>317</v>
      </c>
      <c r="B412" t="s">
        <v>1866</v>
      </c>
      <c r="C412" t="s">
        <v>1867</v>
      </c>
      <c r="D412">
        <v>5</v>
      </c>
      <c r="E412" t="s">
        <v>747</v>
      </c>
      <c r="F412" t="s">
        <v>763</v>
      </c>
      <c r="G412" t="s">
        <v>1868</v>
      </c>
      <c r="H412" t="s">
        <v>760</v>
      </c>
      <c r="I412" t="s">
        <v>278</v>
      </c>
    </row>
    <row r="413" spans="1:9" x14ac:dyDescent="0.25">
      <c r="A413" t="s">
        <v>317</v>
      </c>
      <c r="B413" t="s">
        <v>765</v>
      </c>
      <c r="C413" t="s">
        <v>1869</v>
      </c>
      <c r="E413" t="s">
        <v>767</v>
      </c>
      <c r="F413" t="s">
        <v>768</v>
      </c>
      <c r="G413" t="s">
        <v>1870</v>
      </c>
      <c r="H413" t="s">
        <v>750</v>
      </c>
      <c r="I413" t="s">
        <v>278</v>
      </c>
    </row>
    <row r="414" spans="1:9" x14ac:dyDescent="0.25">
      <c r="A414" t="s">
        <v>317</v>
      </c>
      <c r="B414" t="s">
        <v>770</v>
      </c>
      <c r="C414" t="s">
        <v>1871</v>
      </c>
      <c r="E414" t="s">
        <v>767</v>
      </c>
      <c r="F414" t="s">
        <v>772</v>
      </c>
      <c r="G414" t="s">
        <v>1872</v>
      </c>
      <c r="H414" t="s">
        <v>750</v>
      </c>
      <c r="I414" t="s">
        <v>278</v>
      </c>
    </row>
    <row r="415" spans="1:9" x14ac:dyDescent="0.25">
      <c r="A415" t="s">
        <v>321</v>
      </c>
      <c r="B415" t="s">
        <v>1873</v>
      </c>
      <c r="C415" t="s">
        <v>1874</v>
      </c>
      <c r="D415">
        <v>1</v>
      </c>
      <c r="E415" t="s">
        <v>747</v>
      </c>
      <c r="F415" t="s">
        <v>1875</v>
      </c>
      <c r="G415" t="s">
        <v>1876</v>
      </c>
      <c r="H415" t="s">
        <v>750</v>
      </c>
      <c r="I415" t="s">
        <v>278</v>
      </c>
    </row>
    <row r="416" spans="1:9" x14ac:dyDescent="0.25">
      <c r="A416" t="s">
        <v>321</v>
      </c>
      <c r="B416" t="s">
        <v>1877</v>
      </c>
      <c r="C416" t="s">
        <v>1878</v>
      </c>
      <c r="D416">
        <v>2</v>
      </c>
      <c r="E416" t="s">
        <v>747</v>
      </c>
      <c r="F416" t="s">
        <v>1879</v>
      </c>
      <c r="G416" t="s">
        <v>1876</v>
      </c>
      <c r="H416" t="s">
        <v>750</v>
      </c>
      <c r="I416" t="s">
        <v>278</v>
      </c>
    </row>
    <row r="417" spans="1:9" x14ac:dyDescent="0.25">
      <c r="A417" t="s">
        <v>321</v>
      </c>
      <c r="B417" t="s">
        <v>324</v>
      </c>
      <c r="C417" t="s">
        <v>1880</v>
      </c>
      <c r="D417">
        <v>3</v>
      </c>
      <c r="E417" t="s">
        <v>747</v>
      </c>
      <c r="F417" t="s">
        <v>755</v>
      </c>
      <c r="G417" t="s">
        <v>1881</v>
      </c>
      <c r="H417" t="s">
        <v>750</v>
      </c>
      <c r="I417" t="s">
        <v>278</v>
      </c>
    </row>
    <row r="418" spans="1:9" x14ac:dyDescent="0.25">
      <c r="A418" t="s">
        <v>321</v>
      </c>
      <c r="B418" t="s">
        <v>1882</v>
      </c>
      <c r="C418" t="s">
        <v>1883</v>
      </c>
      <c r="D418">
        <v>4</v>
      </c>
      <c r="E418" t="s">
        <v>747</v>
      </c>
      <c r="F418" t="s">
        <v>758</v>
      </c>
      <c r="G418" t="s">
        <v>1884</v>
      </c>
      <c r="H418" t="s">
        <v>760</v>
      </c>
      <c r="I418" t="s">
        <v>278</v>
      </c>
    </row>
    <row r="419" spans="1:9" x14ac:dyDescent="0.25">
      <c r="A419" t="s">
        <v>321</v>
      </c>
      <c r="B419" t="s">
        <v>1885</v>
      </c>
      <c r="C419" t="s">
        <v>1886</v>
      </c>
      <c r="D419">
        <v>5</v>
      </c>
      <c r="E419" t="s">
        <v>747</v>
      </c>
      <c r="F419" t="s">
        <v>763</v>
      </c>
      <c r="G419" t="s">
        <v>1887</v>
      </c>
      <c r="H419" t="s">
        <v>760</v>
      </c>
      <c r="I419" t="s">
        <v>278</v>
      </c>
    </row>
    <row r="420" spans="1:9" x14ac:dyDescent="0.25">
      <c r="A420" t="s">
        <v>321</v>
      </c>
      <c r="B420" t="s">
        <v>765</v>
      </c>
      <c r="C420" t="s">
        <v>1888</v>
      </c>
      <c r="E420" t="s">
        <v>767</v>
      </c>
      <c r="F420" t="s">
        <v>768</v>
      </c>
      <c r="G420" t="s">
        <v>1889</v>
      </c>
      <c r="H420" t="s">
        <v>750</v>
      </c>
      <c r="I420" t="s">
        <v>278</v>
      </c>
    </row>
    <row r="421" spans="1:9" x14ac:dyDescent="0.25">
      <c r="A421" t="s">
        <v>321</v>
      </c>
      <c r="B421" t="s">
        <v>770</v>
      </c>
      <c r="C421" t="s">
        <v>1890</v>
      </c>
      <c r="E421" t="s">
        <v>767</v>
      </c>
      <c r="F421" t="s">
        <v>772</v>
      </c>
      <c r="G421" t="s">
        <v>1891</v>
      </c>
      <c r="H421" t="s">
        <v>750</v>
      </c>
      <c r="I421" t="s">
        <v>278</v>
      </c>
    </row>
    <row r="422" spans="1:9" x14ac:dyDescent="0.25">
      <c r="A422" t="s">
        <v>325</v>
      </c>
      <c r="B422" t="s">
        <v>1892</v>
      </c>
      <c r="C422" t="s">
        <v>1893</v>
      </c>
      <c r="D422">
        <v>1</v>
      </c>
      <c r="E422" t="s">
        <v>747</v>
      </c>
      <c r="F422" t="s">
        <v>1894</v>
      </c>
      <c r="G422" t="s">
        <v>1895</v>
      </c>
      <c r="H422" t="s">
        <v>750</v>
      </c>
      <c r="I422" t="s">
        <v>278</v>
      </c>
    </row>
    <row r="423" spans="1:9" x14ac:dyDescent="0.25">
      <c r="A423" t="s">
        <v>325</v>
      </c>
      <c r="B423" t="s">
        <v>1896</v>
      </c>
      <c r="C423" t="s">
        <v>1897</v>
      </c>
      <c r="D423">
        <v>2</v>
      </c>
      <c r="E423" t="s">
        <v>747</v>
      </c>
      <c r="F423" t="s">
        <v>1670</v>
      </c>
      <c r="G423" t="s">
        <v>1895</v>
      </c>
      <c r="H423" t="s">
        <v>750</v>
      </c>
      <c r="I423" t="s">
        <v>278</v>
      </c>
    </row>
    <row r="424" spans="1:9" x14ac:dyDescent="0.25">
      <c r="A424" t="s">
        <v>325</v>
      </c>
      <c r="B424" t="s">
        <v>1898</v>
      </c>
      <c r="C424" t="s">
        <v>1899</v>
      </c>
      <c r="D424">
        <v>3</v>
      </c>
      <c r="E424" t="s">
        <v>747</v>
      </c>
      <c r="F424" t="s">
        <v>755</v>
      </c>
      <c r="G424" t="s">
        <v>1900</v>
      </c>
      <c r="H424" t="s">
        <v>750</v>
      </c>
      <c r="I424" t="s">
        <v>278</v>
      </c>
    </row>
    <row r="425" spans="1:9" x14ac:dyDescent="0.25">
      <c r="A425" t="s">
        <v>325</v>
      </c>
      <c r="B425" t="s">
        <v>328</v>
      </c>
      <c r="C425" t="s">
        <v>1901</v>
      </c>
      <c r="D425">
        <v>4</v>
      </c>
      <c r="E425" t="s">
        <v>747</v>
      </c>
      <c r="F425" t="s">
        <v>758</v>
      </c>
      <c r="G425" t="s">
        <v>1902</v>
      </c>
      <c r="H425" t="s">
        <v>760</v>
      </c>
      <c r="I425" t="s">
        <v>278</v>
      </c>
    </row>
    <row r="426" spans="1:9" x14ac:dyDescent="0.25">
      <c r="A426" t="s">
        <v>325</v>
      </c>
      <c r="B426" t="s">
        <v>1903</v>
      </c>
      <c r="C426" t="s">
        <v>1904</v>
      </c>
      <c r="D426">
        <v>5</v>
      </c>
      <c r="E426" t="s">
        <v>747</v>
      </c>
      <c r="F426" t="s">
        <v>763</v>
      </c>
      <c r="G426" t="s">
        <v>1905</v>
      </c>
      <c r="H426" t="s">
        <v>760</v>
      </c>
      <c r="I426" t="s">
        <v>278</v>
      </c>
    </row>
    <row r="427" spans="1:9" x14ac:dyDescent="0.25">
      <c r="A427" t="s">
        <v>325</v>
      </c>
      <c r="B427" t="s">
        <v>765</v>
      </c>
      <c r="C427" t="s">
        <v>1906</v>
      </c>
      <c r="E427" t="s">
        <v>767</v>
      </c>
      <c r="F427" t="s">
        <v>768</v>
      </c>
      <c r="G427" t="s">
        <v>1907</v>
      </c>
      <c r="H427" t="s">
        <v>750</v>
      </c>
      <c r="I427" t="s">
        <v>278</v>
      </c>
    </row>
    <row r="428" spans="1:9" x14ac:dyDescent="0.25">
      <c r="A428" t="s">
        <v>325</v>
      </c>
      <c r="B428" t="s">
        <v>770</v>
      </c>
      <c r="C428" t="s">
        <v>1908</v>
      </c>
      <c r="E428" t="s">
        <v>767</v>
      </c>
      <c r="F428" t="s">
        <v>772</v>
      </c>
      <c r="G428" t="s">
        <v>1909</v>
      </c>
      <c r="H428" t="s">
        <v>750</v>
      </c>
      <c r="I428" t="s">
        <v>278</v>
      </c>
    </row>
    <row r="429" spans="1:9" x14ac:dyDescent="0.25">
      <c r="A429" t="s">
        <v>329</v>
      </c>
      <c r="B429" t="s">
        <v>1910</v>
      </c>
      <c r="C429" t="s">
        <v>1911</v>
      </c>
      <c r="D429">
        <v>1</v>
      </c>
      <c r="E429" t="s">
        <v>747</v>
      </c>
      <c r="F429" t="s">
        <v>1912</v>
      </c>
      <c r="G429" t="s">
        <v>1913</v>
      </c>
      <c r="H429" t="s">
        <v>750</v>
      </c>
      <c r="I429" t="s">
        <v>278</v>
      </c>
    </row>
    <row r="430" spans="1:9" x14ac:dyDescent="0.25">
      <c r="A430" t="s">
        <v>329</v>
      </c>
      <c r="B430" t="s">
        <v>333</v>
      </c>
      <c r="C430" t="s">
        <v>1914</v>
      </c>
      <c r="D430">
        <v>2</v>
      </c>
      <c r="E430" t="s">
        <v>747</v>
      </c>
      <c r="F430" t="s">
        <v>1915</v>
      </c>
      <c r="G430" t="s">
        <v>1913</v>
      </c>
      <c r="H430" t="s">
        <v>750</v>
      </c>
      <c r="I430" t="s">
        <v>278</v>
      </c>
    </row>
    <row r="431" spans="1:9" x14ac:dyDescent="0.25">
      <c r="A431" t="s">
        <v>329</v>
      </c>
      <c r="B431" t="s">
        <v>1916</v>
      </c>
      <c r="C431" t="s">
        <v>1917</v>
      </c>
      <c r="D431">
        <v>3</v>
      </c>
      <c r="E431" t="s">
        <v>747</v>
      </c>
      <c r="F431" t="s">
        <v>755</v>
      </c>
      <c r="G431" t="s">
        <v>1918</v>
      </c>
      <c r="H431" t="s">
        <v>750</v>
      </c>
      <c r="I431" t="s">
        <v>278</v>
      </c>
    </row>
    <row r="432" spans="1:9" x14ac:dyDescent="0.25">
      <c r="A432" t="s">
        <v>329</v>
      </c>
      <c r="B432" t="s">
        <v>1919</v>
      </c>
      <c r="C432" t="s">
        <v>1920</v>
      </c>
      <c r="D432">
        <v>4</v>
      </c>
      <c r="E432" t="s">
        <v>747</v>
      </c>
      <c r="F432" t="s">
        <v>758</v>
      </c>
      <c r="G432" t="s">
        <v>1921</v>
      </c>
      <c r="H432" t="s">
        <v>760</v>
      </c>
      <c r="I432" t="s">
        <v>278</v>
      </c>
    </row>
    <row r="433" spans="1:9" x14ac:dyDescent="0.25">
      <c r="A433" t="s">
        <v>329</v>
      </c>
      <c r="B433" t="s">
        <v>1922</v>
      </c>
      <c r="C433" t="s">
        <v>1923</v>
      </c>
      <c r="D433">
        <v>5</v>
      </c>
      <c r="E433" t="s">
        <v>747</v>
      </c>
      <c r="F433" t="s">
        <v>763</v>
      </c>
      <c r="G433" t="s">
        <v>1924</v>
      </c>
      <c r="H433" t="s">
        <v>760</v>
      </c>
      <c r="I433" t="s">
        <v>278</v>
      </c>
    </row>
    <row r="434" spans="1:9" x14ac:dyDescent="0.25">
      <c r="A434" t="s">
        <v>329</v>
      </c>
      <c r="B434" t="s">
        <v>765</v>
      </c>
      <c r="C434" t="s">
        <v>1925</v>
      </c>
      <c r="E434" t="s">
        <v>767</v>
      </c>
      <c r="F434" t="s">
        <v>768</v>
      </c>
      <c r="G434" t="s">
        <v>1926</v>
      </c>
      <c r="H434" t="s">
        <v>750</v>
      </c>
      <c r="I434" t="s">
        <v>278</v>
      </c>
    </row>
    <row r="435" spans="1:9" x14ac:dyDescent="0.25">
      <c r="A435" t="s">
        <v>329</v>
      </c>
      <c r="B435" t="s">
        <v>770</v>
      </c>
      <c r="C435" t="s">
        <v>1927</v>
      </c>
      <c r="E435" t="s">
        <v>767</v>
      </c>
      <c r="F435" t="s">
        <v>772</v>
      </c>
      <c r="G435" t="s">
        <v>1928</v>
      </c>
      <c r="H435" t="s">
        <v>750</v>
      </c>
      <c r="I435" t="s">
        <v>278</v>
      </c>
    </row>
    <row r="436" spans="1:9" x14ac:dyDescent="0.25">
      <c r="A436" t="s">
        <v>334</v>
      </c>
      <c r="B436" t="s">
        <v>1929</v>
      </c>
      <c r="C436" t="s">
        <v>1930</v>
      </c>
      <c r="D436">
        <v>1</v>
      </c>
      <c r="E436" t="s">
        <v>747</v>
      </c>
      <c r="F436" t="s">
        <v>1931</v>
      </c>
      <c r="G436" t="s">
        <v>1932</v>
      </c>
      <c r="H436" t="s">
        <v>750</v>
      </c>
      <c r="I436" t="s">
        <v>278</v>
      </c>
    </row>
    <row r="437" spans="1:9" x14ac:dyDescent="0.25">
      <c r="A437" t="s">
        <v>334</v>
      </c>
      <c r="B437" t="s">
        <v>1933</v>
      </c>
      <c r="C437" t="s">
        <v>1934</v>
      </c>
      <c r="D437">
        <v>2</v>
      </c>
      <c r="E437" t="s">
        <v>747</v>
      </c>
      <c r="F437" t="s">
        <v>1935</v>
      </c>
      <c r="G437" t="s">
        <v>1932</v>
      </c>
      <c r="H437" t="s">
        <v>750</v>
      </c>
      <c r="I437" t="s">
        <v>278</v>
      </c>
    </row>
    <row r="438" spans="1:9" x14ac:dyDescent="0.25">
      <c r="A438" t="s">
        <v>334</v>
      </c>
      <c r="B438" t="s">
        <v>337</v>
      </c>
      <c r="C438" t="s">
        <v>1936</v>
      </c>
      <c r="D438">
        <v>3</v>
      </c>
      <c r="E438" t="s">
        <v>747</v>
      </c>
      <c r="F438" t="s">
        <v>755</v>
      </c>
      <c r="G438" t="s">
        <v>1937</v>
      </c>
      <c r="H438" t="s">
        <v>750</v>
      </c>
      <c r="I438" t="s">
        <v>278</v>
      </c>
    </row>
    <row r="439" spans="1:9" x14ac:dyDescent="0.25">
      <c r="A439" t="s">
        <v>334</v>
      </c>
      <c r="B439" t="s">
        <v>1938</v>
      </c>
      <c r="C439" t="s">
        <v>1939</v>
      </c>
      <c r="D439">
        <v>4</v>
      </c>
      <c r="E439" t="s">
        <v>747</v>
      </c>
      <c r="F439" t="s">
        <v>758</v>
      </c>
      <c r="G439" t="s">
        <v>1940</v>
      </c>
      <c r="H439" t="s">
        <v>760</v>
      </c>
      <c r="I439" t="s">
        <v>278</v>
      </c>
    </row>
    <row r="440" spans="1:9" x14ac:dyDescent="0.25">
      <c r="A440" t="s">
        <v>334</v>
      </c>
      <c r="B440" t="s">
        <v>1941</v>
      </c>
      <c r="C440" t="s">
        <v>1942</v>
      </c>
      <c r="D440">
        <v>5</v>
      </c>
      <c r="E440" t="s">
        <v>747</v>
      </c>
      <c r="F440" t="s">
        <v>763</v>
      </c>
      <c r="G440" t="s">
        <v>1943</v>
      </c>
      <c r="H440" t="s">
        <v>760</v>
      </c>
      <c r="I440" t="s">
        <v>278</v>
      </c>
    </row>
    <row r="441" spans="1:9" x14ac:dyDescent="0.25">
      <c r="A441" t="s">
        <v>334</v>
      </c>
      <c r="B441" t="s">
        <v>765</v>
      </c>
      <c r="C441" t="s">
        <v>1944</v>
      </c>
      <c r="E441" t="s">
        <v>767</v>
      </c>
      <c r="F441" t="s">
        <v>768</v>
      </c>
      <c r="G441" t="s">
        <v>1945</v>
      </c>
      <c r="H441" t="s">
        <v>750</v>
      </c>
      <c r="I441" t="s">
        <v>278</v>
      </c>
    </row>
    <row r="442" spans="1:9" x14ac:dyDescent="0.25">
      <c r="A442" t="s">
        <v>334</v>
      </c>
      <c r="B442" t="s">
        <v>770</v>
      </c>
      <c r="C442" t="s">
        <v>1946</v>
      </c>
      <c r="E442" t="s">
        <v>767</v>
      </c>
      <c r="F442" t="s">
        <v>772</v>
      </c>
      <c r="G442" t="s">
        <v>1947</v>
      </c>
      <c r="H442" t="s">
        <v>750</v>
      </c>
      <c r="I442" t="s">
        <v>278</v>
      </c>
    </row>
    <row r="443" spans="1:9" x14ac:dyDescent="0.25">
      <c r="A443" t="s">
        <v>338</v>
      </c>
      <c r="B443" t="s">
        <v>1948</v>
      </c>
      <c r="C443" t="s">
        <v>1949</v>
      </c>
      <c r="D443">
        <v>1</v>
      </c>
      <c r="E443" t="s">
        <v>747</v>
      </c>
      <c r="F443" t="s">
        <v>1950</v>
      </c>
      <c r="G443" t="s">
        <v>1951</v>
      </c>
      <c r="H443" t="s">
        <v>750</v>
      </c>
      <c r="I443" t="s">
        <v>278</v>
      </c>
    </row>
    <row r="444" spans="1:9" x14ac:dyDescent="0.25">
      <c r="A444" t="s">
        <v>338</v>
      </c>
      <c r="B444" t="s">
        <v>341</v>
      </c>
      <c r="C444" t="s">
        <v>1952</v>
      </c>
      <c r="D444">
        <v>2</v>
      </c>
      <c r="E444" t="s">
        <v>747</v>
      </c>
      <c r="F444" t="s">
        <v>1953</v>
      </c>
      <c r="G444" t="s">
        <v>1951</v>
      </c>
      <c r="H444" t="s">
        <v>750</v>
      </c>
      <c r="I444" t="s">
        <v>278</v>
      </c>
    </row>
    <row r="445" spans="1:9" x14ac:dyDescent="0.25">
      <c r="A445" t="s">
        <v>338</v>
      </c>
      <c r="B445" t="s">
        <v>1954</v>
      </c>
      <c r="C445" t="s">
        <v>1955</v>
      </c>
      <c r="D445">
        <v>3</v>
      </c>
      <c r="E445" t="s">
        <v>747</v>
      </c>
      <c r="F445" t="s">
        <v>755</v>
      </c>
      <c r="G445" t="s">
        <v>1956</v>
      </c>
      <c r="H445" t="s">
        <v>750</v>
      </c>
      <c r="I445" t="s">
        <v>278</v>
      </c>
    </row>
    <row r="446" spans="1:9" x14ac:dyDescent="0.25">
      <c r="A446" t="s">
        <v>338</v>
      </c>
      <c r="B446" t="s">
        <v>1957</v>
      </c>
      <c r="C446" t="s">
        <v>1958</v>
      </c>
      <c r="D446">
        <v>4</v>
      </c>
      <c r="E446" t="s">
        <v>747</v>
      </c>
      <c r="F446" t="s">
        <v>758</v>
      </c>
      <c r="G446" t="s">
        <v>1959</v>
      </c>
      <c r="H446" t="s">
        <v>760</v>
      </c>
      <c r="I446" t="s">
        <v>278</v>
      </c>
    </row>
    <row r="447" spans="1:9" x14ac:dyDescent="0.25">
      <c r="A447" t="s">
        <v>338</v>
      </c>
      <c r="B447" t="s">
        <v>1960</v>
      </c>
      <c r="C447" t="s">
        <v>1961</v>
      </c>
      <c r="D447">
        <v>5</v>
      </c>
      <c r="E447" t="s">
        <v>747</v>
      </c>
      <c r="F447" t="s">
        <v>763</v>
      </c>
      <c r="G447" t="s">
        <v>1962</v>
      </c>
      <c r="H447" t="s">
        <v>760</v>
      </c>
      <c r="I447" t="s">
        <v>278</v>
      </c>
    </row>
    <row r="448" spans="1:9" x14ac:dyDescent="0.25">
      <c r="A448" t="s">
        <v>338</v>
      </c>
      <c r="B448" t="s">
        <v>765</v>
      </c>
      <c r="C448" t="s">
        <v>1963</v>
      </c>
      <c r="E448" t="s">
        <v>767</v>
      </c>
      <c r="F448" t="s">
        <v>768</v>
      </c>
      <c r="G448" t="s">
        <v>1964</v>
      </c>
      <c r="H448" t="s">
        <v>750</v>
      </c>
      <c r="I448" t="s">
        <v>278</v>
      </c>
    </row>
    <row r="449" spans="1:9" x14ac:dyDescent="0.25">
      <c r="A449" t="s">
        <v>338</v>
      </c>
      <c r="B449" t="s">
        <v>770</v>
      </c>
      <c r="C449" t="s">
        <v>1965</v>
      </c>
      <c r="E449" t="s">
        <v>767</v>
      </c>
      <c r="F449" t="s">
        <v>772</v>
      </c>
      <c r="G449" t="s">
        <v>1966</v>
      </c>
      <c r="H449" t="s">
        <v>750</v>
      </c>
      <c r="I449" t="s">
        <v>278</v>
      </c>
    </row>
    <row r="450" spans="1:9" x14ac:dyDescent="0.25">
      <c r="A450" t="s">
        <v>343</v>
      </c>
      <c r="B450" t="s">
        <v>1967</v>
      </c>
      <c r="C450" t="s">
        <v>1968</v>
      </c>
      <c r="D450">
        <v>1</v>
      </c>
      <c r="E450" t="s">
        <v>747</v>
      </c>
      <c r="F450" t="s">
        <v>1969</v>
      </c>
      <c r="G450" t="s">
        <v>1970</v>
      </c>
      <c r="H450" t="s">
        <v>750</v>
      </c>
      <c r="I450" t="s">
        <v>278</v>
      </c>
    </row>
    <row r="451" spans="1:9" x14ac:dyDescent="0.25">
      <c r="A451" t="s">
        <v>343</v>
      </c>
      <c r="B451" t="s">
        <v>1971</v>
      </c>
      <c r="C451" t="s">
        <v>1972</v>
      </c>
      <c r="D451">
        <v>2</v>
      </c>
      <c r="E451" t="s">
        <v>747</v>
      </c>
      <c r="F451" t="s">
        <v>1973</v>
      </c>
      <c r="G451" t="s">
        <v>1970</v>
      </c>
      <c r="H451" t="s">
        <v>750</v>
      </c>
      <c r="I451" t="s">
        <v>278</v>
      </c>
    </row>
    <row r="452" spans="1:9" x14ac:dyDescent="0.25">
      <c r="A452" t="s">
        <v>343</v>
      </c>
      <c r="B452" t="s">
        <v>1974</v>
      </c>
      <c r="C452" t="s">
        <v>1975</v>
      </c>
      <c r="D452">
        <v>3</v>
      </c>
      <c r="E452" t="s">
        <v>747</v>
      </c>
      <c r="F452" t="s">
        <v>755</v>
      </c>
      <c r="G452" t="s">
        <v>1976</v>
      </c>
      <c r="H452" t="s">
        <v>750</v>
      </c>
      <c r="I452" t="s">
        <v>278</v>
      </c>
    </row>
    <row r="453" spans="1:9" x14ac:dyDescent="0.25">
      <c r="A453" t="s">
        <v>343</v>
      </c>
      <c r="B453" t="s">
        <v>346</v>
      </c>
      <c r="C453" t="s">
        <v>1977</v>
      </c>
      <c r="D453">
        <v>4</v>
      </c>
      <c r="E453" t="s">
        <v>747</v>
      </c>
      <c r="F453" t="s">
        <v>758</v>
      </c>
      <c r="G453" t="s">
        <v>1978</v>
      </c>
      <c r="H453" t="s">
        <v>760</v>
      </c>
      <c r="I453" t="s">
        <v>278</v>
      </c>
    </row>
    <row r="454" spans="1:9" x14ac:dyDescent="0.25">
      <c r="A454" t="s">
        <v>343</v>
      </c>
      <c r="B454" t="s">
        <v>1979</v>
      </c>
      <c r="C454" t="s">
        <v>1980</v>
      </c>
      <c r="D454">
        <v>5</v>
      </c>
      <c r="E454" t="s">
        <v>747</v>
      </c>
      <c r="F454" t="s">
        <v>763</v>
      </c>
      <c r="G454" t="s">
        <v>1981</v>
      </c>
      <c r="H454" t="s">
        <v>760</v>
      </c>
      <c r="I454" t="s">
        <v>278</v>
      </c>
    </row>
    <row r="455" spans="1:9" x14ac:dyDescent="0.25">
      <c r="A455" t="s">
        <v>343</v>
      </c>
      <c r="B455" t="s">
        <v>765</v>
      </c>
      <c r="C455" t="s">
        <v>1982</v>
      </c>
      <c r="E455" t="s">
        <v>767</v>
      </c>
      <c r="F455" t="s">
        <v>768</v>
      </c>
      <c r="G455" t="s">
        <v>1983</v>
      </c>
      <c r="H455" t="s">
        <v>750</v>
      </c>
      <c r="I455" t="s">
        <v>278</v>
      </c>
    </row>
    <row r="456" spans="1:9" x14ac:dyDescent="0.25">
      <c r="A456" t="s">
        <v>343</v>
      </c>
      <c r="B456" t="s">
        <v>770</v>
      </c>
      <c r="C456" t="s">
        <v>1984</v>
      </c>
      <c r="E456" t="s">
        <v>767</v>
      </c>
      <c r="F456" t="s">
        <v>772</v>
      </c>
      <c r="G456" t="s">
        <v>1985</v>
      </c>
      <c r="H456" t="s">
        <v>750</v>
      </c>
      <c r="I456" t="s">
        <v>278</v>
      </c>
    </row>
    <row r="457" spans="1:9" x14ac:dyDescent="0.25">
      <c r="A457" t="s">
        <v>347</v>
      </c>
      <c r="B457" t="s">
        <v>352</v>
      </c>
      <c r="C457" t="s">
        <v>1986</v>
      </c>
      <c r="D457">
        <v>1</v>
      </c>
      <c r="E457" t="s">
        <v>747</v>
      </c>
      <c r="F457" t="s">
        <v>1987</v>
      </c>
      <c r="G457" t="s">
        <v>1988</v>
      </c>
      <c r="H457" t="s">
        <v>750</v>
      </c>
      <c r="I457" t="s">
        <v>348</v>
      </c>
    </row>
    <row r="458" spans="1:9" x14ac:dyDescent="0.25">
      <c r="A458" t="s">
        <v>347</v>
      </c>
      <c r="B458" t="s">
        <v>1989</v>
      </c>
      <c r="C458" t="s">
        <v>1990</v>
      </c>
      <c r="D458">
        <v>2</v>
      </c>
      <c r="E458" t="s">
        <v>747</v>
      </c>
      <c r="F458" t="s">
        <v>1991</v>
      </c>
      <c r="G458" t="s">
        <v>1988</v>
      </c>
      <c r="H458" t="s">
        <v>750</v>
      </c>
      <c r="I458" t="s">
        <v>348</v>
      </c>
    </row>
    <row r="459" spans="1:9" x14ac:dyDescent="0.25">
      <c r="A459" t="s">
        <v>347</v>
      </c>
      <c r="B459" t="s">
        <v>1992</v>
      </c>
      <c r="C459" t="s">
        <v>1993</v>
      </c>
      <c r="D459">
        <v>3</v>
      </c>
      <c r="E459" t="s">
        <v>747</v>
      </c>
      <c r="F459" t="s">
        <v>755</v>
      </c>
      <c r="G459" t="s">
        <v>1994</v>
      </c>
      <c r="H459" t="s">
        <v>750</v>
      </c>
      <c r="I459" t="s">
        <v>348</v>
      </c>
    </row>
    <row r="460" spans="1:9" x14ac:dyDescent="0.25">
      <c r="A460" t="s">
        <v>347</v>
      </c>
      <c r="B460" t="s">
        <v>1995</v>
      </c>
      <c r="C460" t="s">
        <v>1996</v>
      </c>
      <c r="D460">
        <v>4</v>
      </c>
      <c r="E460" t="s">
        <v>747</v>
      </c>
      <c r="F460" t="s">
        <v>758</v>
      </c>
      <c r="G460" t="s">
        <v>1997</v>
      </c>
      <c r="H460" t="s">
        <v>760</v>
      </c>
      <c r="I460" t="s">
        <v>348</v>
      </c>
    </row>
    <row r="461" spans="1:9" x14ac:dyDescent="0.25">
      <c r="A461" t="s">
        <v>347</v>
      </c>
      <c r="B461" t="s">
        <v>1998</v>
      </c>
      <c r="C461" t="s">
        <v>1999</v>
      </c>
      <c r="D461">
        <v>5</v>
      </c>
      <c r="E461" t="s">
        <v>747</v>
      </c>
      <c r="F461" t="s">
        <v>763</v>
      </c>
      <c r="G461" t="s">
        <v>2000</v>
      </c>
      <c r="H461" t="s">
        <v>760</v>
      </c>
      <c r="I461" t="s">
        <v>348</v>
      </c>
    </row>
    <row r="462" spans="1:9" x14ac:dyDescent="0.25">
      <c r="A462" t="s">
        <v>347</v>
      </c>
      <c r="B462" t="s">
        <v>765</v>
      </c>
      <c r="C462" t="s">
        <v>2001</v>
      </c>
      <c r="E462" t="s">
        <v>767</v>
      </c>
      <c r="F462" t="s">
        <v>768</v>
      </c>
      <c r="G462" t="s">
        <v>2002</v>
      </c>
      <c r="H462" t="s">
        <v>750</v>
      </c>
      <c r="I462" t="s">
        <v>348</v>
      </c>
    </row>
    <row r="463" spans="1:9" x14ac:dyDescent="0.25">
      <c r="A463" t="s">
        <v>347</v>
      </c>
      <c r="B463" t="s">
        <v>770</v>
      </c>
      <c r="C463" t="s">
        <v>2003</v>
      </c>
      <c r="E463" t="s">
        <v>767</v>
      </c>
      <c r="F463" t="s">
        <v>772</v>
      </c>
      <c r="G463" t="s">
        <v>2004</v>
      </c>
      <c r="H463" t="s">
        <v>750</v>
      </c>
      <c r="I463" t="s">
        <v>348</v>
      </c>
    </row>
    <row r="464" spans="1:9" x14ac:dyDescent="0.25">
      <c r="A464" t="s">
        <v>353</v>
      </c>
      <c r="B464" t="s">
        <v>356</v>
      </c>
      <c r="C464" t="s">
        <v>2005</v>
      </c>
      <c r="D464">
        <v>1</v>
      </c>
      <c r="E464" t="s">
        <v>747</v>
      </c>
      <c r="F464" t="s">
        <v>2006</v>
      </c>
      <c r="G464" t="s">
        <v>2007</v>
      </c>
      <c r="H464" t="s">
        <v>750</v>
      </c>
      <c r="I464" t="s">
        <v>348</v>
      </c>
    </row>
    <row r="465" spans="1:9" x14ac:dyDescent="0.25">
      <c r="A465" t="s">
        <v>353</v>
      </c>
      <c r="B465" t="s">
        <v>2008</v>
      </c>
      <c r="C465" t="s">
        <v>2009</v>
      </c>
      <c r="D465">
        <v>2</v>
      </c>
      <c r="E465" t="s">
        <v>747</v>
      </c>
      <c r="F465" t="s">
        <v>2010</v>
      </c>
      <c r="G465" t="s">
        <v>2007</v>
      </c>
      <c r="H465" t="s">
        <v>750</v>
      </c>
      <c r="I465" t="s">
        <v>348</v>
      </c>
    </row>
    <row r="466" spans="1:9" x14ac:dyDescent="0.25">
      <c r="A466" t="s">
        <v>353</v>
      </c>
      <c r="B466" t="s">
        <v>2011</v>
      </c>
      <c r="C466" t="s">
        <v>2012</v>
      </c>
      <c r="D466">
        <v>3</v>
      </c>
      <c r="E466" t="s">
        <v>747</v>
      </c>
      <c r="F466" t="s">
        <v>755</v>
      </c>
      <c r="G466" t="s">
        <v>2013</v>
      </c>
      <c r="H466" t="s">
        <v>750</v>
      </c>
      <c r="I466" t="s">
        <v>348</v>
      </c>
    </row>
    <row r="467" spans="1:9" x14ac:dyDescent="0.25">
      <c r="A467" t="s">
        <v>353</v>
      </c>
      <c r="B467" t="s">
        <v>2014</v>
      </c>
      <c r="C467" t="s">
        <v>2015</v>
      </c>
      <c r="D467">
        <v>4</v>
      </c>
      <c r="E467" t="s">
        <v>747</v>
      </c>
      <c r="F467" t="s">
        <v>758</v>
      </c>
      <c r="G467" t="s">
        <v>2016</v>
      </c>
      <c r="H467" t="s">
        <v>760</v>
      </c>
      <c r="I467" t="s">
        <v>348</v>
      </c>
    </row>
    <row r="468" spans="1:9" x14ac:dyDescent="0.25">
      <c r="A468" t="s">
        <v>353</v>
      </c>
      <c r="B468" t="s">
        <v>2017</v>
      </c>
      <c r="C468" t="s">
        <v>2018</v>
      </c>
      <c r="D468">
        <v>5</v>
      </c>
      <c r="E468" t="s">
        <v>747</v>
      </c>
      <c r="F468" t="s">
        <v>763</v>
      </c>
      <c r="G468" t="s">
        <v>2019</v>
      </c>
      <c r="H468" t="s">
        <v>760</v>
      </c>
      <c r="I468" t="s">
        <v>348</v>
      </c>
    </row>
    <row r="469" spans="1:9" x14ac:dyDescent="0.25">
      <c r="A469" t="s">
        <v>353</v>
      </c>
      <c r="B469" t="s">
        <v>765</v>
      </c>
      <c r="C469" t="s">
        <v>2020</v>
      </c>
      <c r="E469" t="s">
        <v>767</v>
      </c>
      <c r="F469" t="s">
        <v>768</v>
      </c>
      <c r="G469" t="s">
        <v>2021</v>
      </c>
      <c r="H469" t="s">
        <v>750</v>
      </c>
      <c r="I469" t="s">
        <v>348</v>
      </c>
    </row>
    <row r="470" spans="1:9" x14ac:dyDescent="0.25">
      <c r="A470" t="s">
        <v>353</v>
      </c>
      <c r="B470" t="s">
        <v>770</v>
      </c>
      <c r="C470" t="s">
        <v>2022</v>
      </c>
      <c r="E470" t="s">
        <v>767</v>
      </c>
      <c r="F470" t="s">
        <v>772</v>
      </c>
      <c r="G470" t="s">
        <v>2023</v>
      </c>
      <c r="H470" t="s">
        <v>750</v>
      </c>
      <c r="I470" t="s">
        <v>348</v>
      </c>
    </row>
    <row r="471" spans="1:9" x14ac:dyDescent="0.25">
      <c r="A471" t="s">
        <v>357</v>
      </c>
      <c r="B471" t="s">
        <v>360</v>
      </c>
      <c r="C471" t="s">
        <v>2024</v>
      </c>
      <c r="D471">
        <v>1</v>
      </c>
      <c r="E471" t="s">
        <v>747</v>
      </c>
      <c r="F471" t="s">
        <v>2025</v>
      </c>
      <c r="G471" t="s">
        <v>2026</v>
      </c>
      <c r="H471" t="s">
        <v>750</v>
      </c>
      <c r="I471" t="s">
        <v>348</v>
      </c>
    </row>
    <row r="472" spans="1:9" x14ac:dyDescent="0.25">
      <c r="A472" t="s">
        <v>357</v>
      </c>
      <c r="B472" t="s">
        <v>2027</v>
      </c>
      <c r="C472" t="s">
        <v>2028</v>
      </c>
      <c r="D472">
        <v>2</v>
      </c>
      <c r="E472" t="s">
        <v>747</v>
      </c>
      <c r="F472" t="s">
        <v>2029</v>
      </c>
      <c r="G472" t="s">
        <v>2026</v>
      </c>
      <c r="H472" t="s">
        <v>750</v>
      </c>
      <c r="I472" t="s">
        <v>348</v>
      </c>
    </row>
    <row r="473" spans="1:9" x14ac:dyDescent="0.25">
      <c r="A473" t="s">
        <v>357</v>
      </c>
      <c r="B473" t="s">
        <v>2030</v>
      </c>
      <c r="C473" t="s">
        <v>2031</v>
      </c>
      <c r="D473">
        <v>3</v>
      </c>
      <c r="E473" t="s">
        <v>747</v>
      </c>
      <c r="F473" t="s">
        <v>755</v>
      </c>
      <c r="G473" t="s">
        <v>2032</v>
      </c>
      <c r="H473" t="s">
        <v>750</v>
      </c>
      <c r="I473" t="s">
        <v>348</v>
      </c>
    </row>
    <row r="474" spans="1:9" x14ac:dyDescent="0.25">
      <c r="A474" t="s">
        <v>357</v>
      </c>
      <c r="B474" t="s">
        <v>2033</v>
      </c>
      <c r="C474" t="s">
        <v>2034</v>
      </c>
      <c r="D474">
        <v>4</v>
      </c>
      <c r="E474" t="s">
        <v>747</v>
      </c>
      <c r="F474" t="s">
        <v>758</v>
      </c>
      <c r="G474" t="s">
        <v>2035</v>
      </c>
      <c r="H474" t="s">
        <v>760</v>
      </c>
      <c r="I474" t="s">
        <v>348</v>
      </c>
    </row>
    <row r="475" spans="1:9" x14ac:dyDescent="0.25">
      <c r="A475" t="s">
        <v>357</v>
      </c>
      <c r="B475" t="s">
        <v>2036</v>
      </c>
      <c r="C475" t="s">
        <v>2037</v>
      </c>
      <c r="D475">
        <v>5</v>
      </c>
      <c r="E475" t="s">
        <v>747</v>
      </c>
      <c r="F475" t="s">
        <v>763</v>
      </c>
      <c r="G475" t="s">
        <v>2038</v>
      </c>
      <c r="H475" t="s">
        <v>760</v>
      </c>
      <c r="I475" t="s">
        <v>348</v>
      </c>
    </row>
    <row r="476" spans="1:9" x14ac:dyDescent="0.25">
      <c r="A476" t="s">
        <v>357</v>
      </c>
      <c r="B476" t="s">
        <v>765</v>
      </c>
      <c r="C476" t="s">
        <v>2039</v>
      </c>
      <c r="E476" t="s">
        <v>767</v>
      </c>
      <c r="F476" t="s">
        <v>768</v>
      </c>
      <c r="G476" t="s">
        <v>2040</v>
      </c>
      <c r="H476" t="s">
        <v>750</v>
      </c>
      <c r="I476" t="s">
        <v>348</v>
      </c>
    </row>
    <row r="477" spans="1:9" x14ac:dyDescent="0.25">
      <c r="A477" t="s">
        <v>357</v>
      </c>
      <c r="B477" t="s">
        <v>770</v>
      </c>
      <c r="C477" t="s">
        <v>2041</v>
      </c>
      <c r="E477" t="s">
        <v>767</v>
      </c>
      <c r="F477" t="s">
        <v>772</v>
      </c>
      <c r="G477" t="s">
        <v>2042</v>
      </c>
      <c r="H477" t="s">
        <v>750</v>
      </c>
      <c r="I477" t="s">
        <v>348</v>
      </c>
    </row>
    <row r="478" spans="1:9" x14ac:dyDescent="0.25">
      <c r="A478" t="s">
        <v>361</v>
      </c>
      <c r="B478" t="s">
        <v>364</v>
      </c>
      <c r="C478" t="s">
        <v>2043</v>
      </c>
      <c r="D478">
        <v>1</v>
      </c>
      <c r="E478" t="s">
        <v>747</v>
      </c>
      <c r="F478" t="s">
        <v>2044</v>
      </c>
      <c r="G478" t="s">
        <v>2045</v>
      </c>
      <c r="H478" t="s">
        <v>750</v>
      </c>
      <c r="I478" t="s">
        <v>348</v>
      </c>
    </row>
    <row r="479" spans="1:9" x14ac:dyDescent="0.25">
      <c r="A479" t="s">
        <v>361</v>
      </c>
      <c r="B479" t="s">
        <v>2046</v>
      </c>
      <c r="C479" t="s">
        <v>2047</v>
      </c>
      <c r="D479">
        <v>2</v>
      </c>
      <c r="E479" t="s">
        <v>747</v>
      </c>
      <c r="F479" t="s">
        <v>2048</v>
      </c>
      <c r="G479" t="s">
        <v>2045</v>
      </c>
      <c r="H479" t="s">
        <v>750</v>
      </c>
      <c r="I479" t="s">
        <v>348</v>
      </c>
    </row>
    <row r="480" spans="1:9" x14ac:dyDescent="0.25">
      <c r="A480" t="s">
        <v>361</v>
      </c>
      <c r="B480" t="s">
        <v>2049</v>
      </c>
      <c r="C480" t="s">
        <v>2050</v>
      </c>
      <c r="D480">
        <v>3</v>
      </c>
      <c r="E480" t="s">
        <v>747</v>
      </c>
      <c r="F480" t="s">
        <v>755</v>
      </c>
      <c r="G480" t="s">
        <v>2051</v>
      </c>
      <c r="H480" t="s">
        <v>750</v>
      </c>
      <c r="I480" t="s">
        <v>348</v>
      </c>
    </row>
    <row r="481" spans="1:9" x14ac:dyDescent="0.25">
      <c r="A481" t="s">
        <v>361</v>
      </c>
      <c r="B481" t="s">
        <v>2052</v>
      </c>
      <c r="C481" t="s">
        <v>2053</v>
      </c>
      <c r="D481">
        <v>4</v>
      </c>
      <c r="E481" t="s">
        <v>747</v>
      </c>
      <c r="F481" t="s">
        <v>758</v>
      </c>
      <c r="G481" t="s">
        <v>2054</v>
      </c>
      <c r="H481" t="s">
        <v>760</v>
      </c>
      <c r="I481" t="s">
        <v>348</v>
      </c>
    </row>
    <row r="482" spans="1:9" x14ac:dyDescent="0.25">
      <c r="A482" t="s">
        <v>361</v>
      </c>
      <c r="B482" t="s">
        <v>2055</v>
      </c>
      <c r="C482" t="s">
        <v>2056</v>
      </c>
      <c r="D482">
        <v>5</v>
      </c>
      <c r="E482" t="s">
        <v>747</v>
      </c>
      <c r="F482" t="s">
        <v>763</v>
      </c>
      <c r="G482" t="s">
        <v>2057</v>
      </c>
      <c r="H482" t="s">
        <v>760</v>
      </c>
      <c r="I482" t="s">
        <v>348</v>
      </c>
    </row>
    <row r="483" spans="1:9" x14ac:dyDescent="0.25">
      <c r="A483" t="s">
        <v>361</v>
      </c>
      <c r="B483" t="s">
        <v>765</v>
      </c>
      <c r="C483" t="s">
        <v>2058</v>
      </c>
      <c r="E483" t="s">
        <v>767</v>
      </c>
      <c r="F483" t="s">
        <v>768</v>
      </c>
      <c r="G483" t="s">
        <v>2059</v>
      </c>
      <c r="H483" t="s">
        <v>750</v>
      </c>
      <c r="I483" t="s">
        <v>348</v>
      </c>
    </row>
    <row r="484" spans="1:9" x14ac:dyDescent="0.25">
      <c r="A484" t="s">
        <v>361</v>
      </c>
      <c r="B484" t="s">
        <v>770</v>
      </c>
      <c r="C484" t="s">
        <v>2060</v>
      </c>
      <c r="E484" t="s">
        <v>767</v>
      </c>
      <c r="F484" t="s">
        <v>772</v>
      </c>
      <c r="G484" t="s">
        <v>2061</v>
      </c>
      <c r="H484" t="s">
        <v>750</v>
      </c>
      <c r="I484" t="s">
        <v>348</v>
      </c>
    </row>
    <row r="485" spans="1:9" x14ac:dyDescent="0.25">
      <c r="A485" t="s">
        <v>365</v>
      </c>
      <c r="B485" t="s">
        <v>2062</v>
      </c>
      <c r="C485" t="s">
        <v>2063</v>
      </c>
      <c r="D485">
        <v>1</v>
      </c>
      <c r="E485" t="s">
        <v>747</v>
      </c>
      <c r="F485" t="s">
        <v>2064</v>
      </c>
      <c r="G485" t="s">
        <v>2065</v>
      </c>
      <c r="H485" t="s">
        <v>750</v>
      </c>
      <c r="I485" t="s">
        <v>348</v>
      </c>
    </row>
    <row r="486" spans="1:9" x14ac:dyDescent="0.25">
      <c r="A486" t="s">
        <v>365</v>
      </c>
      <c r="B486" t="s">
        <v>2066</v>
      </c>
      <c r="C486" t="s">
        <v>2067</v>
      </c>
      <c r="D486">
        <v>2</v>
      </c>
      <c r="E486" t="s">
        <v>747</v>
      </c>
      <c r="F486" t="s">
        <v>2068</v>
      </c>
      <c r="G486" t="s">
        <v>2065</v>
      </c>
      <c r="H486" t="s">
        <v>750</v>
      </c>
      <c r="I486" t="s">
        <v>348</v>
      </c>
    </row>
    <row r="487" spans="1:9" x14ac:dyDescent="0.25">
      <c r="A487" t="s">
        <v>365</v>
      </c>
      <c r="B487" t="s">
        <v>2069</v>
      </c>
      <c r="C487" t="s">
        <v>2070</v>
      </c>
      <c r="D487">
        <v>3</v>
      </c>
      <c r="E487" t="s">
        <v>747</v>
      </c>
      <c r="F487" t="s">
        <v>755</v>
      </c>
      <c r="G487" t="s">
        <v>2071</v>
      </c>
      <c r="H487" t="s">
        <v>750</v>
      </c>
      <c r="I487" t="s">
        <v>348</v>
      </c>
    </row>
    <row r="488" spans="1:9" x14ac:dyDescent="0.25">
      <c r="A488" t="s">
        <v>365</v>
      </c>
      <c r="B488" t="s">
        <v>369</v>
      </c>
      <c r="C488" t="s">
        <v>2072</v>
      </c>
      <c r="D488">
        <v>4</v>
      </c>
      <c r="E488" t="s">
        <v>747</v>
      </c>
      <c r="F488" t="s">
        <v>758</v>
      </c>
      <c r="G488" t="s">
        <v>2073</v>
      </c>
      <c r="H488" t="s">
        <v>760</v>
      </c>
      <c r="I488" t="s">
        <v>348</v>
      </c>
    </row>
    <row r="489" spans="1:9" x14ac:dyDescent="0.25">
      <c r="A489" t="s">
        <v>365</v>
      </c>
      <c r="B489" t="s">
        <v>2074</v>
      </c>
      <c r="C489" t="s">
        <v>2075</v>
      </c>
      <c r="D489">
        <v>5</v>
      </c>
      <c r="E489" t="s">
        <v>747</v>
      </c>
      <c r="F489" t="s">
        <v>763</v>
      </c>
      <c r="G489" t="s">
        <v>2076</v>
      </c>
      <c r="H489" t="s">
        <v>760</v>
      </c>
      <c r="I489" t="s">
        <v>348</v>
      </c>
    </row>
    <row r="490" spans="1:9" x14ac:dyDescent="0.25">
      <c r="A490" t="s">
        <v>365</v>
      </c>
      <c r="B490" t="s">
        <v>765</v>
      </c>
      <c r="C490" t="s">
        <v>2077</v>
      </c>
      <c r="E490" t="s">
        <v>767</v>
      </c>
      <c r="F490" t="s">
        <v>768</v>
      </c>
      <c r="G490" t="s">
        <v>2078</v>
      </c>
      <c r="H490" t="s">
        <v>750</v>
      </c>
      <c r="I490" t="s">
        <v>348</v>
      </c>
    </row>
    <row r="491" spans="1:9" x14ac:dyDescent="0.25">
      <c r="A491" t="s">
        <v>365</v>
      </c>
      <c r="B491" t="s">
        <v>770</v>
      </c>
      <c r="C491" t="s">
        <v>2079</v>
      </c>
      <c r="E491" t="s">
        <v>767</v>
      </c>
      <c r="F491" t="s">
        <v>772</v>
      </c>
      <c r="G491" t="s">
        <v>2080</v>
      </c>
      <c r="H491" t="s">
        <v>750</v>
      </c>
      <c r="I491" t="s">
        <v>348</v>
      </c>
    </row>
    <row r="492" spans="1:9" x14ac:dyDescent="0.25">
      <c r="A492" t="s">
        <v>370</v>
      </c>
      <c r="B492" t="s">
        <v>373</v>
      </c>
      <c r="C492" t="s">
        <v>2081</v>
      </c>
      <c r="D492">
        <v>1</v>
      </c>
      <c r="E492" t="s">
        <v>747</v>
      </c>
      <c r="F492" t="s">
        <v>2082</v>
      </c>
      <c r="G492" t="s">
        <v>2083</v>
      </c>
      <c r="H492" t="s">
        <v>750</v>
      </c>
      <c r="I492" t="s">
        <v>348</v>
      </c>
    </row>
    <row r="493" spans="1:9" x14ac:dyDescent="0.25">
      <c r="A493" t="s">
        <v>370</v>
      </c>
      <c r="B493" t="s">
        <v>2084</v>
      </c>
      <c r="C493" t="s">
        <v>2085</v>
      </c>
      <c r="D493">
        <v>2</v>
      </c>
      <c r="E493" t="s">
        <v>747</v>
      </c>
      <c r="F493" t="s">
        <v>2086</v>
      </c>
      <c r="G493" t="s">
        <v>2083</v>
      </c>
      <c r="H493" t="s">
        <v>750</v>
      </c>
      <c r="I493" t="s">
        <v>348</v>
      </c>
    </row>
    <row r="494" spans="1:9" x14ac:dyDescent="0.25">
      <c r="A494" t="s">
        <v>370</v>
      </c>
      <c r="B494" t="s">
        <v>2087</v>
      </c>
      <c r="C494" t="s">
        <v>2088</v>
      </c>
      <c r="D494">
        <v>3</v>
      </c>
      <c r="E494" t="s">
        <v>747</v>
      </c>
      <c r="F494" t="s">
        <v>755</v>
      </c>
      <c r="G494" t="s">
        <v>2089</v>
      </c>
      <c r="H494" t="s">
        <v>750</v>
      </c>
      <c r="I494" t="s">
        <v>348</v>
      </c>
    </row>
    <row r="495" spans="1:9" x14ac:dyDescent="0.25">
      <c r="A495" t="s">
        <v>370</v>
      </c>
      <c r="B495" t="s">
        <v>2090</v>
      </c>
      <c r="C495" t="s">
        <v>2091</v>
      </c>
      <c r="D495">
        <v>4</v>
      </c>
      <c r="E495" t="s">
        <v>747</v>
      </c>
      <c r="F495" t="s">
        <v>758</v>
      </c>
      <c r="G495" t="s">
        <v>2092</v>
      </c>
      <c r="H495" t="s">
        <v>760</v>
      </c>
      <c r="I495" t="s">
        <v>348</v>
      </c>
    </row>
    <row r="496" spans="1:9" x14ac:dyDescent="0.25">
      <c r="A496" t="s">
        <v>370</v>
      </c>
      <c r="B496" t="s">
        <v>2093</v>
      </c>
      <c r="C496" t="s">
        <v>2094</v>
      </c>
      <c r="D496">
        <v>5</v>
      </c>
      <c r="E496" t="s">
        <v>747</v>
      </c>
      <c r="F496" t="s">
        <v>763</v>
      </c>
      <c r="G496" t="s">
        <v>2095</v>
      </c>
      <c r="H496" t="s">
        <v>760</v>
      </c>
      <c r="I496" t="s">
        <v>348</v>
      </c>
    </row>
    <row r="497" spans="1:9" x14ac:dyDescent="0.25">
      <c r="A497" t="s">
        <v>370</v>
      </c>
      <c r="B497" t="s">
        <v>765</v>
      </c>
      <c r="C497" t="s">
        <v>2096</v>
      </c>
      <c r="E497" t="s">
        <v>767</v>
      </c>
      <c r="F497" t="s">
        <v>768</v>
      </c>
      <c r="G497" t="s">
        <v>2097</v>
      </c>
      <c r="H497" t="s">
        <v>750</v>
      </c>
      <c r="I497" t="s">
        <v>348</v>
      </c>
    </row>
    <row r="498" spans="1:9" x14ac:dyDescent="0.25">
      <c r="A498" t="s">
        <v>370</v>
      </c>
      <c r="B498" t="s">
        <v>770</v>
      </c>
      <c r="C498" t="s">
        <v>2098</v>
      </c>
      <c r="E498" t="s">
        <v>767</v>
      </c>
      <c r="F498" t="s">
        <v>772</v>
      </c>
      <c r="G498" t="s">
        <v>2099</v>
      </c>
      <c r="H498" t="s">
        <v>750</v>
      </c>
      <c r="I498" t="s">
        <v>348</v>
      </c>
    </row>
    <row r="499" spans="1:9" x14ac:dyDescent="0.25">
      <c r="A499" t="s">
        <v>374</v>
      </c>
      <c r="B499" t="s">
        <v>377</v>
      </c>
      <c r="C499" t="s">
        <v>2100</v>
      </c>
      <c r="D499">
        <v>1</v>
      </c>
      <c r="E499" t="s">
        <v>747</v>
      </c>
      <c r="F499" t="s">
        <v>2101</v>
      </c>
      <c r="G499" t="s">
        <v>2102</v>
      </c>
      <c r="H499" t="s">
        <v>750</v>
      </c>
      <c r="I499" t="s">
        <v>348</v>
      </c>
    </row>
    <row r="500" spans="1:9" x14ac:dyDescent="0.25">
      <c r="A500" t="s">
        <v>374</v>
      </c>
      <c r="B500" t="s">
        <v>2103</v>
      </c>
      <c r="C500" t="s">
        <v>2104</v>
      </c>
      <c r="D500">
        <v>2</v>
      </c>
      <c r="E500" t="s">
        <v>747</v>
      </c>
      <c r="F500" t="s">
        <v>2105</v>
      </c>
      <c r="G500" t="s">
        <v>2102</v>
      </c>
      <c r="H500" t="s">
        <v>750</v>
      </c>
      <c r="I500" t="s">
        <v>348</v>
      </c>
    </row>
    <row r="501" spans="1:9" x14ac:dyDescent="0.25">
      <c r="A501" t="s">
        <v>374</v>
      </c>
      <c r="B501" t="s">
        <v>2106</v>
      </c>
      <c r="C501" t="s">
        <v>2107</v>
      </c>
      <c r="D501">
        <v>3</v>
      </c>
      <c r="E501" t="s">
        <v>747</v>
      </c>
      <c r="F501" t="s">
        <v>755</v>
      </c>
      <c r="G501" t="s">
        <v>2108</v>
      </c>
      <c r="H501" t="s">
        <v>750</v>
      </c>
      <c r="I501" t="s">
        <v>348</v>
      </c>
    </row>
    <row r="502" spans="1:9" x14ac:dyDescent="0.25">
      <c r="A502" t="s">
        <v>374</v>
      </c>
      <c r="B502" t="s">
        <v>2109</v>
      </c>
      <c r="C502" t="s">
        <v>2110</v>
      </c>
      <c r="D502">
        <v>4</v>
      </c>
      <c r="E502" t="s">
        <v>747</v>
      </c>
      <c r="F502" t="s">
        <v>758</v>
      </c>
      <c r="G502" t="s">
        <v>2111</v>
      </c>
      <c r="H502" t="s">
        <v>760</v>
      </c>
      <c r="I502" t="s">
        <v>348</v>
      </c>
    </row>
    <row r="503" spans="1:9" x14ac:dyDescent="0.25">
      <c r="A503" t="s">
        <v>374</v>
      </c>
      <c r="B503" t="s">
        <v>2112</v>
      </c>
      <c r="C503" t="s">
        <v>2113</v>
      </c>
      <c r="D503">
        <v>5</v>
      </c>
      <c r="E503" t="s">
        <v>747</v>
      </c>
      <c r="F503" t="s">
        <v>763</v>
      </c>
      <c r="G503" t="s">
        <v>2114</v>
      </c>
      <c r="H503" t="s">
        <v>760</v>
      </c>
      <c r="I503" t="s">
        <v>348</v>
      </c>
    </row>
    <row r="504" spans="1:9" x14ac:dyDescent="0.25">
      <c r="A504" t="s">
        <v>374</v>
      </c>
      <c r="B504" t="s">
        <v>765</v>
      </c>
      <c r="C504" t="s">
        <v>2115</v>
      </c>
      <c r="E504" t="s">
        <v>767</v>
      </c>
      <c r="F504" t="s">
        <v>768</v>
      </c>
      <c r="G504" t="s">
        <v>2116</v>
      </c>
      <c r="H504" t="s">
        <v>750</v>
      </c>
      <c r="I504" t="s">
        <v>348</v>
      </c>
    </row>
    <row r="505" spans="1:9" x14ac:dyDescent="0.25">
      <c r="A505" t="s">
        <v>374</v>
      </c>
      <c r="B505" t="s">
        <v>770</v>
      </c>
      <c r="C505" t="s">
        <v>2117</v>
      </c>
      <c r="E505" t="s">
        <v>767</v>
      </c>
      <c r="F505" t="s">
        <v>772</v>
      </c>
      <c r="G505" t="s">
        <v>2118</v>
      </c>
      <c r="H505" t="s">
        <v>750</v>
      </c>
      <c r="I505" t="s">
        <v>348</v>
      </c>
    </row>
    <row r="506" spans="1:9" x14ac:dyDescent="0.25">
      <c r="A506" t="s">
        <v>378</v>
      </c>
      <c r="B506" t="s">
        <v>382</v>
      </c>
      <c r="C506" t="s">
        <v>2119</v>
      </c>
      <c r="D506">
        <v>1</v>
      </c>
      <c r="E506" t="s">
        <v>747</v>
      </c>
      <c r="F506" t="s">
        <v>2120</v>
      </c>
      <c r="G506" t="s">
        <v>2121</v>
      </c>
      <c r="H506" t="s">
        <v>750</v>
      </c>
      <c r="I506" t="s">
        <v>348</v>
      </c>
    </row>
    <row r="507" spans="1:9" x14ac:dyDescent="0.25">
      <c r="A507" t="s">
        <v>378</v>
      </c>
      <c r="B507" t="s">
        <v>2122</v>
      </c>
      <c r="C507" t="s">
        <v>2123</v>
      </c>
      <c r="D507">
        <v>2</v>
      </c>
      <c r="E507" t="s">
        <v>747</v>
      </c>
      <c r="F507" t="s">
        <v>2124</v>
      </c>
      <c r="G507" t="s">
        <v>2121</v>
      </c>
      <c r="H507" t="s">
        <v>750</v>
      </c>
      <c r="I507" t="s">
        <v>348</v>
      </c>
    </row>
    <row r="508" spans="1:9" x14ac:dyDescent="0.25">
      <c r="A508" t="s">
        <v>378</v>
      </c>
      <c r="B508" t="s">
        <v>2125</v>
      </c>
      <c r="C508" t="s">
        <v>2126</v>
      </c>
      <c r="D508">
        <v>3</v>
      </c>
      <c r="E508" t="s">
        <v>747</v>
      </c>
      <c r="F508" t="s">
        <v>755</v>
      </c>
      <c r="G508" t="s">
        <v>2127</v>
      </c>
      <c r="H508" t="s">
        <v>750</v>
      </c>
      <c r="I508" t="s">
        <v>348</v>
      </c>
    </row>
    <row r="509" spans="1:9" x14ac:dyDescent="0.25">
      <c r="A509" t="s">
        <v>378</v>
      </c>
      <c r="B509" t="s">
        <v>2128</v>
      </c>
      <c r="C509" t="s">
        <v>2129</v>
      </c>
      <c r="D509">
        <v>4</v>
      </c>
      <c r="E509" t="s">
        <v>747</v>
      </c>
      <c r="F509" t="s">
        <v>758</v>
      </c>
      <c r="G509" t="s">
        <v>2130</v>
      </c>
      <c r="H509" t="s">
        <v>760</v>
      </c>
      <c r="I509" t="s">
        <v>348</v>
      </c>
    </row>
    <row r="510" spans="1:9" x14ac:dyDescent="0.25">
      <c r="A510" t="s">
        <v>378</v>
      </c>
      <c r="B510" t="s">
        <v>2131</v>
      </c>
      <c r="C510" t="s">
        <v>2132</v>
      </c>
      <c r="D510">
        <v>5</v>
      </c>
      <c r="E510" t="s">
        <v>747</v>
      </c>
      <c r="F510" t="s">
        <v>763</v>
      </c>
      <c r="G510" t="s">
        <v>2133</v>
      </c>
      <c r="H510" t="s">
        <v>760</v>
      </c>
      <c r="I510" t="s">
        <v>348</v>
      </c>
    </row>
    <row r="511" spans="1:9" x14ac:dyDescent="0.25">
      <c r="A511" t="s">
        <v>378</v>
      </c>
      <c r="B511" t="s">
        <v>765</v>
      </c>
      <c r="C511" t="s">
        <v>2134</v>
      </c>
      <c r="E511" t="s">
        <v>767</v>
      </c>
      <c r="F511" t="s">
        <v>768</v>
      </c>
      <c r="G511" t="s">
        <v>2135</v>
      </c>
      <c r="H511" t="s">
        <v>750</v>
      </c>
      <c r="I511" t="s">
        <v>348</v>
      </c>
    </row>
    <row r="512" spans="1:9" x14ac:dyDescent="0.25">
      <c r="A512" t="s">
        <v>378</v>
      </c>
      <c r="B512" t="s">
        <v>770</v>
      </c>
      <c r="C512" t="s">
        <v>2136</v>
      </c>
      <c r="E512" t="s">
        <v>767</v>
      </c>
      <c r="F512" t="s">
        <v>772</v>
      </c>
      <c r="G512" t="s">
        <v>2137</v>
      </c>
      <c r="H512" t="s">
        <v>750</v>
      </c>
      <c r="I512" t="s">
        <v>348</v>
      </c>
    </row>
    <row r="513" spans="1:9" x14ac:dyDescent="0.25">
      <c r="A513" t="s">
        <v>383</v>
      </c>
      <c r="B513" t="s">
        <v>387</v>
      </c>
      <c r="C513" t="s">
        <v>2138</v>
      </c>
      <c r="D513">
        <v>1</v>
      </c>
      <c r="E513" t="s">
        <v>747</v>
      </c>
      <c r="F513" t="s">
        <v>2139</v>
      </c>
      <c r="G513" t="s">
        <v>2140</v>
      </c>
      <c r="H513" t="s">
        <v>750</v>
      </c>
      <c r="I513" t="s">
        <v>348</v>
      </c>
    </row>
    <row r="514" spans="1:9" x14ac:dyDescent="0.25">
      <c r="A514" t="s">
        <v>383</v>
      </c>
      <c r="B514" t="s">
        <v>2141</v>
      </c>
      <c r="C514" t="s">
        <v>2142</v>
      </c>
      <c r="D514">
        <v>2</v>
      </c>
      <c r="E514" t="s">
        <v>747</v>
      </c>
      <c r="F514" t="s">
        <v>2143</v>
      </c>
      <c r="G514" t="s">
        <v>2140</v>
      </c>
      <c r="H514" t="s">
        <v>750</v>
      </c>
      <c r="I514" t="s">
        <v>348</v>
      </c>
    </row>
    <row r="515" spans="1:9" x14ac:dyDescent="0.25">
      <c r="A515" t="s">
        <v>383</v>
      </c>
      <c r="B515" t="s">
        <v>2144</v>
      </c>
      <c r="C515" t="s">
        <v>2145</v>
      </c>
      <c r="D515">
        <v>3</v>
      </c>
      <c r="E515" t="s">
        <v>747</v>
      </c>
      <c r="F515" t="s">
        <v>755</v>
      </c>
      <c r="G515" t="s">
        <v>2146</v>
      </c>
      <c r="H515" t="s">
        <v>750</v>
      </c>
      <c r="I515" t="s">
        <v>348</v>
      </c>
    </row>
    <row r="516" spans="1:9" x14ac:dyDescent="0.25">
      <c r="A516" t="s">
        <v>383</v>
      </c>
      <c r="B516" t="s">
        <v>2147</v>
      </c>
      <c r="C516" t="s">
        <v>2148</v>
      </c>
      <c r="D516">
        <v>4</v>
      </c>
      <c r="E516" t="s">
        <v>747</v>
      </c>
      <c r="F516" t="s">
        <v>758</v>
      </c>
      <c r="G516" t="s">
        <v>2149</v>
      </c>
      <c r="H516" t="s">
        <v>760</v>
      </c>
      <c r="I516" t="s">
        <v>348</v>
      </c>
    </row>
    <row r="517" spans="1:9" x14ac:dyDescent="0.25">
      <c r="A517" t="s">
        <v>383</v>
      </c>
      <c r="B517" t="s">
        <v>2150</v>
      </c>
      <c r="C517" t="s">
        <v>2151</v>
      </c>
      <c r="D517">
        <v>5</v>
      </c>
      <c r="E517" t="s">
        <v>747</v>
      </c>
      <c r="F517" t="s">
        <v>763</v>
      </c>
      <c r="G517" t="s">
        <v>2152</v>
      </c>
      <c r="H517" t="s">
        <v>760</v>
      </c>
      <c r="I517" t="s">
        <v>348</v>
      </c>
    </row>
    <row r="518" spans="1:9" x14ac:dyDescent="0.25">
      <c r="A518" t="s">
        <v>383</v>
      </c>
      <c r="B518" t="s">
        <v>765</v>
      </c>
      <c r="C518" t="s">
        <v>2153</v>
      </c>
      <c r="E518" t="s">
        <v>767</v>
      </c>
      <c r="F518" t="s">
        <v>768</v>
      </c>
      <c r="G518" t="s">
        <v>2154</v>
      </c>
      <c r="H518" t="s">
        <v>750</v>
      </c>
      <c r="I518" t="s">
        <v>348</v>
      </c>
    </row>
    <row r="519" spans="1:9" x14ac:dyDescent="0.25">
      <c r="A519" t="s">
        <v>383</v>
      </c>
      <c r="B519" t="s">
        <v>770</v>
      </c>
      <c r="C519" t="s">
        <v>2155</v>
      </c>
      <c r="E519" t="s">
        <v>767</v>
      </c>
      <c r="F519" t="s">
        <v>772</v>
      </c>
      <c r="G519" t="s">
        <v>2156</v>
      </c>
      <c r="H519" t="s">
        <v>750</v>
      </c>
      <c r="I519" t="s">
        <v>348</v>
      </c>
    </row>
    <row r="520" spans="1:9" x14ac:dyDescent="0.25">
      <c r="A520" t="s">
        <v>388</v>
      </c>
      <c r="B520" t="s">
        <v>391</v>
      </c>
      <c r="C520" t="s">
        <v>2157</v>
      </c>
      <c r="D520">
        <v>1</v>
      </c>
      <c r="E520" t="s">
        <v>747</v>
      </c>
      <c r="F520" t="s">
        <v>2158</v>
      </c>
      <c r="G520" t="s">
        <v>2159</v>
      </c>
      <c r="H520" t="s">
        <v>750</v>
      </c>
      <c r="I520" t="s">
        <v>348</v>
      </c>
    </row>
    <row r="521" spans="1:9" x14ac:dyDescent="0.25">
      <c r="A521" t="s">
        <v>388</v>
      </c>
      <c r="B521" t="s">
        <v>2160</v>
      </c>
      <c r="C521" t="s">
        <v>2161</v>
      </c>
      <c r="D521">
        <v>2</v>
      </c>
      <c r="E521" t="s">
        <v>747</v>
      </c>
      <c r="F521" t="s">
        <v>2162</v>
      </c>
      <c r="G521" t="s">
        <v>2159</v>
      </c>
      <c r="H521" t="s">
        <v>750</v>
      </c>
      <c r="I521" t="s">
        <v>348</v>
      </c>
    </row>
    <row r="522" spans="1:9" x14ac:dyDescent="0.25">
      <c r="A522" t="s">
        <v>388</v>
      </c>
      <c r="B522" t="s">
        <v>2163</v>
      </c>
      <c r="C522" t="s">
        <v>2164</v>
      </c>
      <c r="D522">
        <v>3</v>
      </c>
      <c r="E522" t="s">
        <v>747</v>
      </c>
      <c r="F522" t="s">
        <v>755</v>
      </c>
      <c r="G522" t="s">
        <v>2165</v>
      </c>
      <c r="H522" t="s">
        <v>750</v>
      </c>
      <c r="I522" t="s">
        <v>348</v>
      </c>
    </row>
    <row r="523" spans="1:9" x14ac:dyDescent="0.25">
      <c r="A523" t="s">
        <v>388</v>
      </c>
      <c r="B523" t="s">
        <v>2166</v>
      </c>
      <c r="C523" t="s">
        <v>2167</v>
      </c>
      <c r="D523">
        <v>4</v>
      </c>
      <c r="E523" t="s">
        <v>747</v>
      </c>
      <c r="F523" t="s">
        <v>758</v>
      </c>
      <c r="G523" t="s">
        <v>2168</v>
      </c>
      <c r="H523" t="s">
        <v>760</v>
      </c>
      <c r="I523" t="s">
        <v>348</v>
      </c>
    </row>
    <row r="524" spans="1:9" x14ac:dyDescent="0.25">
      <c r="A524" t="s">
        <v>388</v>
      </c>
      <c r="B524" t="s">
        <v>2169</v>
      </c>
      <c r="C524" t="s">
        <v>2170</v>
      </c>
      <c r="D524">
        <v>5</v>
      </c>
      <c r="E524" t="s">
        <v>747</v>
      </c>
      <c r="F524" t="s">
        <v>763</v>
      </c>
      <c r="G524" t="s">
        <v>2171</v>
      </c>
      <c r="H524" t="s">
        <v>760</v>
      </c>
      <c r="I524" t="s">
        <v>348</v>
      </c>
    </row>
    <row r="525" spans="1:9" x14ac:dyDescent="0.25">
      <c r="A525" t="s">
        <v>388</v>
      </c>
      <c r="B525" t="s">
        <v>765</v>
      </c>
      <c r="C525" t="s">
        <v>2172</v>
      </c>
      <c r="E525" t="s">
        <v>767</v>
      </c>
      <c r="F525" t="s">
        <v>768</v>
      </c>
      <c r="G525" t="s">
        <v>2173</v>
      </c>
      <c r="H525" t="s">
        <v>750</v>
      </c>
      <c r="I525" t="s">
        <v>348</v>
      </c>
    </row>
    <row r="526" spans="1:9" x14ac:dyDescent="0.25">
      <c r="A526" t="s">
        <v>388</v>
      </c>
      <c r="B526" t="s">
        <v>770</v>
      </c>
      <c r="C526" t="s">
        <v>2174</v>
      </c>
      <c r="E526" t="s">
        <v>767</v>
      </c>
      <c r="F526" t="s">
        <v>772</v>
      </c>
      <c r="G526" t="s">
        <v>2175</v>
      </c>
      <c r="H526" t="s">
        <v>750</v>
      </c>
      <c r="I526" t="s">
        <v>348</v>
      </c>
    </row>
    <row r="527" spans="1:9" x14ac:dyDescent="0.25">
      <c r="A527" t="s">
        <v>392</v>
      </c>
      <c r="B527" t="s">
        <v>395</v>
      </c>
      <c r="C527" t="s">
        <v>2176</v>
      </c>
      <c r="D527">
        <v>1</v>
      </c>
      <c r="E527" t="s">
        <v>747</v>
      </c>
      <c r="F527" t="s">
        <v>2177</v>
      </c>
      <c r="G527" t="s">
        <v>2178</v>
      </c>
      <c r="H527" t="s">
        <v>750</v>
      </c>
      <c r="I527" t="s">
        <v>348</v>
      </c>
    </row>
    <row r="528" spans="1:9" x14ac:dyDescent="0.25">
      <c r="A528" t="s">
        <v>392</v>
      </c>
      <c r="B528" t="s">
        <v>2179</v>
      </c>
      <c r="C528" t="s">
        <v>2180</v>
      </c>
      <c r="D528">
        <v>2</v>
      </c>
      <c r="E528" t="s">
        <v>747</v>
      </c>
      <c r="F528" t="s">
        <v>2181</v>
      </c>
      <c r="G528" t="s">
        <v>2178</v>
      </c>
      <c r="H528" t="s">
        <v>750</v>
      </c>
      <c r="I528" t="s">
        <v>348</v>
      </c>
    </row>
    <row r="529" spans="1:9" x14ac:dyDescent="0.25">
      <c r="A529" t="s">
        <v>392</v>
      </c>
      <c r="B529" t="s">
        <v>2182</v>
      </c>
      <c r="C529" t="s">
        <v>2183</v>
      </c>
      <c r="D529">
        <v>3</v>
      </c>
      <c r="E529" t="s">
        <v>747</v>
      </c>
      <c r="F529" t="s">
        <v>755</v>
      </c>
      <c r="G529" t="s">
        <v>2184</v>
      </c>
      <c r="H529" t="s">
        <v>750</v>
      </c>
      <c r="I529" t="s">
        <v>348</v>
      </c>
    </row>
    <row r="530" spans="1:9" x14ac:dyDescent="0.25">
      <c r="A530" t="s">
        <v>392</v>
      </c>
      <c r="B530" t="s">
        <v>2185</v>
      </c>
      <c r="C530" t="s">
        <v>2186</v>
      </c>
      <c r="D530">
        <v>4</v>
      </c>
      <c r="E530" t="s">
        <v>747</v>
      </c>
      <c r="F530" t="s">
        <v>758</v>
      </c>
      <c r="G530" t="s">
        <v>2187</v>
      </c>
      <c r="H530" t="s">
        <v>760</v>
      </c>
      <c r="I530" t="s">
        <v>348</v>
      </c>
    </row>
    <row r="531" spans="1:9" x14ac:dyDescent="0.25">
      <c r="A531" t="s">
        <v>392</v>
      </c>
      <c r="B531" t="s">
        <v>2188</v>
      </c>
      <c r="C531" t="s">
        <v>2189</v>
      </c>
      <c r="D531">
        <v>5</v>
      </c>
      <c r="E531" t="s">
        <v>747</v>
      </c>
      <c r="F531" t="s">
        <v>763</v>
      </c>
      <c r="G531" t="s">
        <v>2190</v>
      </c>
      <c r="H531" t="s">
        <v>760</v>
      </c>
      <c r="I531" t="s">
        <v>348</v>
      </c>
    </row>
    <row r="532" spans="1:9" x14ac:dyDescent="0.25">
      <c r="A532" t="s">
        <v>392</v>
      </c>
      <c r="B532" t="s">
        <v>765</v>
      </c>
      <c r="C532" t="s">
        <v>2191</v>
      </c>
      <c r="E532" t="s">
        <v>767</v>
      </c>
      <c r="F532" t="s">
        <v>768</v>
      </c>
      <c r="G532" t="s">
        <v>2192</v>
      </c>
      <c r="H532" t="s">
        <v>750</v>
      </c>
      <c r="I532" t="s">
        <v>348</v>
      </c>
    </row>
    <row r="533" spans="1:9" x14ac:dyDescent="0.25">
      <c r="A533" t="s">
        <v>392</v>
      </c>
      <c r="B533" t="s">
        <v>770</v>
      </c>
      <c r="C533" t="s">
        <v>2193</v>
      </c>
      <c r="E533" t="s">
        <v>767</v>
      </c>
      <c r="F533" t="s">
        <v>772</v>
      </c>
      <c r="G533" t="s">
        <v>2194</v>
      </c>
      <c r="H533" t="s">
        <v>750</v>
      </c>
      <c r="I533" t="s">
        <v>348</v>
      </c>
    </row>
    <row r="534" spans="1:9" x14ac:dyDescent="0.25">
      <c r="A534" t="s">
        <v>396</v>
      </c>
      <c r="B534" t="s">
        <v>399</v>
      </c>
      <c r="C534" t="s">
        <v>2195</v>
      </c>
      <c r="D534">
        <v>1</v>
      </c>
      <c r="E534" t="s">
        <v>747</v>
      </c>
      <c r="F534" t="s">
        <v>2196</v>
      </c>
      <c r="G534" t="s">
        <v>2197</v>
      </c>
      <c r="H534" t="s">
        <v>750</v>
      </c>
      <c r="I534" t="s">
        <v>348</v>
      </c>
    </row>
    <row r="535" spans="1:9" x14ac:dyDescent="0.25">
      <c r="A535" t="s">
        <v>396</v>
      </c>
      <c r="B535" t="s">
        <v>2198</v>
      </c>
      <c r="C535" t="s">
        <v>2199</v>
      </c>
      <c r="D535">
        <v>2</v>
      </c>
      <c r="E535" t="s">
        <v>747</v>
      </c>
      <c r="F535" t="s">
        <v>2200</v>
      </c>
      <c r="G535" t="s">
        <v>2197</v>
      </c>
      <c r="H535" t="s">
        <v>750</v>
      </c>
      <c r="I535" t="s">
        <v>348</v>
      </c>
    </row>
    <row r="536" spans="1:9" x14ac:dyDescent="0.25">
      <c r="A536" t="s">
        <v>396</v>
      </c>
      <c r="B536" t="s">
        <v>2201</v>
      </c>
      <c r="C536" t="s">
        <v>2202</v>
      </c>
      <c r="D536">
        <v>3</v>
      </c>
      <c r="E536" t="s">
        <v>747</v>
      </c>
      <c r="F536" t="s">
        <v>755</v>
      </c>
      <c r="G536" t="s">
        <v>2203</v>
      </c>
      <c r="H536" t="s">
        <v>750</v>
      </c>
      <c r="I536" t="s">
        <v>348</v>
      </c>
    </row>
    <row r="537" spans="1:9" x14ac:dyDescent="0.25">
      <c r="A537" t="s">
        <v>396</v>
      </c>
      <c r="B537" t="s">
        <v>2204</v>
      </c>
      <c r="C537" t="s">
        <v>2205</v>
      </c>
      <c r="D537">
        <v>4</v>
      </c>
      <c r="E537" t="s">
        <v>747</v>
      </c>
      <c r="F537" t="s">
        <v>758</v>
      </c>
      <c r="G537" t="s">
        <v>2206</v>
      </c>
      <c r="H537" t="s">
        <v>760</v>
      </c>
      <c r="I537" t="s">
        <v>348</v>
      </c>
    </row>
    <row r="538" spans="1:9" x14ac:dyDescent="0.25">
      <c r="A538" t="s">
        <v>396</v>
      </c>
      <c r="B538" t="s">
        <v>2207</v>
      </c>
      <c r="C538" t="s">
        <v>2208</v>
      </c>
      <c r="D538">
        <v>5</v>
      </c>
      <c r="E538" t="s">
        <v>747</v>
      </c>
      <c r="F538" t="s">
        <v>763</v>
      </c>
      <c r="G538" t="s">
        <v>2209</v>
      </c>
      <c r="H538" t="s">
        <v>760</v>
      </c>
      <c r="I538" t="s">
        <v>348</v>
      </c>
    </row>
    <row r="539" spans="1:9" x14ac:dyDescent="0.25">
      <c r="A539" t="s">
        <v>396</v>
      </c>
      <c r="B539" t="s">
        <v>765</v>
      </c>
      <c r="C539" t="s">
        <v>2210</v>
      </c>
      <c r="E539" t="s">
        <v>767</v>
      </c>
      <c r="F539" t="s">
        <v>768</v>
      </c>
      <c r="G539" t="s">
        <v>2211</v>
      </c>
      <c r="H539" t="s">
        <v>750</v>
      </c>
      <c r="I539" t="s">
        <v>348</v>
      </c>
    </row>
    <row r="540" spans="1:9" x14ac:dyDescent="0.25">
      <c r="A540" t="s">
        <v>396</v>
      </c>
      <c r="B540" t="s">
        <v>770</v>
      </c>
      <c r="C540" t="s">
        <v>2212</v>
      </c>
      <c r="E540" t="s">
        <v>767</v>
      </c>
      <c r="F540" t="s">
        <v>772</v>
      </c>
      <c r="G540" t="s">
        <v>2213</v>
      </c>
      <c r="H540" t="s">
        <v>750</v>
      </c>
      <c r="I540" t="s">
        <v>348</v>
      </c>
    </row>
    <row r="541" spans="1:9" x14ac:dyDescent="0.25">
      <c r="A541" t="s">
        <v>400</v>
      </c>
      <c r="B541" t="s">
        <v>2214</v>
      </c>
      <c r="C541" t="s">
        <v>2215</v>
      </c>
      <c r="D541">
        <v>1</v>
      </c>
      <c r="E541" t="s">
        <v>747</v>
      </c>
      <c r="F541" t="s">
        <v>2216</v>
      </c>
      <c r="G541" t="s">
        <v>2217</v>
      </c>
      <c r="H541" t="s">
        <v>750</v>
      </c>
      <c r="I541" t="s">
        <v>348</v>
      </c>
    </row>
    <row r="542" spans="1:9" x14ac:dyDescent="0.25">
      <c r="A542" t="s">
        <v>400</v>
      </c>
      <c r="B542" t="s">
        <v>2218</v>
      </c>
      <c r="C542" t="s">
        <v>2219</v>
      </c>
      <c r="D542">
        <v>2</v>
      </c>
      <c r="E542" t="s">
        <v>747</v>
      </c>
      <c r="F542" t="s">
        <v>2220</v>
      </c>
      <c r="G542" t="s">
        <v>2217</v>
      </c>
      <c r="H542" t="s">
        <v>750</v>
      </c>
      <c r="I542" t="s">
        <v>348</v>
      </c>
    </row>
    <row r="543" spans="1:9" x14ac:dyDescent="0.25">
      <c r="A543" t="s">
        <v>400</v>
      </c>
      <c r="B543" t="s">
        <v>2221</v>
      </c>
      <c r="C543" t="s">
        <v>2222</v>
      </c>
      <c r="D543">
        <v>3</v>
      </c>
      <c r="E543" t="s">
        <v>747</v>
      </c>
      <c r="F543" t="s">
        <v>755</v>
      </c>
      <c r="G543" t="s">
        <v>2223</v>
      </c>
      <c r="H543" t="s">
        <v>750</v>
      </c>
      <c r="I543" t="s">
        <v>348</v>
      </c>
    </row>
    <row r="544" spans="1:9" x14ac:dyDescent="0.25">
      <c r="A544" t="s">
        <v>400</v>
      </c>
      <c r="B544" t="s">
        <v>2224</v>
      </c>
      <c r="C544" t="s">
        <v>2225</v>
      </c>
      <c r="D544">
        <v>4</v>
      </c>
      <c r="E544" t="s">
        <v>747</v>
      </c>
      <c r="F544" t="s">
        <v>758</v>
      </c>
      <c r="G544" t="s">
        <v>2226</v>
      </c>
      <c r="H544" t="s">
        <v>760</v>
      </c>
      <c r="I544" t="s">
        <v>348</v>
      </c>
    </row>
    <row r="545" spans="1:9" x14ac:dyDescent="0.25">
      <c r="A545" t="s">
        <v>400</v>
      </c>
      <c r="B545" t="s">
        <v>404</v>
      </c>
      <c r="C545" t="s">
        <v>2227</v>
      </c>
      <c r="D545">
        <v>5</v>
      </c>
      <c r="E545" t="s">
        <v>747</v>
      </c>
      <c r="F545" t="s">
        <v>763</v>
      </c>
      <c r="G545" t="s">
        <v>2228</v>
      </c>
      <c r="H545" t="s">
        <v>760</v>
      </c>
      <c r="I545" t="s">
        <v>348</v>
      </c>
    </row>
    <row r="546" spans="1:9" x14ac:dyDescent="0.25">
      <c r="A546" t="s">
        <v>400</v>
      </c>
      <c r="B546" t="s">
        <v>765</v>
      </c>
      <c r="C546" t="s">
        <v>2229</v>
      </c>
      <c r="E546" t="s">
        <v>767</v>
      </c>
      <c r="F546" t="s">
        <v>768</v>
      </c>
      <c r="G546" t="s">
        <v>2230</v>
      </c>
      <c r="H546" t="s">
        <v>750</v>
      </c>
      <c r="I546" t="s">
        <v>348</v>
      </c>
    </row>
    <row r="547" spans="1:9" x14ac:dyDescent="0.25">
      <c r="A547" t="s">
        <v>400</v>
      </c>
      <c r="B547" t="s">
        <v>770</v>
      </c>
      <c r="C547" t="s">
        <v>2231</v>
      </c>
      <c r="E547" t="s">
        <v>767</v>
      </c>
      <c r="F547" t="s">
        <v>772</v>
      </c>
      <c r="G547" t="s">
        <v>2232</v>
      </c>
      <c r="H547" t="s">
        <v>750</v>
      </c>
      <c r="I547" t="s">
        <v>348</v>
      </c>
    </row>
    <row r="548" spans="1:9" x14ac:dyDescent="0.25">
      <c r="A548" t="s">
        <v>405</v>
      </c>
      <c r="B548" t="s">
        <v>2233</v>
      </c>
      <c r="C548" t="s">
        <v>2234</v>
      </c>
      <c r="D548">
        <v>1</v>
      </c>
      <c r="E548" t="s">
        <v>747</v>
      </c>
      <c r="F548" t="s">
        <v>2235</v>
      </c>
      <c r="G548" t="s">
        <v>2236</v>
      </c>
      <c r="H548" t="s">
        <v>750</v>
      </c>
      <c r="I548" t="s">
        <v>348</v>
      </c>
    </row>
    <row r="549" spans="1:9" x14ac:dyDescent="0.25">
      <c r="A549" t="s">
        <v>405</v>
      </c>
      <c r="B549" t="s">
        <v>408</v>
      </c>
      <c r="C549" t="s">
        <v>2237</v>
      </c>
      <c r="D549">
        <v>2</v>
      </c>
      <c r="E549" t="s">
        <v>747</v>
      </c>
      <c r="F549" t="s">
        <v>2238</v>
      </c>
      <c r="G549" t="s">
        <v>2236</v>
      </c>
      <c r="H549" t="s">
        <v>750</v>
      </c>
      <c r="I549" t="s">
        <v>348</v>
      </c>
    </row>
    <row r="550" spans="1:9" x14ac:dyDescent="0.25">
      <c r="A550" t="s">
        <v>405</v>
      </c>
      <c r="B550" t="s">
        <v>2239</v>
      </c>
      <c r="C550" t="s">
        <v>2240</v>
      </c>
      <c r="D550">
        <v>3</v>
      </c>
      <c r="E550" t="s">
        <v>747</v>
      </c>
      <c r="F550" t="s">
        <v>755</v>
      </c>
      <c r="G550" t="s">
        <v>2241</v>
      </c>
      <c r="H550" t="s">
        <v>750</v>
      </c>
      <c r="I550" t="s">
        <v>348</v>
      </c>
    </row>
    <row r="551" spans="1:9" x14ac:dyDescent="0.25">
      <c r="A551" t="s">
        <v>405</v>
      </c>
      <c r="B551" t="s">
        <v>2242</v>
      </c>
      <c r="C551" t="s">
        <v>2243</v>
      </c>
      <c r="D551">
        <v>4</v>
      </c>
      <c r="E551" t="s">
        <v>747</v>
      </c>
      <c r="F551" t="s">
        <v>758</v>
      </c>
      <c r="G551" t="s">
        <v>2244</v>
      </c>
      <c r="H551" t="s">
        <v>760</v>
      </c>
      <c r="I551" t="s">
        <v>348</v>
      </c>
    </row>
    <row r="552" spans="1:9" x14ac:dyDescent="0.25">
      <c r="A552" t="s">
        <v>405</v>
      </c>
      <c r="B552" t="s">
        <v>2245</v>
      </c>
      <c r="C552" t="s">
        <v>2246</v>
      </c>
      <c r="D552">
        <v>5</v>
      </c>
      <c r="E552" t="s">
        <v>747</v>
      </c>
      <c r="F552" t="s">
        <v>763</v>
      </c>
      <c r="G552" t="s">
        <v>2247</v>
      </c>
      <c r="H552" t="s">
        <v>760</v>
      </c>
      <c r="I552" t="s">
        <v>348</v>
      </c>
    </row>
    <row r="553" spans="1:9" x14ac:dyDescent="0.25">
      <c r="A553" t="s">
        <v>405</v>
      </c>
      <c r="B553" t="s">
        <v>765</v>
      </c>
      <c r="C553" t="s">
        <v>2248</v>
      </c>
      <c r="E553" t="s">
        <v>767</v>
      </c>
      <c r="F553" t="s">
        <v>768</v>
      </c>
      <c r="G553" t="s">
        <v>2249</v>
      </c>
      <c r="H553" t="s">
        <v>750</v>
      </c>
      <c r="I553" t="s">
        <v>348</v>
      </c>
    </row>
    <row r="554" spans="1:9" x14ac:dyDescent="0.25">
      <c r="A554" t="s">
        <v>405</v>
      </c>
      <c r="B554" t="s">
        <v>770</v>
      </c>
      <c r="C554" t="s">
        <v>2250</v>
      </c>
      <c r="E554" t="s">
        <v>767</v>
      </c>
      <c r="F554" t="s">
        <v>772</v>
      </c>
      <c r="G554" t="s">
        <v>2251</v>
      </c>
      <c r="H554" t="s">
        <v>750</v>
      </c>
      <c r="I554" t="s">
        <v>348</v>
      </c>
    </row>
    <row r="555" spans="1:9" x14ac:dyDescent="0.25">
      <c r="A555" t="s">
        <v>409</v>
      </c>
      <c r="B555" t="s">
        <v>2252</v>
      </c>
      <c r="C555" t="s">
        <v>2253</v>
      </c>
      <c r="D555">
        <v>1</v>
      </c>
      <c r="E555" t="s">
        <v>747</v>
      </c>
      <c r="F555" t="s">
        <v>2254</v>
      </c>
      <c r="G555" t="s">
        <v>2255</v>
      </c>
      <c r="H555" t="s">
        <v>750</v>
      </c>
      <c r="I555" t="s">
        <v>348</v>
      </c>
    </row>
    <row r="556" spans="1:9" x14ac:dyDescent="0.25">
      <c r="A556" t="s">
        <v>409</v>
      </c>
      <c r="B556" t="s">
        <v>412</v>
      </c>
      <c r="C556" t="s">
        <v>2256</v>
      </c>
      <c r="D556">
        <v>2</v>
      </c>
      <c r="E556" t="s">
        <v>747</v>
      </c>
      <c r="F556" t="s">
        <v>2257</v>
      </c>
      <c r="G556" t="s">
        <v>2255</v>
      </c>
      <c r="H556" t="s">
        <v>750</v>
      </c>
      <c r="I556" t="s">
        <v>348</v>
      </c>
    </row>
    <row r="557" spans="1:9" x14ac:dyDescent="0.25">
      <c r="A557" t="s">
        <v>409</v>
      </c>
      <c r="B557" t="s">
        <v>2258</v>
      </c>
      <c r="C557" t="s">
        <v>2259</v>
      </c>
      <c r="D557">
        <v>3</v>
      </c>
      <c r="E557" t="s">
        <v>747</v>
      </c>
      <c r="F557" t="s">
        <v>755</v>
      </c>
      <c r="G557" t="s">
        <v>2260</v>
      </c>
      <c r="H557" t="s">
        <v>750</v>
      </c>
      <c r="I557" t="s">
        <v>348</v>
      </c>
    </row>
    <row r="558" spans="1:9" x14ac:dyDescent="0.25">
      <c r="A558" t="s">
        <v>409</v>
      </c>
      <c r="B558" t="s">
        <v>2261</v>
      </c>
      <c r="C558" t="s">
        <v>2262</v>
      </c>
      <c r="D558">
        <v>4</v>
      </c>
      <c r="E558" t="s">
        <v>747</v>
      </c>
      <c r="F558" t="s">
        <v>758</v>
      </c>
      <c r="G558" t="s">
        <v>2263</v>
      </c>
      <c r="H558" t="s">
        <v>760</v>
      </c>
      <c r="I558" t="s">
        <v>348</v>
      </c>
    </row>
    <row r="559" spans="1:9" x14ac:dyDescent="0.25">
      <c r="A559" t="s">
        <v>409</v>
      </c>
      <c r="B559" t="s">
        <v>2264</v>
      </c>
      <c r="C559" t="s">
        <v>2265</v>
      </c>
      <c r="D559">
        <v>5</v>
      </c>
      <c r="E559" t="s">
        <v>747</v>
      </c>
      <c r="F559" t="s">
        <v>763</v>
      </c>
      <c r="G559" t="s">
        <v>2266</v>
      </c>
      <c r="H559" t="s">
        <v>760</v>
      </c>
      <c r="I559" t="s">
        <v>348</v>
      </c>
    </row>
    <row r="560" spans="1:9" x14ac:dyDescent="0.25">
      <c r="A560" t="s">
        <v>409</v>
      </c>
      <c r="B560" t="s">
        <v>765</v>
      </c>
      <c r="C560" t="s">
        <v>2267</v>
      </c>
      <c r="E560" t="s">
        <v>767</v>
      </c>
      <c r="F560" t="s">
        <v>768</v>
      </c>
      <c r="G560" t="s">
        <v>2268</v>
      </c>
      <c r="H560" t="s">
        <v>750</v>
      </c>
      <c r="I560" t="s">
        <v>348</v>
      </c>
    </row>
    <row r="561" spans="1:9" x14ac:dyDescent="0.25">
      <c r="A561" t="s">
        <v>409</v>
      </c>
      <c r="B561" t="s">
        <v>770</v>
      </c>
      <c r="C561" t="s">
        <v>2269</v>
      </c>
      <c r="E561" t="s">
        <v>767</v>
      </c>
      <c r="F561" t="s">
        <v>772</v>
      </c>
      <c r="G561" t="s">
        <v>2270</v>
      </c>
      <c r="H561" t="s">
        <v>750</v>
      </c>
      <c r="I561" t="s">
        <v>348</v>
      </c>
    </row>
    <row r="562" spans="1:9" x14ac:dyDescent="0.25">
      <c r="A562" t="s">
        <v>413</v>
      </c>
      <c r="B562" t="s">
        <v>418</v>
      </c>
      <c r="C562" t="s">
        <v>2271</v>
      </c>
      <c r="D562">
        <v>1</v>
      </c>
      <c r="E562" t="s">
        <v>747</v>
      </c>
      <c r="F562" t="s">
        <v>2272</v>
      </c>
      <c r="G562" t="s">
        <v>2273</v>
      </c>
      <c r="H562" t="s">
        <v>750</v>
      </c>
      <c r="I562" t="s">
        <v>414</v>
      </c>
    </row>
    <row r="563" spans="1:9" x14ac:dyDescent="0.25">
      <c r="A563" t="s">
        <v>413</v>
      </c>
      <c r="B563" t="s">
        <v>2274</v>
      </c>
      <c r="C563" t="s">
        <v>2275</v>
      </c>
      <c r="D563">
        <v>2</v>
      </c>
      <c r="E563" t="s">
        <v>747</v>
      </c>
      <c r="F563" t="s">
        <v>2276</v>
      </c>
      <c r="G563" t="s">
        <v>2273</v>
      </c>
      <c r="H563" t="s">
        <v>750</v>
      </c>
      <c r="I563" t="s">
        <v>414</v>
      </c>
    </row>
    <row r="564" spans="1:9" x14ac:dyDescent="0.25">
      <c r="A564" t="s">
        <v>413</v>
      </c>
      <c r="B564" t="s">
        <v>2277</v>
      </c>
      <c r="C564" t="s">
        <v>2278</v>
      </c>
      <c r="D564">
        <v>3</v>
      </c>
      <c r="E564" t="s">
        <v>747</v>
      </c>
      <c r="F564" t="s">
        <v>755</v>
      </c>
      <c r="G564" t="s">
        <v>2279</v>
      </c>
      <c r="H564" t="s">
        <v>750</v>
      </c>
      <c r="I564" t="s">
        <v>414</v>
      </c>
    </row>
    <row r="565" spans="1:9" x14ac:dyDescent="0.25">
      <c r="A565" t="s">
        <v>413</v>
      </c>
      <c r="B565" t="s">
        <v>2280</v>
      </c>
      <c r="C565" t="s">
        <v>2281</v>
      </c>
      <c r="D565">
        <v>4</v>
      </c>
      <c r="E565" t="s">
        <v>747</v>
      </c>
      <c r="F565" t="s">
        <v>758</v>
      </c>
      <c r="G565" t="s">
        <v>2282</v>
      </c>
      <c r="H565" t="s">
        <v>760</v>
      </c>
      <c r="I565" t="s">
        <v>414</v>
      </c>
    </row>
    <row r="566" spans="1:9" x14ac:dyDescent="0.25">
      <c r="A566" t="s">
        <v>413</v>
      </c>
      <c r="B566" t="s">
        <v>2283</v>
      </c>
      <c r="C566" t="s">
        <v>2284</v>
      </c>
      <c r="D566">
        <v>5</v>
      </c>
      <c r="E566" t="s">
        <v>747</v>
      </c>
      <c r="F566" t="s">
        <v>763</v>
      </c>
      <c r="G566" t="s">
        <v>2285</v>
      </c>
      <c r="H566" t="s">
        <v>760</v>
      </c>
      <c r="I566" t="s">
        <v>414</v>
      </c>
    </row>
    <row r="567" spans="1:9" x14ac:dyDescent="0.25">
      <c r="A567" t="s">
        <v>413</v>
      </c>
      <c r="B567" t="s">
        <v>765</v>
      </c>
      <c r="C567" t="s">
        <v>2286</v>
      </c>
      <c r="E567" t="s">
        <v>767</v>
      </c>
      <c r="F567" t="s">
        <v>768</v>
      </c>
      <c r="G567" t="s">
        <v>2287</v>
      </c>
      <c r="H567" t="s">
        <v>750</v>
      </c>
      <c r="I567" t="s">
        <v>414</v>
      </c>
    </row>
    <row r="568" spans="1:9" x14ac:dyDescent="0.25">
      <c r="A568" t="s">
        <v>413</v>
      </c>
      <c r="B568" t="s">
        <v>770</v>
      </c>
      <c r="C568" t="s">
        <v>2288</v>
      </c>
      <c r="E568" t="s">
        <v>767</v>
      </c>
      <c r="F568" t="s">
        <v>772</v>
      </c>
      <c r="G568" t="s">
        <v>2289</v>
      </c>
      <c r="H568" t="s">
        <v>750</v>
      </c>
      <c r="I568" t="s">
        <v>414</v>
      </c>
    </row>
    <row r="569" spans="1:9" x14ac:dyDescent="0.25">
      <c r="A569" t="s">
        <v>419</v>
      </c>
      <c r="B569" t="s">
        <v>422</v>
      </c>
      <c r="C569" t="s">
        <v>2290</v>
      </c>
      <c r="D569">
        <v>1</v>
      </c>
      <c r="E569" t="s">
        <v>747</v>
      </c>
      <c r="F569" t="s">
        <v>2291</v>
      </c>
      <c r="G569" t="s">
        <v>2292</v>
      </c>
      <c r="H569" t="s">
        <v>750</v>
      </c>
      <c r="I569" t="s">
        <v>414</v>
      </c>
    </row>
    <row r="570" spans="1:9" x14ac:dyDescent="0.25">
      <c r="A570" t="s">
        <v>419</v>
      </c>
      <c r="B570" t="s">
        <v>2293</v>
      </c>
      <c r="C570" t="s">
        <v>2294</v>
      </c>
      <c r="D570">
        <v>2</v>
      </c>
      <c r="E570" t="s">
        <v>747</v>
      </c>
      <c r="F570" t="s">
        <v>2295</v>
      </c>
      <c r="G570" t="s">
        <v>2292</v>
      </c>
      <c r="H570" t="s">
        <v>750</v>
      </c>
      <c r="I570" t="s">
        <v>414</v>
      </c>
    </row>
    <row r="571" spans="1:9" x14ac:dyDescent="0.25">
      <c r="A571" t="s">
        <v>419</v>
      </c>
      <c r="B571" t="s">
        <v>2296</v>
      </c>
      <c r="C571" t="s">
        <v>2297</v>
      </c>
      <c r="D571">
        <v>3</v>
      </c>
      <c r="E571" t="s">
        <v>747</v>
      </c>
      <c r="F571" t="s">
        <v>755</v>
      </c>
      <c r="G571" t="s">
        <v>2298</v>
      </c>
      <c r="H571" t="s">
        <v>750</v>
      </c>
      <c r="I571" t="s">
        <v>414</v>
      </c>
    </row>
    <row r="572" spans="1:9" x14ac:dyDescent="0.25">
      <c r="A572" t="s">
        <v>419</v>
      </c>
      <c r="B572" t="s">
        <v>2299</v>
      </c>
      <c r="C572" t="s">
        <v>2300</v>
      </c>
      <c r="D572">
        <v>4</v>
      </c>
      <c r="E572" t="s">
        <v>747</v>
      </c>
      <c r="F572" t="s">
        <v>758</v>
      </c>
      <c r="G572" t="s">
        <v>2301</v>
      </c>
      <c r="H572" t="s">
        <v>760</v>
      </c>
      <c r="I572" t="s">
        <v>414</v>
      </c>
    </row>
    <row r="573" spans="1:9" x14ac:dyDescent="0.25">
      <c r="A573" t="s">
        <v>419</v>
      </c>
      <c r="B573" t="s">
        <v>2302</v>
      </c>
      <c r="C573" t="s">
        <v>2303</v>
      </c>
      <c r="D573">
        <v>5</v>
      </c>
      <c r="E573" t="s">
        <v>747</v>
      </c>
      <c r="F573" t="s">
        <v>763</v>
      </c>
      <c r="G573" t="s">
        <v>2304</v>
      </c>
      <c r="H573" t="s">
        <v>760</v>
      </c>
      <c r="I573" t="s">
        <v>414</v>
      </c>
    </row>
    <row r="574" spans="1:9" x14ac:dyDescent="0.25">
      <c r="A574" t="s">
        <v>419</v>
      </c>
      <c r="B574" t="s">
        <v>765</v>
      </c>
      <c r="C574" t="s">
        <v>2305</v>
      </c>
      <c r="E574" t="s">
        <v>767</v>
      </c>
      <c r="F574" t="s">
        <v>768</v>
      </c>
      <c r="G574" t="s">
        <v>2306</v>
      </c>
      <c r="H574" t="s">
        <v>750</v>
      </c>
      <c r="I574" t="s">
        <v>414</v>
      </c>
    </row>
    <row r="575" spans="1:9" x14ac:dyDescent="0.25">
      <c r="A575" t="s">
        <v>419</v>
      </c>
      <c r="B575" t="s">
        <v>770</v>
      </c>
      <c r="C575" t="s">
        <v>2307</v>
      </c>
      <c r="E575" t="s">
        <v>767</v>
      </c>
      <c r="F575" t="s">
        <v>772</v>
      </c>
      <c r="G575" t="s">
        <v>2308</v>
      </c>
      <c r="H575" t="s">
        <v>750</v>
      </c>
      <c r="I575" t="s">
        <v>414</v>
      </c>
    </row>
    <row r="576" spans="1:9" x14ac:dyDescent="0.25">
      <c r="A576" t="s">
        <v>423</v>
      </c>
      <c r="B576" t="s">
        <v>426</v>
      </c>
      <c r="C576" t="s">
        <v>2309</v>
      </c>
      <c r="D576">
        <v>1</v>
      </c>
      <c r="E576" t="s">
        <v>747</v>
      </c>
      <c r="F576" t="s">
        <v>2310</v>
      </c>
      <c r="G576" t="s">
        <v>2311</v>
      </c>
      <c r="H576" t="s">
        <v>750</v>
      </c>
      <c r="I576" t="s">
        <v>414</v>
      </c>
    </row>
    <row r="577" spans="1:9" x14ac:dyDescent="0.25">
      <c r="A577" t="s">
        <v>423</v>
      </c>
      <c r="B577" t="s">
        <v>2312</v>
      </c>
      <c r="C577" t="s">
        <v>2313</v>
      </c>
      <c r="D577">
        <v>2</v>
      </c>
      <c r="E577" t="s">
        <v>747</v>
      </c>
      <c r="F577" t="s">
        <v>2314</v>
      </c>
      <c r="G577" t="s">
        <v>2311</v>
      </c>
      <c r="H577" t="s">
        <v>750</v>
      </c>
      <c r="I577" t="s">
        <v>414</v>
      </c>
    </row>
    <row r="578" spans="1:9" x14ac:dyDescent="0.25">
      <c r="A578" t="s">
        <v>423</v>
      </c>
      <c r="B578" t="s">
        <v>2315</v>
      </c>
      <c r="C578" t="s">
        <v>2316</v>
      </c>
      <c r="D578">
        <v>3</v>
      </c>
      <c r="E578" t="s">
        <v>747</v>
      </c>
      <c r="F578" t="s">
        <v>755</v>
      </c>
      <c r="G578" t="s">
        <v>2317</v>
      </c>
      <c r="H578" t="s">
        <v>750</v>
      </c>
      <c r="I578" t="s">
        <v>414</v>
      </c>
    </row>
    <row r="579" spans="1:9" x14ac:dyDescent="0.25">
      <c r="A579" t="s">
        <v>423</v>
      </c>
      <c r="B579" t="s">
        <v>2318</v>
      </c>
      <c r="C579" t="s">
        <v>2319</v>
      </c>
      <c r="D579">
        <v>4</v>
      </c>
      <c r="E579" t="s">
        <v>747</v>
      </c>
      <c r="F579" t="s">
        <v>758</v>
      </c>
      <c r="G579" t="s">
        <v>2320</v>
      </c>
      <c r="H579" t="s">
        <v>760</v>
      </c>
      <c r="I579" t="s">
        <v>414</v>
      </c>
    </row>
    <row r="580" spans="1:9" x14ac:dyDescent="0.25">
      <c r="A580" t="s">
        <v>423</v>
      </c>
      <c r="B580" t="s">
        <v>2321</v>
      </c>
      <c r="C580" t="s">
        <v>2322</v>
      </c>
      <c r="D580">
        <v>5</v>
      </c>
      <c r="E580" t="s">
        <v>747</v>
      </c>
      <c r="F580" t="s">
        <v>763</v>
      </c>
      <c r="G580" t="s">
        <v>2323</v>
      </c>
      <c r="H580" t="s">
        <v>760</v>
      </c>
      <c r="I580" t="s">
        <v>414</v>
      </c>
    </row>
    <row r="581" spans="1:9" x14ac:dyDescent="0.25">
      <c r="A581" t="s">
        <v>423</v>
      </c>
      <c r="B581" t="s">
        <v>765</v>
      </c>
      <c r="C581" t="s">
        <v>2324</v>
      </c>
      <c r="E581" t="s">
        <v>767</v>
      </c>
      <c r="F581" t="s">
        <v>768</v>
      </c>
      <c r="G581" t="s">
        <v>2325</v>
      </c>
      <c r="H581" t="s">
        <v>750</v>
      </c>
      <c r="I581" t="s">
        <v>414</v>
      </c>
    </row>
    <row r="582" spans="1:9" x14ac:dyDescent="0.25">
      <c r="A582" t="s">
        <v>423</v>
      </c>
      <c r="B582" t="s">
        <v>770</v>
      </c>
      <c r="C582" t="s">
        <v>2326</v>
      </c>
      <c r="E582" t="s">
        <v>767</v>
      </c>
      <c r="F582" t="s">
        <v>772</v>
      </c>
      <c r="G582" t="s">
        <v>2327</v>
      </c>
      <c r="H582" t="s">
        <v>750</v>
      </c>
      <c r="I582" t="s">
        <v>414</v>
      </c>
    </row>
    <row r="583" spans="1:9" x14ac:dyDescent="0.25">
      <c r="A583" t="s">
        <v>427</v>
      </c>
      <c r="B583" t="s">
        <v>430</v>
      </c>
      <c r="C583" t="s">
        <v>2328</v>
      </c>
      <c r="D583">
        <v>1</v>
      </c>
      <c r="E583" t="s">
        <v>747</v>
      </c>
      <c r="F583" t="s">
        <v>2329</v>
      </c>
      <c r="G583" t="s">
        <v>2330</v>
      </c>
      <c r="H583" t="s">
        <v>750</v>
      </c>
      <c r="I583" t="s">
        <v>414</v>
      </c>
    </row>
    <row r="584" spans="1:9" x14ac:dyDescent="0.25">
      <c r="A584" t="s">
        <v>427</v>
      </c>
      <c r="B584" t="s">
        <v>2331</v>
      </c>
      <c r="C584" t="s">
        <v>2332</v>
      </c>
      <c r="D584">
        <v>2</v>
      </c>
      <c r="E584" t="s">
        <v>747</v>
      </c>
      <c r="F584" t="s">
        <v>2333</v>
      </c>
      <c r="G584" t="s">
        <v>2330</v>
      </c>
      <c r="H584" t="s">
        <v>750</v>
      </c>
      <c r="I584" t="s">
        <v>414</v>
      </c>
    </row>
    <row r="585" spans="1:9" x14ac:dyDescent="0.25">
      <c r="A585" t="s">
        <v>427</v>
      </c>
      <c r="B585" t="s">
        <v>2334</v>
      </c>
      <c r="C585" t="s">
        <v>2335</v>
      </c>
      <c r="D585">
        <v>3</v>
      </c>
      <c r="E585" t="s">
        <v>747</v>
      </c>
      <c r="F585" t="s">
        <v>755</v>
      </c>
      <c r="G585" t="s">
        <v>2336</v>
      </c>
      <c r="H585" t="s">
        <v>750</v>
      </c>
      <c r="I585" t="s">
        <v>414</v>
      </c>
    </row>
    <row r="586" spans="1:9" x14ac:dyDescent="0.25">
      <c r="A586" t="s">
        <v>427</v>
      </c>
      <c r="B586" t="s">
        <v>2337</v>
      </c>
      <c r="C586" t="s">
        <v>2338</v>
      </c>
      <c r="D586">
        <v>4</v>
      </c>
      <c r="E586" t="s">
        <v>747</v>
      </c>
      <c r="F586" t="s">
        <v>758</v>
      </c>
      <c r="G586" t="s">
        <v>2339</v>
      </c>
      <c r="H586" t="s">
        <v>760</v>
      </c>
      <c r="I586" t="s">
        <v>414</v>
      </c>
    </row>
    <row r="587" spans="1:9" x14ac:dyDescent="0.25">
      <c r="A587" t="s">
        <v>427</v>
      </c>
      <c r="B587" t="s">
        <v>2340</v>
      </c>
      <c r="C587" t="s">
        <v>2341</v>
      </c>
      <c r="D587">
        <v>5</v>
      </c>
      <c r="E587" t="s">
        <v>747</v>
      </c>
      <c r="F587" t="s">
        <v>763</v>
      </c>
      <c r="G587" t="s">
        <v>2342</v>
      </c>
      <c r="H587" t="s">
        <v>760</v>
      </c>
      <c r="I587" t="s">
        <v>414</v>
      </c>
    </row>
    <row r="588" spans="1:9" x14ac:dyDescent="0.25">
      <c r="A588" t="s">
        <v>427</v>
      </c>
      <c r="B588" t="s">
        <v>765</v>
      </c>
      <c r="C588" t="s">
        <v>2343</v>
      </c>
      <c r="E588" t="s">
        <v>767</v>
      </c>
      <c r="F588" t="s">
        <v>768</v>
      </c>
      <c r="G588" t="s">
        <v>2344</v>
      </c>
      <c r="H588" t="s">
        <v>750</v>
      </c>
      <c r="I588" t="s">
        <v>414</v>
      </c>
    </row>
    <row r="589" spans="1:9" x14ac:dyDescent="0.25">
      <c r="A589" t="s">
        <v>427</v>
      </c>
      <c r="B589" t="s">
        <v>770</v>
      </c>
      <c r="C589" t="s">
        <v>2345</v>
      </c>
      <c r="E589" t="s">
        <v>767</v>
      </c>
      <c r="F589" t="s">
        <v>772</v>
      </c>
      <c r="G589" t="s">
        <v>2346</v>
      </c>
      <c r="H589" t="s">
        <v>750</v>
      </c>
      <c r="I589" t="s">
        <v>414</v>
      </c>
    </row>
    <row r="590" spans="1:9" x14ac:dyDescent="0.25">
      <c r="A590" t="s">
        <v>431</v>
      </c>
      <c r="B590" t="s">
        <v>435</v>
      </c>
      <c r="C590" t="s">
        <v>2347</v>
      </c>
      <c r="D590">
        <v>1</v>
      </c>
      <c r="E590" t="s">
        <v>747</v>
      </c>
      <c r="F590" t="s">
        <v>2348</v>
      </c>
      <c r="G590" t="s">
        <v>2349</v>
      </c>
      <c r="H590" t="s">
        <v>750</v>
      </c>
      <c r="I590" t="s">
        <v>414</v>
      </c>
    </row>
    <row r="591" spans="1:9" x14ac:dyDescent="0.25">
      <c r="A591" t="s">
        <v>431</v>
      </c>
      <c r="B591" t="s">
        <v>2350</v>
      </c>
      <c r="C591" t="s">
        <v>2351</v>
      </c>
      <c r="D591">
        <v>2</v>
      </c>
      <c r="E591" t="s">
        <v>747</v>
      </c>
      <c r="F591" t="s">
        <v>2352</v>
      </c>
      <c r="G591" t="s">
        <v>2349</v>
      </c>
      <c r="H591" t="s">
        <v>750</v>
      </c>
      <c r="I591" t="s">
        <v>414</v>
      </c>
    </row>
    <row r="592" spans="1:9" x14ac:dyDescent="0.25">
      <c r="A592" t="s">
        <v>431</v>
      </c>
      <c r="B592" t="s">
        <v>2353</v>
      </c>
      <c r="C592" t="s">
        <v>2354</v>
      </c>
      <c r="D592">
        <v>3</v>
      </c>
      <c r="E592" t="s">
        <v>747</v>
      </c>
      <c r="F592" t="s">
        <v>755</v>
      </c>
      <c r="G592" t="s">
        <v>2355</v>
      </c>
      <c r="H592" t="s">
        <v>750</v>
      </c>
      <c r="I592" t="s">
        <v>414</v>
      </c>
    </row>
    <row r="593" spans="1:9" x14ac:dyDescent="0.25">
      <c r="A593" t="s">
        <v>431</v>
      </c>
      <c r="B593" t="s">
        <v>2356</v>
      </c>
      <c r="C593" t="s">
        <v>2357</v>
      </c>
      <c r="D593">
        <v>4</v>
      </c>
      <c r="E593" t="s">
        <v>747</v>
      </c>
      <c r="F593" t="s">
        <v>758</v>
      </c>
      <c r="G593" t="s">
        <v>2358</v>
      </c>
      <c r="H593" t="s">
        <v>760</v>
      </c>
      <c r="I593" t="s">
        <v>414</v>
      </c>
    </row>
    <row r="594" spans="1:9" x14ac:dyDescent="0.25">
      <c r="A594" t="s">
        <v>431</v>
      </c>
      <c r="B594" t="s">
        <v>2359</v>
      </c>
      <c r="C594" t="s">
        <v>2360</v>
      </c>
      <c r="D594">
        <v>5</v>
      </c>
      <c r="E594" t="s">
        <v>747</v>
      </c>
      <c r="F594" t="s">
        <v>763</v>
      </c>
      <c r="G594" t="s">
        <v>2361</v>
      </c>
      <c r="H594" t="s">
        <v>760</v>
      </c>
      <c r="I594" t="s">
        <v>414</v>
      </c>
    </row>
    <row r="595" spans="1:9" x14ac:dyDescent="0.25">
      <c r="A595" t="s">
        <v>431</v>
      </c>
      <c r="B595" t="s">
        <v>765</v>
      </c>
      <c r="C595" t="s">
        <v>2362</v>
      </c>
      <c r="E595" t="s">
        <v>767</v>
      </c>
      <c r="F595" t="s">
        <v>768</v>
      </c>
      <c r="G595" t="s">
        <v>2363</v>
      </c>
      <c r="H595" t="s">
        <v>750</v>
      </c>
      <c r="I595" t="s">
        <v>414</v>
      </c>
    </row>
    <row r="596" spans="1:9" x14ac:dyDescent="0.25">
      <c r="A596" t="s">
        <v>431</v>
      </c>
      <c r="B596" t="s">
        <v>770</v>
      </c>
      <c r="C596" t="s">
        <v>2364</v>
      </c>
      <c r="E596" t="s">
        <v>767</v>
      </c>
      <c r="F596" t="s">
        <v>772</v>
      </c>
      <c r="G596" t="s">
        <v>2365</v>
      </c>
      <c r="H596" t="s">
        <v>750</v>
      </c>
      <c r="I596" t="s">
        <v>414</v>
      </c>
    </row>
    <row r="597" spans="1:9" x14ac:dyDescent="0.25">
      <c r="A597" t="s">
        <v>436</v>
      </c>
      <c r="B597" t="s">
        <v>439</v>
      </c>
      <c r="C597" t="s">
        <v>2366</v>
      </c>
      <c r="D597">
        <v>1</v>
      </c>
      <c r="E597" t="s">
        <v>747</v>
      </c>
      <c r="F597" t="s">
        <v>2367</v>
      </c>
      <c r="G597" t="s">
        <v>2368</v>
      </c>
      <c r="H597" t="s">
        <v>750</v>
      </c>
      <c r="I597" t="s">
        <v>414</v>
      </c>
    </row>
    <row r="598" spans="1:9" x14ac:dyDescent="0.25">
      <c r="A598" t="s">
        <v>436</v>
      </c>
      <c r="B598" t="s">
        <v>2369</v>
      </c>
      <c r="C598" t="s">
        <v>2370</v>
      </c>
      <c r="D598">
        <v>2</v>
      </c>
      <c r="E598" t="s">
        <v>747</v>
      </c>
      <c r="F598" t="s">
        <v>2371</v>
      </c>
      <c r="G598" t="s">
        <v>2368</v>
      </c>
      <c r="H598" t="s">
        <v>750</v>
      </c>
      <c r="I598" t="s">
        <v>414</v>
      </c>
    </row>
    <row r="599" spans="1:9" x14ac:dyDescent="0.25">
      <c r="A599" t="s">
        <v>436</v>
      </c>
      <c r="B599" t="s">
        <v>2372</v>
      </c>
      <c r="C599" t="s">
        <v>2373</v>
      </c>
      <c r="D599">
        <v>3</v>
      </c>
      <c r="E599" t="s">
        <v>747</v>
      </c>
      <c r="F599" t="s">
        <v>755</v>
      </c>
      <c r="G599" t="s">
        <v>2374</v>
      </c>
      <c r="H599" t="s">
        <v>750</v>
      </c>
      <c r="I599" t="s">
        <v>414</v>
      </c>
    </row>
    <row r="600" spans="1:9" x14ac:dyDescent="0.25">
      <c r="A600" t="s">
        <v>436</v>
      </c>
      <c r="B600" t="s">
        <v>2375</v>
      </c>
      <c r="C600" t="s">
        <v>2376</v>
      </c>
      <c r="D600">
        <v>4</v>
      </c>
      <c r="E600" t="s">
        <v>747</v>
      </c>
      <c r="F600" t="s">
        <v>758</v>
      </c>
      <c r="G600" t="s">
        <v>2377</v>
      </c>
      <c r="H600" t="s">
        <v>760</v>
      </c>
      <c r="I600" t="s">
        <v>414</v>
      </c>
    </row>
    <row r="601" spans="1:9" x14ac:dyDescent="0.25">
      <c r="A601" t="s">
        <v>436</v>
      </c>
      <c r="B601" t="s">
        <v>2378</v>
      </c>
      <c r="C601" t="s">
        <v>2379</v>
      </c>
      <c r="D601">
        <v>5</v>
      </c>
      <c r="E601" t="s">
        <v>747</v>
      </c>
      <c r="F601" t="s">
        <v>763</v>
      </c>
      <c r="G601" t="s">
        <v>2380</v>
      </c>
      <c r="H601" t="s">
        <v>760</v>
      </c>
      <c r="I601" t="s">
        <v>414</v>
      </c>
    </row>
    <row r="602" spans="1:9" x14ac:dyDescent="0.25">
      <c r="A602" t="s">
        <v>436</v>
      </c>
      <c r="B602" t="s">
        <v>765</v>
      </c>
      <c r="C602" t="s">
        <v>2381</v>
      </c>
      <c r="E602" t="s">
        <v>767</v>
      </c>
      <c r="F602" t="s">
        <v>768</v>
      </c>
      <c r="G602" t="s">
        <v>2382</v>
      </c>
      <c r="H602" t="s">
        <v>750</v>
      </c>
      <c r="I602" t="s">
        <v>414</v>
      </c>
    </row>
    <row r="603" spans="1:9" x14ac:dyDescent="0.25">
      <c r="A603" t="s">
        <v>436</v>
      </c>
      <c r="B603" t="s">
        <v>770</v>
      </c>
      <c r="C603" t="s">
        <v>2383</v>
      </c>
      <c r="E603" t="s">
        <v>767</v>
      </c>
      <c r="F603" t="s">
        <v>772</v>
      </c>
      <c r="G603" t="s">
        <v>2384</v>
      </c>
      <c r="H603" t="s">
        <v>750</v>
      </c>
      <c r="I603" t="s">
        <v>414</v>
      </c>
    </row>
    <row r="604" spans="1:9" x14ac:dyDescent="0.25">
      <c r="A604" t="s">
        <v>440</v>
      </c>
      <c r="B604" t="s">
        <v>443</v>
      </c>
      <c r="C604" t="s">
        <v>2385</v>
      </c>
      <c r="D604">
        <v>1</v>
      </c>
      <c r="E604" t="s">
        <v>747</v>
      </c>
      <c r="F604" t="s">
        <v>1234</v>
      </c>
      <c r="G604" t="s">
        <v>2386</v>
      </c>
      <c r="H604" t="s">
        <v>750</v>
      </c>
      <c r="I604" t="s">
        <v>414</v>
      </c>
    </row>
    <row r="605" spans="1:9" x14ac:dyDescent="0.25">
      <c r="A605" t="s">
        <v>440</v>
      </c>
      <c r="B605" t="s">
        <v>2387</v>
      </c>
      <c r="C605" t="s">
        <v>2388</v>
      </c>
      <c r="D605">
        <v>2</v>
      </c>
      <c r="E605" t="s">
        <v>747</v>
      </c>
      <c r="F605" t="s">
        <v>2389</v>
      </c>
      <c r="G605" t="s">
        <v>2386</v>
      </c>
      <c r="H605" t="s">
        <v>750</v>
      </c>
      <c r="I605" t="s">
        <v>414</v>
      </c>
    </row>
    <row r="606" spans="1:9" x14ac:dyDescent="0.25">
      <c r="A606" t="s">
        <v>440</v>
      </c>
      <c r="B606" t="s">
        <v>2390</v>
      </c>
      <c r="C606" t="s">
        <v>2391</v>
      </c>
      <c r="D606">
        <v>3</v>
      </c>
      <c r="E606" t="s">
        <v>747</v>
      </c>
      <c r="F606" t="s">
        <v>755</v>
      </c>
      <c r="G606" t="s">
        <v>2392</v>
      </c>
      <c r="H606" t="s">
        <v>750</v>
      </c>
      <c r="I606" t="s">
        <v>414</v>
      </c>
    </row>
    <row r="607" spans="1:9" x14ac:dyDescent="0.25">
      <c r="A607" t="s">
        <v>440</v>
      </c>
      <c r="B607" t="s">
        <v>2393</v>
      </c>
      <c r="C607" t="s">
        <v>2394</v>
      </c>
      <c r="D607">
        <v>4</v>
      </c>
      <c r="E607" t="s">
        <v>747</v>
      </c>
      <c r="F607" t="s">
        <v>758</v>
      </c>
      <c r="G607" t="s">
        <v>2395</v>
      </c>
      <c r="H607" t="s">
        <v>760</v>
      </c>
      <c r="I607" t="s">
        <v>414</v>
      </c>
    </row>
    <row r="608" spans="1:9" x14ac:dyDescent="0.25">
      <c r="A608" t="s">
        <v>440</v>
      </c>
      <c r="B608" t="s">
        <v>2396</v>
      </c>
      <c r="C608" t="s">
        <v>2397</v>
      </c>
      <c r="D608">
        <v>5</v>
      </c>
      <c r="E608" t="s">
        <v>747</v>
      </c>
      <c r="F608" t="s">
        <v>763</v>
      </c>
      <c r="G608" t="s">
        <v>2398</v>
      </c>
      <c r="H608" t="s">
        <v>760</v>
      </c>
      <c r="I608" t="s">
        <v>414</v>
      </c>
    </row>
    <row r="609" spans="1:9" x14ac:dyDescent="0.25">
      <c r="A609" t="s">
        <v>440</v>
      </c>
      <c r="B609" t="s">
        <v>765</v>
      </c>
      <c r="C609" t="s">
        <v>2399</v>
      </c>
      <c r="E609" t="s">
        <v>767</v>
      </c>
      <c r="F609" t="s">
        <v>768</v>
      </c>
      <c r="G609" t="s">
        <v>2400</v>
      </c>
      <c r="H609" t="s">
        <v>750</v>
      </c>
      <c r="I609" t="s">
        <v>414</v>
      </c>
    </row>
    <row r="610" spans="1:9" x14ac:dyDescent="0.25">
      <c r="A610" t="s">
        <v>440</v>
      </c>
      <c r="B610" t="s">
        <v>770</v>
      </c>
      <c r="C610" t="s">
        <v>2401</v>
      </c>
      <c r="E610" t="s">
        <v>767</v>
      </c>
      <c r="F610" t="s">
        <v>772</v>
      </c>
      <c r="G610" t="s">
        <v>2402</v>
      </c>
      <c r="H610" t="s">
        <v>750</v>
      </c>
      <c r="I610" t="s">
        <v>414</v>
      </c>
    </row>
    <row r="611" spans="1:9" x14ac:dyDescent="0.25">
      <c r="A611" t="s">
        <v>444</v>
      </c>
      <c r="B611" t="s">
        <v>447</v>
      </c>
      <c r="C611" t="s">
        <v>2403</v>
      </c>
      <c r="D611">
        <v>1</v>
      </c>
      <c r="E611" t="s">
        <v>747</v>
      </c>
      <c r="F611" t="s">
        <v>2404</v>
      </c>
      <c r="G611" t="s">
        <v>2405</v>
      </c>
      <c r="H611" t="s">
        <v>750</v>
      </c>
      <c r="I611" t="s">
        <v>414</v>
      </c>
    </row>
    <row r="612" spans="1:9" x14ac:dyDescent="0.25">
      <c r="A612" t="s">
        <v>444</v>
      </c>
      <c r="B612" t="s">
        <v>2406</v>
      </c>
      <c r="C612" t="s">
        <v>2407</v>
      </c>
      <c r="D612">
        <v>2</v>
      </c>
      <c r="E612" t="s">
        <v>747</v>
      </c>
      <c r="F612" t="s">
        <v>2408</v>
      </c>
      <c r="G612" t="s">
        <v>2405</v>
      </c>
      <c r="H612" t="s">
        <v>750</v>
      </c>
      <c r="I612" t="s">
        <v>414</v>
      </c>
    </row>
    <row r="613" spans="1:9" x14ac:dyDescent="0.25">
      <c r="A613" t="s">
        <v>444</v>
      </c>
      <c r="B613" t="s">
        <v>2409</v>
      </c>
      <c r="C613" t="s">
        <v>2410</v>
      </c>
      <c r="D613">
        <v>3</v>
      </c>
      <c r="E613" t="s">
        <v>747</v>
      </c>
      <c r="F613" t="s">
        <v>755</v>
      </c>
      <c r="G613" t="s">
        <v>2411</v>
      </c>
      <c r="H613" t="s">
        <v>750</v>
      </c>
      <c r="I613" t="s">
        <v>414</v>
      </c>
    </row>
    <row r="614" spans="1:9" x14ac:dyDescent="0.25">
      <c r="A614" t="s">
        <v>444</v>
      </c>
      <c r="B614" t="s">
        <v>2412</v>
      </c>
      <c r="C614" t="s">
        <v>2413</v>
      </c>
      <c r="D614">
        <v>4</v>
      </c>
      <c r="E614" t="s">
        <v>747</v>
      </c>
      <c r="F614" t="s">
        <v>758</v>
      </c>
      <c r="G614" t="s">
        <v>2414</v>
      </c>
      <c r="H614" t="s">
        <v>760</v>
      </c>
      <c r="I614" t="s">
        <v>414</v>
      </c>
    </row>
    <row r="615" spans="1:9" x14ac:dyDescent="0.25">
      <c r="A615" t="s">
        <v>444</v>
      </c>
      <c r="B615" t="s">
        <v>2415</v>
      </c>
      <c r="C615" t="s">
        <v>2416</v>
      </c>
      <c r="D615">
        <v>5</v>
      </c>
      <c r="E615" t="s">
        <v>747</v>
      </c>
      <c r="F615" t="s">
        <v>763</v>
      </c>
      <c r="G615" t="s">
        <v>2417</v>
      </c>
      <c r="H615" t="s">
        <v>760</v>
      </c>
      <c r="I615" t="s">
        <v>414</v>
      </c>
    </row>
    <row r="616" spans="1:9" x14ac:dyDescent="0.25">
      <c r="A616" t="s">
        <v>444</v>
      </c>
      <c r="B616" t="s">
        <v>765</v>
      </c>
      <c r="C616" t="s">
        <v>2418</v>
      </c>
      <c r="E616" t="s">
        <v>767</v>
      </c>
      <c r="F616" t="s">
        <v>768</v>
      </c>
      <c r="G616" t="s">
        <v>2419</v>
      </c>
      <c r="H616" t="s">
        <v>750</v>
      </c>
      <c r="I616" t="s">
        <v>414</v>
      </c>
    </row>
    <row r="617" spans="1:9" x14ac:dyDescent="0.25">
      <c r="A617" t="s">
        <v>444</v>
      </c>
      <c r="B617" t="s">
        <v>770</v>
      </c>
      <c r="C617" t="s">
        <v>2420</v>
      </c>
      <c r="E617" t="s">
        <v>767</v>
      </c>
      <c r="F617" t="s">
        <v>772</v>
      </c>
      <c r="G617" t="s">
        <v>2421</v>
      </c>
      <c r="H617" t="s">
        <v>750</v>
      </c>
      <c r="I617" t="s">
        <v>414</v>
      </c>
    </row>
    <row r="618" spans="1:9" x14ac:dyDescent="0.25">
      <c r="A618" t="s">
        <v>448</v>
      </c>
      <c r="B618" t="s">
        <v>452</v>
      </c>
      <c r="C618" t="s">
        <v>2422</v>
      </c>
      <c r="D618">
        <v>1</v>
      </c>
      <c r="E618" t="s">
        <v>747</v>
      </c>
      <c r="F618" t="s">
        <v>2423</v>
      </c>
      <c r="G618" t="s">
        <v>2424</v>
      </c>
      <c r="H618" t="s">
        <v>750</v>
      </c>
      <c r="I618" t="s">
        <v>414</v>
      </c>
    </row>
    <row r="619" spans="1:9" x14ac:dyDescent="0.25">
      <c r="A619" t="s">
        <v>448</v>
      </c>
      <c r="B619" t="s">
        <v>2425</v>
      </c>
      <c r="C619" t="s">
        <v>2426</v>
      </c>
      <c r="D619">
        <v>2</v>
      </c>
      <c r="E619" t="s">
        <v>747</v>
      </c>
      <c r="F619" t="s">
        <v>2427</v>
      </c>
      <c r="G619" t="s">
        <v>2424</v>
      </c>
      <c r="H619" t="s">
        <v>750</v>
      </c>
      <c r="I619" t="s">
        <v>414</v>
      </c>
    </row>
    <row r="620" spans="1:9" x14ac:dyDescent="0.25">
      <c r="A620" t="s">
        <v>448</v>
      </c>
      <c r="B620" t="s">
        <v>2428</v>
      </c>
      <c r="C620" t="s">
        <v>2429</v>
      </c>
      <c r="D620">
        <v>3</v>
      </c>
      <c r="E620" t="s">
        <v>747</v>
      </c>
      <c r="F620" t="s">
        <v>755</v>
      </c>
      <c r="G620" t="s">
        <v>2430</v>
      </c>
      <c r="H620" t="s">
        <v>750</v>
      </c>
      <c r="I620" t="s">
        <v>414</v>
      </c>
    </row>
    <row r="621" spans="1:9" x14ac:dyDescent="0.25">
      <c r="A621" t="s">
        <v>448</v>
      </c>
      <c r="B621" t="s">
        <v>2431</v>
      </c>
      <c r="C621" t="s">
        <v>2432</v>
      </c>
      <c r="D621">
        <v>4</v>
      </c>
      <c r="E621" t="s">
        <v>747</v>
      </c>
      <c r="F621" t="s">
        <v>758</v>
      </c>
      <c r="G621" t="s">
        <v>2433</v>
      </c>
      <c r="H621" t="s">
        <v>760</v>
      </c>
      <c r="I621" t="s">
        <v>414</v>
      </c>
    </row>
    <row r="622" spans="1:9" x14ac:dyDescent="0.25">
      <c r="A622" t="s">
        <v>448</v>
      </c>
      <c r="B622" t="s">
        <v>2434</v>
      </c>
      <c r="C622" t="s">
        <v>2435</v>
      </c>
      <c r="D622">
        <v>5</v>
      </c>
      <c r="E622" t="s">
        <v>747</v>
      </c>
      <c r="F622" t="s">
        <v>763</v>
      </c>
      <c r="G622" t="s">
        <v>2436</v>
      </c>
      <c r="H622" t="s">
        <v>760</v>
      </c>
      <c r="I622" t="s">
        <v>414</v>
      </c>
    </row>
    <row r="623" spans="1:9" x14ac:dyDescent="0.25">
      <c r="A623" t="s">
        <v>448</v>
      </c>
      <c r="B623" t="s">
        <v>765</v>
      </c>
      <c r="C623" t="s">
        <v>2437</v>
      </c>
      <c r="E623" t="s">
        <v>767</v>
      </c>
      <c r="F623" t="s">
        <v>768</v>
      </c>
      <c r="G623" t="s">
        <v>2438</v>
      </c>
      <c r="H623" t="s">
        <v>750</v>
      </c>
      <c r="I623" t="s">
        <v>414</v>
      </c>
    </row>
    <row r="624" spans="1:9" x14ac:dyDescent="0.25">
      <c r="A624" t="s">
        <v>448</v>
      </c>
      <c r="B624" t="s">
        <v>770</v>
      </c>
      <c r="C624" t="s">
        <v>2439</v>
      </c>
      <c r="E624" t="s">
        <v>767</v>
      </c>
      <c r="F624" t="s">
        <v>772</v>
      </c>
      <c r="G624" t="s">
        <v>2440</v>
      </c>
      <c r="H624" t="s">
        <v>750</v>
      </c>
      <c r="I624" t="s">
        <v>414</v>
      </c>
    </row>
    <row r="625" spans="1:9" x14ac:dyDescent="0.25">
      <c r="A625" t="s">
        <v>453</v>
      </c>
      <c r="B625" t="s">
        <v>456</v>
      </c>
      <c r="C625" t="s">
        <v>2441</v>
      </c>
      <c r="D625">
        <v>1</v>
      </c>
      <c r="E625" t="s">
        <v>747</v>
      </c>
      <c r="F625" t="s">
        <v>2442</v>
      </c>
      <c r="G625" t="s">
        <v>2443</v>
      </c>
      <c r="H625" t="s">
        <v>750</v>
      </c>
      <c r="I625" t="s">
        <v>414</v>
      </c>
    </row>
    <row r="626" spans="1:9" x14ac:dyDescent="0.25">
      <c r="A626" t="s">
        <v>453</v>
      </c>
      <c r="B626" t="s">
        <v>2444</v>
      </c>
      <c r="C626" t="s">
        <v>2445</v>
      </c>
      <c r="D626">
        <v>2</v>
      </c>
      <c r="E626" t="s">
        <v>747</v>
      </c>
      <c r="F626" t="s">
        <v>2446</v>
      </c>
      <c r="G626" t="s">
        <v>2443</v>
      </c>
      <c r="H626" t="s">
        <v>750</v>
      </c>
      <c r="I626" t="s">
        <v>414</v>
      </c>
    </row>
    <row r="627" spans="1:9" x14ac:dyDescent="0.25">
      <c r="A627" t="s">
        <v>453</v>
      </c>
      <c r="B627" t="s">
        <v>2447</v>
      </c>
      <c r="C627" t="s">
        <v>2448</v>
      </c>
      <c r="D627">
        <v>3</v>
      </c>
      <c r="E627" t="s">
        <v>747</v>
      </c>
      <c r="F627" t="s">
        <v>755</v>
      </c>
      <c r="G627" t="s">
        <v>2449</v>
      </c>
      <c r="H627" t="s">
        <v>750</v>
      </c>
      <c r="I627" t="s">
        <v>414</v>
      </c>
    </row>
    <row r="628" spans="1:9" x14ac:dyDescent="0.25">
      <c r="A628" t="s">
        <v>453</v>
      </c>
      <c r="B628" t="s">
        <v>2450</v>
      </c>
      <c r="C628" t="s">
        <v>2451</v>
      </c>
      <c r="D628">
        <v>4</v>
      </c>
      <c r="E628" t="s">
        <v>747</v>
      </c>
      <c r="F628" t="s">
        <v>758</v>
      </c>
      <c r="G628" t="s">
        <v>2452</v>
      </c>
      <c r="H628" t="s">
        <v>760</v>
      </c>
      <c r="I628" t="s">
        <v>414</v>
      </c>
    </row>
    <row r="629" spans="1:9" x14ac:dyDescent="0.25">
      <c r="A629" t="s">
        <v>453</v>
      </c>
      <c r="B629" t="s">
        <v>2453</v>
      </c>
      <c r="C629" t="s">
        <v>2454</v>
      </c>
      <c r="D629">
        <v>5</v>
      </c>
      <c r="E629" t="s">
        <v>747</v>
      </c>
      <c r="F629" t="s">
        <v>763</v>
      </c>
      <c r="G629" t="s">
        <v>2455</v>
      </c>
      <c r="H629" t="s">
        <v>760</v>
      </c>
      <c r="I629" t="s">
        <v>414</v>
      </c>
    </row>
    <row r="630" spans="1:9" x14ac:dyDescent="0.25">
      <c r="A630" t="s">
        <v>453</v>
      </c>
      <c r="B630" t="s">
        <v>765</v>
      </c>
      <c r="C630" t="s">
        <v>2456</v>
      </c>
      <c r="E630" t="s">
        <v>767</v>
      </c>
      <c r="F630" t="s">
        <v>768</v>
      </c>
      <c r="G630" t="s">
        <v>2457</v>
      </c>
      <c r="H630" t="s">
        <v>750</v>
      </c>
      <c r="I630" t="s">
        <v>414</v>
      </c>
    </row>
    <row r="631" spans="1:9" x14ac:dyDescent="0.25">
      <c r="A631" t="s">
        <v>453</v>
      </c>
      <c r="B631" t="s">
        <v>770</v>
      </c>
      <c r="C631" t="s">
        <v>2458</v>
      </c>
      <c r="E631" t="s">
        <v>767</v>
      </c>
      <c r="F631" t="s">
        <v>772</v>
      </c>
      <c r="G631" t="s">
        <v>2459</v>
      </c>
      <c r="H631" t="s">
        <v>750</v>
      </c>
      <c r="I631" t="s">
        <v>414</v>
      </c>
    </row>
    <row r="632" spans="1:9" x14ac:dyDescent="0.25">
      <c r="A632" t="s">
        <v>457</v>
      </c>
      <c r="B632" t="s">
        <v>460</v>
      </c>
      <c r="C632" t="s">
        <v>2460</v>
      </c>
      <c r="D632">
        <v>1</v>
      </c>
      <c r="E632" t="s">
        <v>747</v>
      </c>
      <c r="F632" t="s">
        <v>2461</v>
      </c>
      <c r="G632" t="s">
        <v>2462</v>
      </c>
      <c r="H632" t="s">
        <v>750</v>
      </c>
      <c r="I632" t="s">
        <v>414</v>
      </c>
    </row>
    <row r="633" spans="1:9" x14ac:dyDescent="0.25">
      <c r="A633" t="s">
        <v>457</v>
      </c>
      <c r="B633" t="s">
        <v>2463</v>
      </c>
      <c r="C633" t="s">
        <v>2464</v>
      </c>
      <c r="D633">
        <v>2</v>
      </c>
      <c r="E633" t="s">
        <v>747</v>
      </c>
      <c r="F633" t="s">
        <v>2465</v>
      </c>
      <c r="G633" t="s">
        <v>2462</v>
      </c>
      <c r="H633" t="s">
        <v>750</v>
      </c>
      <c r="I633" t="s">
        <v>414</v>
      </c>
    </row>
    <row r="634" spans="1:9" x14ac:dyDescent="0.25">
      <c r="A634" t="s">
        <v>457</v>
      </c>
      <c r="B634" t="s">
        <v>2466</v>
      </c>
      <c r="C634" t="s">
        <v>2467</v>
      </c>
      <c r="D634">
        <v>3</v>
      </c>
      <c r="E634" t="s">
        <v>747</v>
      </c>
      <c r="F634" t="s">
        <v>755</v>
      </c>
      <c r="G634" t="s">
        <v>2468</v>
      </c>
      <c r="H634" t="s">
        <v>750</v>
      </c>
      <c r="I634" t="s">
        <v>414</v>
      </c>
    </row>
    <row r="635" spans="1:9" x14ac:dyDescent="0.25">
      <c r="A635" t="s">
        <v>457</v>
      </c>
      <c r="B635" t="s">
        <v>2469</v>
      </c>
      <c r="C635" t="s">
        <v>2470</v>
      </c>
      <c r="D635">
        <v>4</v>
      </c>
      <c r="E635" t="s">
        <v>747</v>
      </c>
      <c r="F635" t="s">
        <v>758</v>
      </c>
      <c r="G635" t="s">
        <v>2471</v>
      </c>
      <c r="H635" t="s">
        <v>760</v>
      </c>
      <c r="I635" t="s">
        <v>414</v>
      </c>
    </row>
    <row r="636" spans="1:9" x14ac:dyDescent="0.25">
      <c r="A636" t="s">
        <v>457</v>
      </c>
      <c r="B636" t="s">
        <v>2472</v>
      </c>
      <c r="C636" t="s">
        <v>2473</v>
      </c>
      <c r="D636">
        <v>5</v>
      </c>
      <c r="E636" t="s">
        <v>747</v>
      </c>
      <c r="F636" t="s">
        <v>763</v>
      </c>
      <c r="G636" t="s">
        <v>2474</v>
      </c>
      <c r="H636" t="s">
        <v>760</v>
      </c>
      <c r="I636" t="s">
        <v>414</v>
      </c>
    </row>
    <row r="637" spans="1:9" x14ac:dyDescent="0.25">
      <c r="A637" t="s">
        <v>457</v>
      </c>
      <c r="B637" t="s">
        <v>765</v>
      </c>
      <c r="C637" t="s">
        <v>2475</v>
      </c>
      <c r="E637" t="s">
        <v>767</v>
      </c>
      <c r="F637" t="s">
        <v>768</v>
      </c>
      <c r="G637" t="s">
        <v>2476</v>
      </c>
      <c r="H637" t="s">
        <v>750</v>
      </c>
      <c r="I637" t="s">
        <v>414</v>
      </c>
    </row>
    <row r="638" spans="1:9" x14ac:dyDescent="0.25">
      <c r="A638" t="s">
        <v>457</v>
      </c>
      <c r="B638" t="s">
        <v>770</v>
      </c>
      <c r="C638" t="s">
        <v>2477</v>
      </c>
      <c r="E638" t="s">
        <v>767</v>
      </c>
      <c r="F638" t="s">
        <v>772</v>
      </c>
      <c r="G638" t="s">
        <v>2478</v>
      </c>
      <c r="H638" t="s">
        <v>750</v>
      </c>
      <c r="I638" t="s">
        <v>414</v>
      </c>
    </row>
    <row r="639" spans="1:9" x14ac:dyDescent="0.25">
      <c r="A639" t="s">
        <v>461</v>
      </c>
      <c r="B639" t="s">
        <v>465</v>
      </c>
      <c r="C639" t="s">
        <v>2479</v>
      </c>
      <c r="D639">
        <v>1</v>
      </c>
      <c r="E639" t="s">
        <v>747</v>
      </c>
      <c r="F639" t="s">
        <v>2480</v>
      </c>
      <c r="G639" t="s">
        <v>2481</v>
      </c>
      <c r="H639" t="s">
        <v>750</v>
      </c>
      <c r="I639" t="s">
        <v>414</v>
      </c>
    </row>
    <row r="640" spans="1:9" x14ac:dyDescent="0.25">
      <c r="A640" t="s">
        <v>461</v>
      </c>
      <c r="B640" t="s">
        <v>2482</v>
      </c>
      <c r="C640" t="s">
        <v>2483</v>
      </c>
      <c r="D640">
        <v>2</v>
      </c>
      <c r="E640" t="s">
        <v>747</v>
      </c>
      <c r="F640" t="s">
        <v>2484</v>
      </c>
      <c r="G640" t="s">
        <v>2481</v>
      </c>
      <c r="H640" t="s">
        <v>750</v>
      </c>
      <c r="I640" t="s">
        <v>414</v>
      </c>
    </row>
    <row r="641" spans="1:9" x14ac:dyDescent="0.25">
      <c r="A641" t="s">
        <v>461</v>
      </c>
      <c r="B641" t="s">
        <v>2485</v>
      </c>
      <c r="C641" t="s">
        <v>2486</v>
      </c>
      <c r="D641">
        <v>3</v>
      </c>
      <c r="E641" t="s">
        <v>747</v>
      </c>
      <c r="F641" t="s">
        <v>755</v>
      </c>
      <c r="G641" t="s">
        <v>2487</v>
      </c>
      <c r="H641" t="s">
        <v>750</v>
      </c>
      <c r="I641" t="s">
        <v>414</v>
      </c>
    </row>
    <row r="642" spans="1:9" x14ac:dyDescent="0.25">
      <c r="A642" t="s">
        <v>461</v>
      </c>
      <c r="B642" t="s">
        <v>2488</v>
      </c>
      <c r="C642" t="s">
        <v>2489</v>
      </c>
      <c r="D642">
        <v>4</v>
      </c>
      <c r="E642" t="s">
        <v>747</v>
      </c>
      <c r="F642" t="s">
        <v>758</v>
      </c>
      <c r="G642" t="s">
        <v>2490</v>
      </c>
      <c r="H642" t="s">
        <v>760</v>
      </c>
      <c r="I642" t="s">
        <v>414</v>
      </c>
    </row>
    <row r="643" spans="1:9" x14ac:dyDescent="0.25">
      <c r="A643" t="s">
        <v>461</v>
      </c>
      <c r="B643" t="s">
        <v>2491</v>
      </c>
      <c r="C643" t="s">
        <v>2492</v>
      </c>
      <c r="D643">
        <v>5</v>
      </c>
      <c r="E643" t="s">
        <v>747</v>
      </c>
      <c r="F643" t="s">
        <v>763</v>
      </c>
      <c r="G643" t="s">
        <v>2493</v>
      </c>
      <c r="H643" t="s">
        <v>760</v>
      </c>
      <c r="I643" t="s">
        <v>414</v>
      </c>
    </row>
    <row r="644" spans="1:9" x14ac:dyDescent="0.25">
      <c r="A644" t="s">
        <v>461</v>
      </c>
      <c r="B644" t="s">
        <v>765</v>
      </c>
      <c r="C644" t="s">
        <v>2494</v>
      </c>
      <c r="E644" t="s">
        <v>767</v>
      </c>
      <c r="F644" t="s">
        <v>768</v>
      </c>
      <c r="G644" t="s">
        <v>2495</v>
      </c>
      <c r="H644" t="s">
        <v>750</v>
      </c>
      <c r="I644" t="s">
        <v>414</v>
      </c>
    </row>
    <row r="645" spans="1:9" x14ac:dyDescent="0.25">
      <c r="A645" t="s">
        <v>461</v>
      </c>
      <c r="B645" t="s">
        <v>770</v>
      </c>
      <c r="C645" t="s">
        <v>2496</v>
      </c>
      <c r="E645" t="s">
        <v>767</v>
      </c>
      <c r="F645" t="s">
        <v>772</v>
      </c>
      <c r="G645" t="s">
        <v>2497</v>
      </c>
      <c r="H645" t="s">
        <v>750</v>
      </c>
      <c r="I645" t="s">
        <v>414</v>
      </c>
    </row>
    <row r="646" spans="1:9" x14ac:dyDescent="0.25">
      <c r="A646" t="s">
        <v>466</v>
      </c>
      <c r="B646" t="s">
        <v>469</v>
      </c>
      <c r="C646" t="s">
        <v>2498</v>
      </c>
      <c r="D646">
        <v>1</v>
      </c>
      <c r="E646" t="s">
        <v>747</v>
      </c>
      <c r="F646" t="s">
        <v>2499</v>
      </c>
      <c r="G646" t="s">
        <v>2500</v>
      </c>
      <c r="H646" t="s">
        <v>750</v>
      </c>
      <c r="I646" t="s">
        <v>414</v>
      </c>
    </row>
    <row r="647" spans="1:9" x14ac:dyDescent="0.25">
      <c r="A647" t="s">
        <v>466</v>
      </c>
      <c r="B647" t="s">
        <v>2501</v>
      </c>
      <c r="C647" t="s">
        <v>2502</v>
      </c>
      <c r="D647">
        <v>2</v>
      </c>
      <c r="E647" t="s">
        <v>747</v>
      </c>
      <c r="F647" t="s">
        <v>2503</v>
      </c>
      <c r="G647" t="s">
        <v>2500</v>
      </c>
      <c r="H647" t="s">
        <v>750</v>
      </c>
      <c r="I647" t="s">
        <v>414</v>
      </c>
    </row>
    <row r="648" spans="1:9" x14ac:dyDescent="0.25">
      <c r="A648" t="s">
        <v>466</v>
      </c>
      <c r="B648" t="s">
        <v>2504</v>
      </c>
      <c r="C648" t="s">
        <v>2505</v>
      </c>
      <c r="D648">
        <v>3</v>
      </c>
      <c r="E648" t="s">
        <v>747</v>
      </c>
      <c r="F648" t="s">
        <v>755</v>
      </c>
      <c r="G648" t="s">
        <v>2506</v>
      </c>
      <c r="H648" t="s">
        <v>750</v>
      </c>
      <c r="I648" t="s">
        <v>414</v>
      </c>
    </row>
    <row r="649" spans="1:9" x14ac:dyDescent="0.25">
      <c r="A649" t="s">
        <v>466</v>
      </c>
      <c r="B649" t="s">
        <v>2507</v>
      </c>
      <c r="C649" t="s">
        <v>2508</v>
      </c>
      <c r="D649">
        <v>4</v>
      </c>
      <c r="E649" t="s">
        <v>747</v>
      </c>
      <c r="F649" t="s">
        <v>758</v>
      </c>
      <c r="G649" t="s">
        <v>2509</v>
      </c>
      <c r="H649" t="s">
        <v>760</v>
      </c>
      <c r="I649" t="s">
        <v>414</v>
      </c>
    </row>
    <row r="650" spans="1:9" x14ac:dyDescent="0.25">
      <c r="A650" t="s">
        <v>466</v>
      </c>
      <c r="B650" t="s">
        <v>2510</v>
      </c>
      <c r="C650" t="s">
        <v>2511</v>
      </c>
      <c r="D650">
        <v>5</v>
      </c>
      <c r="E650" t="s">
        <v>747</v>
      </c>
      <c r="F650" t="s">
        <v>763</v>
      </c>
      <c r="G650" t="s">
        <v>2512</v>
      </c>
      <c r="H650" t="s">
        <v>760</v>
      </c>
      <c r="I650" t="s">
        <v>414</v>
      </c>
    </row>
    <row r="651" spans="1:9" x14ac:dyDescent="0.25">
      <c r="A651" t="s">
        <v>466</v>
      </c>
      <c r="B651" t="s">
        <v>765</v>
      </c>
      <c r="C651" t="s">
        <v>2513</v>
      </c>
      <c r="E651" t="s">
        <v>767</v>
      </c>
      <c r="F651" t="s">
        <v>768</v>
      </c>
      <c r="G651" t="s">
        <v>2514</v>
      </c>
      <c r="H651" t="s">
        <v>750</v>
      </c>
      <c r="I651" t="s">
        <v>414</v>
      </c>
    </row>
    <row r="652" spans="1:9" x14ac:dyDescent="0.25">
      <c r="A652" t="s">
        <v>466</v>
      </c>
      <c r="B652" t="s">
        <v>770</v>
      </c>
      <c r="C652" t="s">
        <v>2515</v>
      </c>
      <c r="E652" t="s">
        <v>767</v>
      </c>
      <c r="F652" t="s">
        <v>772</v>
      </c>
      <c r="G652" t="s">
        <v>2516</v>
      </c>
      <c r="H652" t="s">
        <v>750</v>
      </c>
      <c r="I652" t="s">
        <v>414</v>
      </c>
    </row>
    <row r="653" spans="1:9" x14ac:dyDescent="0.25">
      <c r="A653" t="s">
        <v>470</v>
      </c>
      <c r="B653" t="s">
        <v>473</v>
      </c>
      <c r="C653" t="s">
        <v>2517</v>
      </c>
      <c r="D653">
        <v>1</v>
      </c>
      <c r="E653" t="s">
        <v>747</v>
      </c>
      <c r="F653" t="s">
        <v>2518</v>
      </c>
      <c r="G653" t="s">
        <v>2519</v>
      </c>
      <c r="H653" t="s">
        <v>750</v>
      </c>
      <c r="I653" t="s">
        <v>414</v>
      </c>
    </row>
    <row r="654" spans="1:9" x14ac:dyDescent="0.25">
      <c r="A654" t="s">
        <v>470</v>
      </c>
      <c r="B654" t="s">
        <v>2520</v>
      </c>
      <c r="C654" t="s">
        <v>2521</v>
      </c>
      <c r="D654">
        <v>2</v>
      </c>
      <c r="E654" t="s">
        <v>747</v>
      </c>
      <c r="F654" t="s">
        <v>2522</v>
      </c>
      <c r="G654" t="s">
        <v>2519</v>
      </c>
      <c r="H654" t="s">
        <v>750</v>
      </c>
      <c r="I654" t="s">
        <v>414</v>
      </c>
    </row>
    <row r="655" spans="1:9" x14ac:dyDescent="0.25">
      <c r="A655" t="s">
        <v>470</v>
      </c>
      <c r="B655" t="s">
        <v>2523</v>
      </c>
      <c r="C655" t="s">
        <v>2524</v>
      </c>
      <c r="D655">
        <v>3</v>
      </c>
      <c r="E655" t="s">
        <v>747</v>
      </c>
      <c r="F655" t="s">
        <v>755</v>
      </c>
      <c r="G655" t="s">
        <v>2525</v>
      </c>
      <c r="H655" t="s">
        <v>750</v>
      </c>
      <c r="I655" t="s">
        <v>414</v>
      </c>
    </row>
    <row r="656" spans="1:9" x14ac:dyDescent="0.25">
      <c r="A656" t="s">
        <v>470</v>
      </c>
      <c r="B656" t="s">
        <v>2526</v>
      </c>
      <c r="C656" t="s">
        <v>2527</v>
      </c>
      <c r="D656">
        <v>4</v>
      </c>
      <c r="E656" t="s">
        <v>747</v>
      </c>
      <c r="F656" t="s">
        <v>758</v>
      </c>
      <c r="G656" t="s">
        <v>2528</v>
      </c>
      <c r="H656" t="s">
        <v>760</v>
      </c>
      <c r="I656" t="s">
        <v>414</v>
      </c>
    </row>
    <row r="657" spans="1:9" x14ac:dyDescent="0.25">
      <c r="A657" t="s">
        <v>470</v>
      </c>
      <c r="B657" t="s">
        <v>2529</v>
      </c>
      <c r="C657" t="s">
        <v>2530</v>
      </c>
      <c r="D657">
        <v>5</v>
      </c>
      <c r="E657" t="s">
        <v>747</v>
      </c>
      <c r="F657" t="s">
        <v>763</v>
      </c>
      <c r="G657" t="s">
        <v>2531</v>
      </c>
      <c r="H657" t="s">
        <v>760</v>
      </c>
      <c r="I657" t="s">
        <v>414</v>
      </c>
    </row>
    <row r="658" spans="1:9" x14ac:dyDescent="0.25">
      <c r="A658" t="s">
        <v>470</v>
      </c>
      <c r="B658" t="s">
        <v>765</v>
      </c>
      <c r="C658" t="s">
        <v>2532</v>
      </c>
      <c r="E658" t="s">
        <v>767</v>
      </c>
      <c r="F658" t="s">
        <v>768</v>
      </c>
      <c r="G658" t="s">
        <v>2533</v>
      </c>
      <c r="H658" t="s">
        <v>750</v>
      </c>
      <c r="I658" t="s">
        <v>414</v>
      </c>
    </row>
    <row r="659" spans="1:9" x14ac:dyDescent="0.25">
      <c r="A659" t="s">
        <v>470</v>
      </c>
      <c r="B659" t="s">
        <v>770</v>
      </c>
      <c r="C659" t="s">
        <v>2534</v>
      </c>
      <c r="E659" t="s">
        <v>767</v>
      </c>
      <c r="F659" t="s">
        <v>772</v>
      </c>
      <c r="G659" t="s">
        <v>2535</v>
      </c>
      <c r="H659" t="s">
        <v>750</v>
      </c>
      <c r="I659" t="s">
        <v>414</v>
      </c>
    </row>
    <row r="660" spans="1:9" x14ac:dyDescent="0.25">
      <c r="A660" t="s">
        <v>475</v>
      </c>
      <c r="B660" t="s">
        <v>480</v>
      </c>
      <c r="C660" t="s">
        <v>2536</v>
      </c>
      <c r="D660">
        <v>1</v>
      </c>
      <c r="E660" t="s">
        <v>747</v>
      </c>
      <c r="F660" t="s">
        <v>2537</v>
      </c>
      <c r="G660" t="s">
        <v>2538</v>
      </c>
      <c r="H660" t="s">
        <v>750</v>
      </c>
      <c r="I660" t="s">
        <v>476</v>
      </c>
    </row>
    <row r="661" spans="1:9" x14ac:dyDescent="0.25">
      <c r="A661" t="s">
        <v>475</v>
      </c>
      <c r="B661" t="s">
        <v>2539</v>
      </c>
      <c r="C661" t="s">
        <v>2540</v>
      </c>
      <c r="D661">
        <v>2</v>
      </c>
      <c r="E661" t="s">
        <v>747</v>
      </c>
      <c r="F661" t="s">
        <v>2541</v>
      </c>
      <c r="G661" t="s">
        <v>2538</v>
      </c>
      <c r="H661" t="s">
        <v>750</v>
      </c>
      <c r="I661" t="s">
        <v>476</v>
      </c>
    </row>
    <row r="662" spans="1:9" x14ac:dyDescent="0.25">
      <c r="A662" t="s">
        <v>475</v>
      </c>
      <c r="B662" t="s">
        <v>2542</v>
      </c>
      <c r="C662" t="s">
        <v>2543</v>
      </c>
      <c r="D662">
        <v>3</v>
      </c>
      <c r="E662" t="s">
        <v>747</v>
      </c>
      <c r="F662" t="s">
        <v>755</v>
      </c>
      <c r="G662" t="s">
        <v>2544</v>
      </c>
      <c r="H662" t="s">
        <v>750</v>
      </c>
      <c r="I662" t="s">
        <v>476</v>
      </c>
    </row>
    <row r="663" spans="1:9" x14ac:dyDescent="0.25">
      <c r="A663" t="s">
        <v>475</v>
      </c>
      <c r="B663" t="s">
        <v>2545</v>
      </c>
      <c r="C663" t="s">
        <v>2546</v>
      </c>
      <c r="D663">
        <v>4</v>
      </c>
      <c r="E663" t="s">
        <v>747</v>
      </c>
      <c r="F663" t="s">
        <v>758</v>
      </c>
      <c r="G663" t="s">
        <v>2547</v>
      </c>
      <c r="H663" t="s">
        <v>760</v>
      </c>
      <c r="I663" t="s">
        <v>476</v>
      </c>
    </row>
    <row r="664" spans="1:9" x14ac:dyDescent="0.25">
      <c r="A664" t="s">
        <v>475</v>
      </c>
      <c r="B664" t="s">
        <v>2548</v>
      </c>
      <c r="C664" t="s">
        <v>2549</v>
      </c>
      <c r="D664">
        <v>5</v>
      </c>
      <c r="E664" t="s">
        <v>747</v>
      </c>
      <c r="F664" t="s">
        <v>763</v>
      </c>
      <c r="G664" t="s">
        <v>2550</v>
      </c>
      <c r="H664" t="s">
        <v>760</v>
      </c>
      <c r="I664" t="s">
        <v>476</v>
      </c>
    </row>
    <row r="665" spans="1:9" x14ac:dyDescent="0.25">
      <c r="A665" t="s">
        <v>475</v>
      </c>
      <c r="B665" t="s">
        <v>765</v>
      </c>
      <c r="C665" t="s">
        <v>2551</v>
      </c>
      <c r="E665" t="s">
        <v>767</v>
      </c>
      <c r="F665" t="s">
        <v>768</v>
      </c>
      <c r="G665" t="s">
        <v>2552</v>
      </c>
      <c r="H665" t="s">
        <v>750</v>
      </c>
      <c r="I665" t="s">
        <v>476</v>
      </c>
    </row>
    <row r="666" spans="1:9" x14ac:dyDescent="0.25">
      <c r="A666" t="s">
        <v>475</v>
      </c>
      <c r="B666" t="s">
        <v>770</v>
      </c>
      <c r="C666" t="s">
        <v>2553</v>
      </c>
      <c r="E666" t="s">
        <v>767</v>
      </c>
      <c r="F666" t="s">
        <v>772</v>
      </c>
      <c r="G666" t="s">
        <v>2554</v>
      </c>
      <c r="H666" t="s">
        <v>750</v>
      </c>
      <c r="I666" t="s">
        <v>476</v>
      </c>
    </row>
    <row r="667" spans="1:9" x14ac:dyDescent="0.25">
      <c r="A667" t="s">
        <v>481</v>
      </c>
      <c r="B667" t="s">
        <v>484</v>
      </c>
      <c r="C667" t="s">
        <v>2555</v>
      </c>
      <c r="D667">
        <v>1</v>
      </c>
      <c r="E667" t="s">
        <v>747</v>
      </c>
      <c r="F667" t="s">
        <v>2556</v>
      </c>
      <c r="G667" t="s">
        <v>2557</v>
      </c>
      <c r="H667" t="s">
        <v>750</v>
      </c>
      <c r="I667" t="s">
        <v>476</v>
      </c>
    </row>
    <row r="668" spans="1:9" x14ac:dyDescent="0.25">
      <c r="A668" t="s">
        <v>481</v>
      </c>
      <c r="B668" t="s">
        <v>2558</v>
      </c>
      <c r="C668" t="s">
        <v>2559</v>
      </c>
      <c r="D668">
        <v>2</v>
      </c>
      <c r="E668" t="s">
        <v>747</v>
      </c>
      <c r="F668" t="s">
        <v>2560</v>
      </c>
      <c r="G668" t="s">
        <v>2557</v>
      </c>
      <c r="H668" t="s">
        <v>750</v>
      </c>
      <c r="I668" t="s">
        <v>476</v>
      </c>
    </row>
    <row r="669" spans="1:9" x14ac:dyDescent="0.25">
      <c r="A669" t="s">
        <v>481</v>
      </c>
      <c r="B669" t="s">
        <v>2561</v>
      </c>
      <c r="C669" t="s">
        <v>2562</v>
      </c>
      <c r="D669">
        <v>3</v>
      </c>
      <c r="E669" t="s">
        <v>747</v>
      </c>
      <c r="F669" t="s">
        <v>755</v>
      </c>
      <c r="G669" t="s">
        <v>2563</v>
      </c>
      <c r="H669" t="s">
        <v>750</v>
      </c>
      <c r="I669" t="s">
        <v>476</v>
      </c>
    </row>
    <row r="670" spans="1:9" x14ac:dyDescent="0.25">
      <c r="A670" t="s">
        <v>481</v>
      </c>
      <c r="B670" t="s">
        <v>2564</v>
      </c>
      <c r="C670" t="s">
        <v>2565</v>
      </c>
      <c r="D670">
        <v>4</v>
      </c>
      <c r="E670" t="s">
        <v>747</v>
      </c>
      <c r="F670" t="s">
        <v>758</v>
      </c>
      <c r="G670" t="s">
        <v>2566</v>
      </c>
      <c r="H670" t="s">
        <v>760</v>
      </c>
      <c r="I670" t="s">
        <v>476</v>
      </c>
    </row>
    <row r="671" spans="1:9" x14ac:dyDescent="0.25">
      <c r="A671" t="s">
        <v>481</v>
      </c>
      <c r="B671" t="s">
        <v>2567</v>
      </c>
      <c r="C671" t="s">
        <v>2568</v>
      </c>
      <c r="D671">
        <v>5</v>
      </c>
      <c r="E671" t="s">
        <v>747</v>
      </c>
      <c r="F671" t="s">
        <v>763</v>
      </c>
      <c r="G671" t="s">
        <v>2569</v>
      </c>
      <c r="H671" t="s">
        <v>760</v>
      </c>
      <c r="I671" t="s">
        <v>476</v>
      </c>
    </row>
    <row r="672" spans="1:9" x14ac:dyDescent="0.25">
      <c r="A672" t="s">
        <v>481</v>
      </c>
      <c r="B672" t="s">
        <v>765</v>
      </c>
      <c r="C672" t="s">
        <v>2570</v>
      </c>
      <c r="E672" t="s">
        <v>767</v>
      </c>
      <c r="F672" t="s">
        <v>768</v>
      </c>
      <c r="G672" t="s">
        <v>2571</v>
      </c>
      <c r="H672" t="s">
        <v>750</v>
      </c>
      <c r="I672" t="s">
        <v>476</v>
      </c>
    </row>
    <row r="673" spans="1:9" x14ac:dyDescent="0.25">
      <c r="A673" t="s">
        <v>481</v>
      </c>
      <c r="B673" t="s">
        <v>770</v>
      </c>
      <c r="C673" t="s">
        <v>2572</v>
      </c>
      <c r="E673" t="s">
        <v>767</v>
      </c>
      <c r="F673" t="s">
        <v>772</v>
      </c>
      <c r="G673" t="s">
        <v>2573</v>
      </c>
      <c r="H673" t="s">
        <v>750</v>
      </c>
      <c r="I673" t="s">
        <v>476</v>
      </c>
    </row>
    <row r="674" spans="1:9" x14ac:dyDescent="0.25">
      <c r="A674" t="s">
        <v>485</v>
      </c>
      <c r="B674" t="s">
        <v>488</v>
      </c>
      <c r="C674" t="s">
        <v>2574</v>
      </c>
      <c r="D674">
        <v>1</v>
      </c>
      <c r="E674" t="s">
        <v>747</v>
      </c>
      <c r="F674" t="s">
        <v>2575</v>
      </c>
      <c r="G674" t="s">
        <v>2576</v>
      </c>
      <c r="H674" t="s">
        <v>750</v>
      </c>
      <c r="I674" t="s">
        <v>476</v>
      </c>
    </row>
    <row r="675" spans="1:9" x14ac:dyDescent="0.25">
      <c r="A675" t="s">
        <v>485</v>
      </c>
      <c r="B675" t="s">
        <v>2577</v>
      </c>
      <c r="C675" t="s">
        <v>2578</v>
      </c>
      <c r="D675">
        <v>2</v>
      </c>
      <c r="E675" t="s">
        <v>747</v>
      </c>
      <c r="F675" t="s">
        <v>2579</v>
      </c>
      <c r="G675" t="s">
        <v>2576</v>
      </c>
      <c r="H675" t="s">
        <v>750</v>
      </c>
      <c r="I675" t="s">
        <v>476</v>
      </c>
    </row>
    <row r="676" spans="1:9" x14ac:dyDescent="0.25">
      <c r="A676" t="s">
        <v>485</v>
      </c>
      <c r="B676" t="s">
        <v>2580</v>
      </c>
      <c r="C676" t="s">
        <v>2581</v>
      </c>
      <c r="D676">
        <v>3</v>
      </c>
      <c r="E676" t="s">
        <v>747</v>
      </c>
      <c r="F676" t="s">
        <v>755</v>
      </c>
      <c r="G676" t="s">
        <v>2582</v>
      </c>
      <c r="H676" t="s">
        <v>750</v>
      </c>
      <c r="I676" t="s">
        <v>476</v>
      </c>
    </row>
    <row r="677" spans="1:9" x14ac:dyDescent="0.25">
      <c r="A677" t="s">
        <v>485</v>
      </c>
      <c r="B677" t="s">
        <v>2583</v>
      </c>
      <c r="C677" t="s">
        <v>2584</v>
      </c>
      <c r="D677">
        <v>4</v>
      </c>
      <c r="E677" t="s">
        <v>747</v>
      </c>
      <c r="F677" t="s">
        <v>758</v>
      </c>
      <c r="G677" t="s">
        <v>2585</v>
      </c>
      <c r="H677" t="s">
        <v>760</v>
      </c>
      <c r="I677" t="s">
        <v>476</v>
      </c>
    </row>
    <row r="678" spans="1:9" x14ac:dyDescent="0.25">
      <c r="A678" t="s">
        <v>485</v>
      </c>
      <c r="B678" t="s">
        <v>2586</v>
      </c>
      <c r="C678" t="s">
        <v>2587</v>
      </c>
      <c r="D678">
        <v>5</v>
      </c>
      <c r="E678" t="s">
        <v>747</v>
      </c>
      <c r="F678" t="s">
        <v>763</v>
      </c>
      <c r="G678" t="s">
        <v>2588</v>
      </c>
      <c r="H678" t="s">
        <v>760</v>
      </c>
      <c r="I678" t="s">
        <v>476</v>
      </c>
    </row>
    <row r="679" spans="1:9" x14ac:dyDescent="0.25">
      <c r="A679" t="s">
        <v>485</v>
      </c>
      <c r="B679" t="s">
        <v>765</v>
      </c>
      <c r="C679" t="s">
        <v>2589</v>
      </c>
      <c r="E679" t="s">
        <v>767</v>
      </c>
      <c r="F679" t="s">
        <v>768</v>
      </c>
      <c r="G679" t="s">
        <v>2590</v>
      </c>
      <c r="H679" t="s">
        <v>750</v>
      </c>
      <c r="I679" t="s">
        <v>476</v>
      </c>
    </row>
    <row r="680" spans="1:9" x14ac:dyDescent="0.25">
      <c r="A680" t="s">
        <v>485</v>
      </c>
      <c r="B680" t="s">
        <v>770</v>
      </c>
      <c r="C680" t="s">
        <v>2591</v>
      </c>
      <c r="E680" t="s">
        <v>767</v>
      </c>
      <c r="F680" t="s">
        <v>772</v>
      </c>
      <c r="G680" t="s">
        <v>2592</v>
      </c>
      <c r="H680" t="s">
        <v>750</v>
      </c>
      <c r="I680" t="s">
        <v>476</v>
      </c>
    </row>
    <row r="681" spans="1:9" x14ac:dyDescent="0.25">
      <c r="A681" t="s">
        <v>489</v>
      </c>
      <c r="B681" t="s">
        <v>492</v>
      </c>
      <c r="C681" t="s">
        <v>2593</v>
      </c>
      <c r="D681">
        <v>1</v>
      </c>
      <c r="E681" t="s">
        <v>747</v>
      </c>
      <c r="F681" t="s">
        <v>2594</v>
      </c>
      <c r="G681" t="s">
        <v>2595</v>
      </c>
      <c r="H681" t="s">
        <v>750</v>
      </c>
      <c r="I681" t="s">
        <v>476</v>
      </c>
    </row>
    <row r="682" spans="1:9" x14ac:dyDescent="0.25">
      <c r="A682" t="s">
        <v>489</v>
      </c>
      <c r="B682" t="s">
        <v>2596</v>
      </c>
      <c r="C682" t="s">
        <v>2597</v>
      </c>
      <c r="D682">
        <v>2</v>
      </c>
      <c r="E682" t="s">
        <v>747</v>
      </c>
      <c r="F682" t="s">
        <v>2598</v>
      </c>
      <c r="G682" t="s">
        <v>2595</v>
      </c>
      <c r="H682" t="s">
        <v>750</v>
      </c>
      <c r="I682" t="s">
        <v>476</v>
      </c>
    </row>
    <row r="683" spans="1:9" x14ac:dyDescent="0.25">
      <c r="A683" t="s">
        <v>489</v>
      </c>
      <c r="B683" t="s">
        <v>2599</v>
      </c>
      <c r="C683" t="s">
        <v>2600</v>
      </c>
      <c r="D683">
        <v>3</v>
      </c>
      <c r="E683" t="s">
        <v>747</v>
      </c>
      <c r="F683" t="s">
        <v>755</v>
      </c>
      <c r="G683" t="s">
        <v>2601</v>
      </c>
      <c r="H683" t="s">
        <v>750</v>
      </c>
      <c r="I683" t="s">
        <v>476</v>
      </c>
    </row>
    <row r="684" spans="1:9" x14ac:dyDescent="0.25">
      <c r="A684" t="s">
        <v>489</v>
      </c>
      <c r="B684" t="s">
        <v>2602</v>
      </c>
      <c r="C684" t="s">
        <v>2603</v>
      </c>
      <c r="D684">
        <v>4</v>
      </c>
      <c r="E684" t="s">
        <v>747</v>
      </c>
      <c r="F684" t="s">
        <v>758</v>
      </c>
      <c r="G684" t="s">
        <v>2604</v>
      </c>
      <c r="H684" t="s">
        <v>760</v>
      </c>
      <c r="I684" t="s">
        <v>476</v>
      </c>
    </row>
    <row r="685" spans="1:9" x14ac:dyDescent="0.25">
      <c r="A685" t="s">
        <v>489</v>
      </c>
      <c r="B685" t="s">
        <v>2605</v>
      </c>
      <c r="C685" t="s">
        <v>2606</v>
      </c>
      <c r="D685">
        <v>5</v>
      </c>
      <c r="E685" t="s">
        <v>747</v>
      </c>
      <c r="F685" t="s">
        <v>763</v>
      </c>
      <c r="G685" t="s">
        <v>2607</v>
      </c>
      <c r="H685" t="s">
        <v>760</v>
      </c>
      <c r="I685" t="s">
        <v>476</v>
      </c>
    </row>
    <row r="686" spans="1:9" x14ac:dyDescent="0.25">
      <c r="A686" t="s">
        <v>489</v>
      </c>
      <c r="B686" t="s">
        <v>765</v>
      </c>
      <c r="C686" t="s">
        <v>2608</v>
      </c>
      <c r="E686" t="s">
        <v>767</v>
      </c>
      <c r="F686" t="s">
        <v>768</v>
      </c>
      <c r="G686" t="s">
        <v>2609</v>
      </c>
      <c r="H686" t="s">
        <v>750</v>
      </c>
      <c r="I686" t="s">
        <v>476</v>
      </c>
    </row>
    <row r="687" spans="1:9" x14ac:dyDescent="0.25">
      <c r="A687" t="s">
        <v>489</v>
      </c>
      <c r="B687" t="s">
        <v>770</v>
      </c>
      <c r="C687" t="s">
        <v>2610</v>
      </c>
      <c r="E687" t="s">
        <v>767</v>
      </c>
      <c r="F687" t="s">
        <v>772</v>
      </c>
      <c r="G687" t="s">
        <v>2611</v>
      </c>
      <c r="H687" t="s">
        <v>750</v>
      </c>
      <c r="I687" t="s">
        <v>476</v>
      </c>
    </row>
    <row r="688" spans="1:9" x14ac:dyDescent="0.25">
      <c r="A688" t="s">
        <v>493</v>
      </c>
      <c r="B688" t="s">
        <v>496</v>
      </c>
      <c r="C688" t="s">
        <v>2612</v>
      </c>
      <c r="D688">
        <v>1</v>
      </c>
      <c r="E688" t="s">
        <v>747</v>
      </c>
      <c r="F688" t="s">
        <v>2613</v>
      </c>
      <c r="G688" t="s">
        <v>2614</v>
      </c>
      <c r="H688" t="s">
        <v>750</v>
      </c>
      <c r="I688" t="s">
        <v>476</v>
      </c>
    </row>
    <row r="689" spans="1:9" x14ac:dyDescent="0.25">
      <c r="A689" t="s">
        <v>493</v>
      </c>
      <c r="B689" t="s">
        <v>2615</v>
      </c>
      <c r="C689" t="s">
        <v>2616</v>
      </c>
      <c r="D689">
        <v>2</v>
      </c>
      <c r="E689" t="s">
        <v>747</v>
      </c>
      <c r="F689" t="s">
        <v>2617</v>
      </c>
      <c r="G689" t="s">
        <v>2614</v>
      </c>
      <c r="H689" t="s">
        <v>750</v>
      </c>
      <c r="I689" t="s">
        <v>476</v>
      </c>
    </row>
    <row r="690" spans="1:9" x14ac:dyDescent="0.25">
      <c r="A690" t="s">
        <v>493</v>
      </c>
      <c r="B690" t="s">
        <v>2618</v>
      </c>
      <c r="C690" t="s">
        <v>2619</v>
      </c>
      <c r="D690">
        <v>3</v>
      </c>
      <c r="E690" t="s">
        <v>747</v>
      </c>
      <c r="F690" t="s">
        <v>755</v>
      </c>
      <c r="G690" t="s">
        <v>2620</v>
      </c>
      <c r="H690" t="s">
        <v>750</v>
      </c>
      <c r="I690" t="s">
        <v>476</v>
      </c>
    </row>
    <row r="691" spans="1:9" x14ac:dyDescent="0.25">
      <c r="A691" t="s">
        <v>493</v>
      </c>
      <c r="B691" t="s">
        <v>2621</v>
      </c>
      <c r="C691" t="s">
        <v>2622</v>
      </c>
      <c r="D691">
        <v>4</v>
      </c>
      <c r="E691" t="s">
        <v>747</v>
      </c>
      <c r="F691" t="s">
        <v>758</v>
      </c>
      <c r="G691" t="s">
        <v>2623</v>
      </c>
      <c r="H691" t="s">
        <v>760</v>
      </c>
      <c r="I691" t="s">
        <v>476</v>
      </c>
    </row>
    <row r="692" spans="1:9" x14ac:dyDescent="0.25">
      <c r="A692" t="s">
        <v>493</v>
      </c>
      <c r="B692" t="s">
        <v>2624</v>
      </c>
      <c r="C692" t="s">
        <v>2625</v>
      </c>
      <c r="D692">
        <v>5</v>
      </c>
      <c r="E692" t="s">
        <v>747</v>
      </c>
      <c r="F692" t="s">
        <v>763</v>
      </c>
      <c r="G692" t="s">
        <v>2626</v>
      </c>
      <c r="H692" t="s">
        <v>760</v>
      </c>
      <c r="I692" t="s">
        <v>476</v>
      </c>
    </row>
    <row r="693" spans="1:9" x14ac:dyDescent="0.25">
      <c r="A693" t="s">
        <v>493</v>
      </c>
      <c r="B693" t="s">
        <v>765</v>
      </c>
      <c r="C693" t="s">
        <v>2627</v>
      </c>
      <c r="E693" t="s">
        <v>767</v>
      </c>
      <c r="F693" t="s">
        <v>768</v>
      </c>
      <c r="G693" t="s">
        <v>2628</v>
      </c>
      <c r="H693" t="s">
        <v>750</v>
      </c>
      <c r="I693" t="s">
        <v>476</v>
      </c>
    </row>
    <row r="694" spans="1:9" x14ac:dyDescent="0.25">
      <c r="A694" t="s">
        <v>493</v>
      </c>
      <c r="B694" t="s">
        <v>770</v>
      </c>
      <c r="C694" t="s">
        <v>2629</v>
      </c>
      <c r="E694" t="s">
        <v>767</v>
      </c>
      <c r="F694" t="s">
        <v>772</v>
      </c>
      <c r="G694" t="s">
        <v>2630</v>
      </c>
      <c r="H694" t="s">
        <v>750</v>
      </c>
      <c r="I694" t="s">
        <v>476</v>
      </c>
    </row>
    <row r="695" spans="1:9" x14ac:dyDescent="0.25">
      <c r="A695" t="s">
        <v>497</v>
      </c>
      <c r="B695" t="s">
        <v>501</v>
      </c>
      <c r="C695" t="s">
        <v>2631</v>
      </c>
      <c r="D695">
        <v>1</v>
      </c>
      <c r="E695" t="s">
        <v>747</v>
      </c>
      <c r="F695" t="s">
        <v>2632</v>
      </c>
      <c r="G695" t="s">
        <v>2633</v>
      </c>
      <c r="H695" t="s">
        <v>750</v>
      </c>
      <c r="I695" t="s">
        <v>476</v>
      </c>
    </row>
    <row r="696" spans="1:9" x14ac:dyDescent="0.25">
      <c r="A696" t="s">
        <v>497</v>
      </c>
      <c r="B696" t="s">
        <v>2634</v>
      </c>
      <c r="C696" t="s">
        <v>2635</v>
      </c>
      <c r="D696">
        <v>2</v>
      </c>
      <c r="E696" t="s">
        <v>747</v>
      </c>
      <c r="F696" t="s">
        <v>2636</v>
      </c>
      <c r="G696" t="s">
        <v>2633</v>
      </c>
      <c r="H696" t="s">
        <v>750</v>
      </c>
      <c r="I696" t="s">
        <v>476</v>
      </c>
    </row>
    <row r="697" spans="1:9" x14ac:dyDescent="0.25">
      <c r="A697" t="s">
        <v>497</v>
      </c>
      <c r="B697" t="s">
        <v>2637</v>
      </c>
      <c r="C697" t="s">
        <v>2638</v>
      </c>
      <c r="D697">
        <v>3</v>
      </c>
      <c r="E697" t="s">
        <v>747</v>
      </c>
      <c r="F697" t="s">
        <v>755</v>
      </c>
      <c r="G697" t="s">
        <v>2639</v>
      </c>
      <c r="H697" t="s">
        <v>750</v>
      </c>
      <c r="I697" t="s">
        <v>476</v>
      </c>
    </row>
    <row r="698" spans="1:9" x14ac:dyDescent="0.25">
      <c r="A698" t="s">
        <v>497</v>
      </c>
      <c r="B698" t="s">
        <v>2640</v>
      </c>
      <c r="C698" t="s">
        <v>2641</v>
      </c>
      <c r="D698">
        <v>4</v>
      </c>
      <c r="E698" t="s">
        <v>747</v>
      </c>
      <c r="F698" t="s">
        <v>758</v>
      </c>
      <c r="G698" t="s">
        <v>2642</v>
      </c>
      <c r="H698" t="s">
        <v>760</v>
      </c>
      <c r="I698" t="s">
        <v>476</v>
      </c>
    </row>
    <row r="699" spans="1:9" x14ac:dyDescent="0.25">
      <c r="A699" t="s">
        <v>497</v>
      </c>
      <c r="B699" t="s">
        <v>2643</v>
      </c>
      <c r="C699" t="s">
        <v>2644</v>
      </c>
      <c r="D699">
        <v>5</v>
      </c>
      <c r="E699" t="s">
        <v>747</v>
      </c>
      <c r="F699" t="s">
        <v>763</v>
      </c>
      <c r="G699" t="s">
        <v>2645</v>
      </c>
      <c r="H699" t="s">
        <v>760</v>
      </c>
      <c r="I699" t="s">
        <v>476</v>
      </c>
    </row>
    <row r="700" spans="1:9" x14ac:dyDescent="0.25">
      <c r="A700" t="s">
        <v>497</v>
      </c>
      <c r="B700" t="s">
        <v>765</v>
      </c>
      <c r="C700" t="s">
        <v>2646</v>
      </c>
      <c r="E700" t="s">
        <v>767</v>
      </c>
      <c r="F700" t="s">
        <v>768</v>
      </c>
      <c r="G700" t="s">
        <v>2647</v>
      </c>
      <c r="H700" t="s">
        <v>750</v>
      </c>
      <c r="I700" t="s">
        <v>476</v>
      </c>
    </row>
    <row r="701" spans="1:9" x14ac:dyDescent="0.25">
      <c r="A701" t="s">
        <v>497</v>
      </c>
      <c r="B701" t="s">
        <v>770</v>
      </c>
      <c r="C701" t="s">
        <v>2648</v>
      </c>
      <c r="E701" t="s">
        <v>767</v>
      </c>
      <c r="F701" t="s">
        <v>772</v>
      </c>
      <c r="G701" t="s">
        <v>2649</v>
      </c>
      <c r="H701" t="s">
        <v>750</v>
      </c>
      <c r="I701" t="s">
        <v>476</v>
      </c>
    </row>
    <row r="702" spans="1:9" x14ac:dyDescent="0.25">
      <c r="A702" t="s">
        <v>503</v>
      </c>
      <c r="B702" t="s">
        <v>506</v>
      </c>
      <c r="C702" t="s">
        <v>2650</v>
      </c>
      <c r="D702">
        <v>1</v>
      </c>
      <c r="E702" t="s">
        <v>747</v>
      </c>
      <c r="F702" t="s">
        <v>2651</v>
      </c>
      <c r="G702" t="s">
        <v>2652</v>
      </c>
      <c r="H702" t="s">
        <v>750</v>
      </c>
      <c r="I702" t="s">
        <v>476</v>
      </c>
    </row>
    <row r="703" spans="1:9" x14ac:dyDescent="0.25">
      <c r="A703" t="s">
        <v>503</v>
      </c>
      <c r="B703" t="s">
        <v>2653</v>
      </c>
      <c r="C703" t="s">
        <v>2654</v>
      </c>
      <c r="D703">
        <v>2</v>
      </c>
      <c r="E703" t="s">
        <v>747</v>
      </c>
      <c r="F703" t="s">
        <v>2655</v>
      </c>
      <c r="G703" t="s">
        <v>2652</v>
      </c>
      <c r="H703" t="s">
        <v>750</v>
      </c>
      <c r="I703" t="s">
        <v>476</v>
      </c>
    </row>
    <row r="704" spans="1:9" x14ac:dyDescent="0.25">
      <c r="A704" t="s">
        <v>503</v>
      </c>
      <c r="B704" t="s">
        <v>2656</v>
      </c>
      <c r="C704" t="s">
        <v>2657</v>
      </c>
      <c r="D704">
        <v>3</v>
      </c>
      <c r="E704" t="s">
        <v>747</v>
      </c>
      <c r="F704" t="s">
        <v>755</v>
      </c>
      <c r="G704" t="s">
        <v>2658</v>
      </c>
      <c r="H704" t="s">
        <v>750</v>
      </c>
      <c r="I704" t="s">
        <v>476</v>
      </c>
    </row>
    <row r="705" spans="1:9" x14ac:dyDescent="0.25">
      <c r="A705" t="s">
        <v>503</v>
      </c>
      <c r="B705" t="s">
        <v>2659</v>
      </c>
      <c r="C705" t="s">
        <v>2660</v>
      </c>
      <c r="D705">
        <v>4</v>
      </c>
      <c r="E705" t="s">
        <v>747</v>
      </c>
      <c r="F705" t="s">
        <v>758</v>
      </c>
      <c r="G705" t="s">
        <v>2661</v>
      </c>
      <c r="H705" t="s">
        <v>760</v>
      </c>
      <c r="I705" t="s">
        <v>476</v>
      </c>
    </row>
    <row r="706" spans="1:9" x14ac:dyDescent="0.25">
      <c r="A706" t="s">
        <v>503</v>
      </c>
      <c r="B706" t="s">
        <v>2662</v>
      </c>
      <c r="C706" t="s">
        <v>2663</v>
      </c>
      <c r="D706">
        <v>5</v>
      </c>
      <c r="E706" t="s">
        <v>747</v>
      </c>
      <c r="F706" t="s">
        <v>763</v>
      </c>
      <c r="G706" t="s">
        <v>2664</v>
      </c>
      <c r="H706" t="s">
        <v>760</v>
      </c>
      <c r="I706" t="s">
        <v>476</v>
      </c>
    </row>
    <row r="707" spans="1:9" x14ac:dyDescent="0.25">
      <c r="A707" t="s">
        <v>503</v>
      </c>
      <c r="B707" t="s">
        <v>765</v>
      </c>
      <c r="C707" t="s">
        <v>2665</v>
      </c>
      <c r="E707" t="s">
        <v>767</v>
      </c>
      <c r="F707" t="s">
        <v>768</v>
      </c>
      <c r="G707" t="s">
        <v>2666</v>
      </c>
      <c r="H707" t="s">
        <v>750</v>
      </c>
      <c r="I707" t="s">
        <v>476</v>
      </c>
    </row>
    <row r="708" spans="1:9" x14ac:dyDescent="0.25">
      <c r="A708" t="s">
        <v>503</v>
      </c>
      <c r="B708" t="s">
        <v>770</v>
      </c>
      <c r="C708" t="s">
        <v>2667</v>
      </c>
      <c r="E708" t="s">
        <v>767</v>
      </c>
      <c r="F708" t="s">
        <v>772</v>
      </c>
      <c r="G708" t="s">
        <v>2668</v>
      </c>
      <c r="H708" t="s">
        <v>750</v>
      </c>
      <c r="I708" t="s">
        <v>476</v>
      </c>
    </row>
    <row r="709" spans="1:9" x14ac:dyDescent="0.25">
      <c r="A709" t="s">
        <v>507</v>
      </c>
      <c r="B709" t="s">
        <v>510</v>
      </c>
      <c r="C709" t="s">
        <v>2669</v>
      </c>
      <c r="D709">
        <v>1</v>
      </c>
      <c r="E709" t="s">
        <v>747</v>
      </c>
      <c r="F709" t="s">
        <v>2670</v>
      </c>
      <c r="G709" t="s">
        <v>2671</v>
      </c>
      <c r="H709" t="s">
        <v>750</v>
      </c>
      <c r="I709" t="s">
        <v>476</v>
      </c>
    </row>
    <row r="710" spans="1:9" x14ac:dyDescent="0.25">
      <c r="A710" t="s">
        <v>507</v>
      </c>
      <c r="B710" t="s">
        <v>2672</v>
      </c>
      <c r="C710" t="s">
        <v>2673</v>
      </c>
      <c r="D710">
        <v>2</v>
      </c>
      <c r="E710" t="s">
        <v>747</v>
      </c>
      <c r="F710" t="s">
        <v>2674</v>
      </c>
      <c r="G710" t="s">
        <v>2671</v>
      </c>
      <c r="H710" t="s">
        <v>750</v>
      </c>
      <c r="I710" t="s">
        <v>476</v>
      </c>
    </row>
    <row r="711" spans="1:9" x14ac:dyDescent="0.25">
      <c r="A711" t="s">
        <v>507</v>
      </c>
      <c r="B711" t="s">
        <v>2675</v>
      </c>
      <c r="C711" t="s">
        <v>2676</v>
      </c>
      <c r="D711">
        <v>3</v>
      </c>
      <c r="E711" t="s">
        <v>747</v>
      </c>
      <c r="F711" t="s">
        <v>755</v>
      </c>
      <c r="G711" t="s">
        <v>2677</v>
      </c>
      <c r="H711" t="s">
        <v>750</v>
      </c>
      <c r="I711" t="s">
        <v>476</v>
      </c>
    </row>
    <row r="712" spans="1:9" x14ac:dyDescent="0.25">
      <c r="A712" t="s">
        <v>507</v>
      </c>
      <c r="B712" t="s">
        <v>2678</v>
      </c>
      <c r="C712" t="s">
        <v>2679</v>
      </c>
      <c r="D712">
        <v>4</v>
      </c>
      <c r="E712" t="s">
        <v>747</v>
      </c>
      <c r="F712" t="s">
        <v>758</v>
      </c>
      <c r="G712" t="s">
        <v>2680</v>
      </c>
      <c r="H712" t="s">
        <v>760</v>
      </c>
      <c r="I712" t="s">
        <v>476</v>
      </c>
    </row>
    <row r="713" spans="1:9" x14ac:dyDescent="0.25">
      <c r="A713" t="s">
        <v>507</v>
      </c>
      <c r="B713" t="s">
        <v>2681</v>
      </c>
      <c r="C713" t="s">
        <v>2682</v>
      </c>
      <c r="D713">
        <v>5</v>
      </c>
      <c r="E713" t="s">
        <v>747</v>
      </c>
      <c r="F713" t="s">
        <v>763</v>
      </c>
      <c r="G713" t="s">
        <v>2683</v>
      </c>
      <c r="H713" t="s">
        <v>760</v>
      </c>
      <c r="I713" t="s">
        <v>476</v>
      </c>
    </row>
    <row r="714" spans="1:9" x14ac:dyDescent="0.25">
      <c r="A714" t="s">
        <v>507</v>
      </c>
      <c r="B714" t="s">
        <v>765</v>
      </c>
      <c r="C714" t="s">
        <v>2684</v>
      </c>
      <c r="E714" t="s">
        <v>767</v>
      </c>
      <c r="F714" t="s">
        <v>768</v>
      </c>
      <c r="G714" t="s">
        <v>2685</v>
      </c>
      <c r="H714" t="s">
        <v>750</v>
      </c>
      <c r="I714" t="s">
        <v>476</v>
      </c>
    </row>
    <row r="715" spans="1:9" x14ac:dyDescent="0.25">
      <c r="A715" t="s">
        <v>507</v>
      </c>
      <c r="B715" t="s">
        <v>770</v>
      </c>
      <c r="C715" t="s">
        <v>2686</v>
      </c>
      <c r="E715" t="s">
        <v>767</v>
      </c>
      <c r="F715" t="s">
        <v>772</v>
      </c>
      <c r="G715" t="s">
        <v>2687</v>
      </c>
      <c r="H715" t="s">
        <v>750</v>
      </c>
      <c r="I715" t="s">
        <v>476</v>
      </c>
    </row>
    <row r="716" spans="1:9" x14ac:dyDescent="0.25">
      <c r="A716" t="s">
        <v>511</v>
      </c>
      <c r="B716" t="s">
        <v>514</v>
      </c>
      <c r="C716" t="s">
        <v>2688</v>
      </c>
      <c r="D716">
        <v>1</v>
      </c>
      <c r="E716" t="s">
        <v>747</v>
      </c>
      <c r="F716" t="s">
        <v>1609</v>
      </c>
      <c r="G716" t="s">
        <v>2689</v>
      </c>
      <c r="H716" t="s">
        <v>750</v>
      </c>
      <c r="I716" t="s">
        <v>476</v>
      </c>
    </row>
    <row r="717" spans="1:9" x14ac:dyDescent="0.25">
      <c r="A717" t="s">
        <v>511</v>
      </c>
      <c r="B717" t="s">
        <v>2690</v>
      </c>
      <c r="C717" t="s">
        <v>2691</v>
      </c>
      <c r="D717">
        <v>2</v>
      </c>
      <c r="E717" t="s">
        <v>747</v>
      </c>
      <c r="F717" t="s">
        <v>1613</v>
      </c>
      <c r="G717" t="s">
        <v>2689</v>
      </c>
      <c r="H717" t="s">
        <v>750</v>
      </c>
      <c r="I717" t="s">
        <v>476</v>
      </c>
    </row>
    <row r="718" spans="1:9" x14ac:dyDescent="0.25">
      <c r="A718" t="s">
        <v>511</v>
      </c>
      <c r="B718" t="s">
        <v>2692</v>
      </c>
      <c r="C718" t="s">
        <v>2693</v>
      </c>
      <c r="D718">
        <v>3</v>
      </c>
      <c r="E718" t="s">
        <v>747</v>
      </c>
      <c r="F718" t="s">
        <v>755</v>
      </c>
      <c r="G718" t="s">
        <v>2694</v>
      </c>
      <c r="H718" t="s">
        <v>750</v>
      </c>
      <c r="I718" t="s">
        <v>476</v>
      </c>
    </row>
    <row r="719" spans="1:9" x14ac:dyDescent="0.25">
      <c r="A719" t="s">
        <v>511</v>
      </c>
      <c r="B719" t="s">
        <v>2695</v>
      </c>
      <c r="C719" t="s">
        <v>2696</v>
      </c>
      <c r="D719">
        <v>4</v>
      </c>
      <c r="E719" t="s">
        <v>747</v>
      </c>
      <c r="F719" t="s">
        <v>758</v>
      </c>
      <c r="G719" t="s">
        <v>2697</v>
      </c>
      <c r="H719" t="s">
        <v>760</v>
      </c>
      <c r="I719" t="s">
        <v>476</v>
      </c>
    </row>
    <row r="720" spans="1:9" x14ac:dyDescent="0.25">
      <c r="A720" t="s">
        <v>511</v>
      </c>
      <c r="B720" t="s">
        <v>2698</v>
      </c>
      <c r="C720" t="s">
        <v>2699</v>
      </c>
      <c r="D720">
        <v>5</v>
      </c>
      <c r="E720" t="s">
        <v>747</v>
      </c>
      <c r="F720" t="s">
        <v>763</v>
      </c>
      <c r="G720" t="s">
        <v>2700</v>
      </c>
      <c r="H720" t="s">
        <v>760</v>
      </c>
      <c r="I720" t="s">
        <v>476</v>
      </c>
    </row>
    <row r="721" spans="1:9" x14ac:dyDescent="0.25">
      <c r="A721" t="s">
        <v>511</v>
      </c>
      <c r="B721" t="s">
        <v>765</v>
      </c>
      <c r="C721" t="s">
        <v>2701</v>
      </c>
      <c r="E721" t="s">
        <v>767</v>
      </c>
      <c r="F721" t="s">
        <v>768</v>
      </c>
      <c r="G721" t="s">
        <v>2702</v>
      </c>
      <c r="H721" t="s">
        <v>750</v>
      </c>
      <c r="I721" t="s">
        <v>476</v>
      </c>
    </row>
    <row r="722" spans="1:9" x14ac:dyDescent="0.25">
      <c r="A722" t="s">
        <v>511</v>
      </c>
      <c r="B722" t="s">
        <v>770</v>
      </c>
      <c r="C722" t="s">
        <v>2703</v>
      </c>
      <c r="E722" t="s">
        <v>767</v>
      </c>
      <c r="F722" t="s">
        <v>772</v>
      </c>
      <c r="G722" t="s">
        <v>2704</v>
      </c>
      <c r="H722" t="s">
        <v>750</v>
      </c>
      <c r="I722" t="s">
        <v>476</v>
      </c>
    </row>
    <row r="723" spans="1:9" x14ac:dyDescent="0.25">
      <c r="A723" t="s">
        <v>515</v>
      </c>
      <c r="B723" t="s">
        <v>518</v>
      </c>
      <c r="C723" t="s">
        <v>2705</v>
      </c>
      <c r="D723">
        <v>1</v>
      </c>
      <c r="E723" t="s">
        <v>747</v>
      </c>
      <c r="F723" t="s">
        <v>2706</v>
      </c>
      <c r="G723" t="s">
        <v>2707</v>
      </c>
      <c r="H723" t="s">
        <v>750</v>
      </c>
      <c r="I723" t="s">
        <v>476</v>
      </c>
    </row>
    <row r="724" spans="1:9" x14ac:dyDescent="0.25">
      <c r="A724" t="s">
        <v>515</v>
      </c>
      <c r="B724" t="s">
        <v>2708</v>
      </c>
      <c r="C724" t="s">
        <v>2709</v>
      </c>
      <c r="D724">
        <v>2</v>
      </c>
      <c r="E724" t="s">
        <v>747</v>
      </c>
      <c r="F724" t="s">
        <v>2710</v>
      </c>
      <c r="G724" t="s">
        <v>2707</v>
      </c>
      <c r="H724" t="s">
        <v>750</v>
      </c>
      <c r="I724" t="s">
        <v>476</v>
      </c>
    </row>
    <row r="725" spans="1:9" x14ac:dyDescent="0.25">
      <c r="A725" t="s">
        <v>515</v>
      </c>
      <c r="B725" t="s">
        <v>2711</v>
      </c>
      <c r="C725" t="s">
        <v>2712</v>
      </c>
      <c r="D725">
        <v>3</v>
      </c>
      <c r="E725" t="s">
        <v>747</v>
      </c>
      <c r="F725" t="s">
        <v>755</v>
      </c>
      <c r="G725" t="s">
        <v>2713</v>
      </c>
      <c r="H725" t="s">
        <v>750</v>
      </c>
      <c r="I725" t="s">
        <v>476</v>
      </c>
    </row>
    <row r="726" spans="1:9" x14ac:dyDescent="0.25">
      <c r="A726" t="s">
        <v>515</v>
      </c>
      <c r="B726" t="s">
        <v>2714</v>
      </c>
      <c r="C726" t="s">
        <v>2715</v>
      </c>
      <c r="D726">
        <v>4</v>
      </c>
      <c r="E726" t="s">
        <v>747</v>
      </c>
      <c r="F726" t="s">
        <v>758</v>
      </c>
      <c r="G726" t="s">
        <v>2716</v>
      </c>
      <c r="H726" t="s">
        <v>760</v>
      </c>
      <c r="I726" t="s">
        <v>476</v>
      </c>
    </row>
    <row r="727" spans="1:9" x14ac:dyDescent="0.25">
      <c r="A727" t="s">
        <v>515</v>
      </c>
      <c r="B727" t="s">
        <v>2717</v>
      </c>
      <c r="C727" t="s">
        <v>2718</v>
      </c>
      <c r="D727">
        <v>5</v>
      </c>
      <c r="E727" t="s">
        <v>747</v>
      </c>
      <c r="F727" t="s">
        <v>763</v>
      </c>
      <c r="G727" t="s">
        <v>2719</v>
      </c>
      <c r="H727" t="s">
        <v>760</v>
      </c>
      <c r="I727" t="s">
        <v>476</v>
      </c>
    </row>
    <row r="728" spans="1:9" x14ac:dyDescent="0.25">
      <c r="A728" t="s">
        <v>515</v>
      </c>
      <c r="B728" t="s">
        <v>765</v>
      </c>
      <c r="C728" t="s">
        <v>2720</v>
      </c>
      <c r="E728" t="s">
        <v>767</v>
      </c>
      <c r="F728" t="s">
        <v>768</v>
      </c>
      <c r="G728" t="s">
        <v>2721</v>
      </c>
      <c r="H728" t="s">
        <v>750</v>
      </c>
      <c r="I728" t="s">
        <v>476</v>
      </c>
    </row>
    <row r="729" spans="1:9" x14ac:dyDescent="0.25">
      <c r="A729" t="s">
        <v>515</v>
      </c>
      <c r="B729" t="s">
        <v>770</v>
      </c>
      <c r="C729" t="s">
        <v>2722</v>
      </c>
      <c r="E729" t="s">
        <v>767</v>
      </c>
      <c r="F729" t="s">
        <v>772</v>
      </c>
      <c r="G729" t="s">
        <v>2723</v>
      </c>
      <c r="H729" t="s">
        <v>750</v>
      </c>
      <c r="I729" t="s">
        <v>476</v>
      </c>
    </row>
    <row r="730" spans="1:9" x14ac:dyDescent="0.25">
      <c r="A730" t="s">
        <v>519</v>
      </c>
      <c r="B730" t="s">
        <v>523</v>
      </c>
      <c r="C730" t="s">
        <v>2724</v>
      </c>
      <c r="D730">
        <v>1</v>
      </c>
      <c r="E730" t="s">
        <v>747</v>
      </c>
      <c r="F730" t="s">
        <v>2725</v>
      </c>
      <c r="G730" t="s">
        <v>2726</v>
      </c>
      <c r="H730" t="s">
        <v>750</v>
      </c>
      <c r="I730" t="s">
        <v>476</v>
      </c>
    </row>
    <row r="731" spans="1:9" x14ac:dyDescent="0.25">
      <c r="A731" t="s">
        <v>519</v>
      </c>
      <c r="B731" t="s">
        <v>2727</v>
      </c>
      <c r="C731" t="s">
        <v>2728</v>
      </c>
      <c r="D731">
        <v>2</v>
      </c>
      <c r="E731" t="s">
        <v>747</v>
      </c>
      <c r="F731" t="s">
        <v>2729</v>
      </c>
      <c r="G731" t="s">
        <v>2726</v>
      </c>
      <c r="H731" t="s">
        <v>750</v>
      </c>
      <c r="I731" t="s">
        <v>476</v>
      </c>
    </row>
    <row r="732" spans="1:9" x14ac:dyDescent="0.25">
      <c r="A732" t="s">
        <v>519</v>
      </c>
      <c r="B732" t="s">
        <v>2730</v>
      </c>
      <c r="C732" t="s">
        <v>2731</v>
      </c>
      <c r="D732">
        <v>3</v>
      </c>
      <c r="E732" t="s">
        <v>747</v>
      </c>
      <c r="F732" t="s">
        <v>755</v>
      </c>
      <c r="G732" t="s">
        <v>2732</v>
      </c>
      <c r="H732" t="s">
        <v>750</v>
      </c>
      <c r="I732" t="s">
        <v>476</v>
      </c>
    </row>
    <row r="733" spans="1:9" x14ac:dyDescent="0.25">
      <c r="A733" t="s">
        <v>519</v>
      </c>
      <c r="B733" t="s">
        <v>2733</v>
      </c>
      <c r="C733" t="s">
        <v>2734</v>
      </c>
      <c r="D733">
        <v>4</v>
      </c>
      <c r="E733" t="s">
        <v>747</v>
      </c>
      <c r="F733" t="s">
        <v>758</v>
      </c>
      <c r="G733" t="s">
        <v>2735</v>
      </c>
      <c r="H733" t="s">
        <v>760</v>
      </c>
      <c r="I733" t="s">
        <v>476</v>
      </c>
    </row>
    <row r="734" spans="1:9" x14ac:dyDescent="0.25">
      <c r="A734" t="s">
        <v>519</v>
      </c>
      <c r="B734" t="s">
        <v>2736</v>
      </c>
      <c r="C734" t="s">
        <v>2737</v>
      </c>
      <c r="D734">
        <v>5</v>
      </c>
      <c r="E734" t="s">
        <v>747</v>
      </c>
      <c r="F734" t="s">
        <v>763</v>
      </c>
      <c r="G734" t="s">
        <v>2738</v>
      </c>
      <c r="H734" t="s">
        <v>760</v>
      </c>
      <c r="I734" t="s">
        <v>476</v>
      </c>
    </row>
    <row r="735" spans="1:9" x14ac:dyDescent="0.25">
      <c r="A735" t="s">
        <v>519</v>
      </c>
      <c r="B735" t="s">
        <v>765</v>
      </c>
      <c r="C735" t="s">
        <v>2739</v>
      </c>
      <c r="E735" t="s">
        <v>767</v>
      </c>
      <c r="F735" t="s">
        <v>768</v>
      </c>
      <c r="G735" t="s">
        <v>2740</v>
      </c>
      <c r="H735" t="s">
        <v>750</v>
      </c>
      <c r="I735" t="s">
        <v>476</v>
      </c>
    </row>
    <row r="736" spans="1:9" x14ac:dyDescent="0.25">
      <c r="A736" t="s">
        <v>519</v>
      </c>
      <c r="B736" t="s">
        <v>770</v>
      </c>
      <c r="C736" t="s">
        <v>2741</v>
      </c>
      <c r="E736" t="s">
        <v>767</v>
      </c>
      <c r="F736" t="s">
        <v>772</v>
      </c>
      <c r="G736" t="s">
        <v>2742</v>
      </c>
      <c r="H736" t="s">
        <v>750</v>
      </c>
      <c r="I736" t="s">
        <v>476</v>
      </c>
    </row>
    <row r="737" spans="1:9" x14ac:dyDescent="0.25">
      <c r="A737" t="s">
        <v>524</v>
      </c>
      <c r="B737" t="s">
        <v>527</v>
      </c>
      <c r="C737" t="s">
        <v>2743</v>
      </c>
      <c r="D737">
        <v>1</v>
      </c>
      <c r="E737" t="s">
        <v>747</v>
      </c>
      <c r="F737" t="s">
        <v>2744</v>
      </c>
      <c r="G737" t="s">
        <v>2745</v>
      </c>
      <c r="H737" t="s">
        <v>750</v>
      </c>
      <c r="I737" t="s">
        <v>476</v>
      </c>
    </row>
    <row r="738" spans="1:9" x14ac:dyDescent="0.25">
      <c r="A738" t="s">
        <v>524</v>
      </c>
      <c r="B738" t="s">
        <v>2746</v>
      </c>
      <c r="C738" t="s">
        <v>2747</v>
      </c>
      <c r="D738">
        <v>2</v>
      </c>
      <c r="E738" t="s">
        <v>747</v>
      </c>
      <c r="F738" t="s">
        <v>2748</v>
      </c>
      <c r="G738" t="s">
        <v>2745</v>
      </c>
      <c r="H738" t="s">
        <v>750</v>
      </c>
      <c r="I738" t="s">
        <v>476</v>
      </c>
    </row>
    <row r="739" spans="1:9" x14ac:dyDescent="0.25">
      <c r="A739" t="s">
        <v>524</v>
      </c>
      <c r="B739" t="s">
        <v>2749</v>
      </c>
      <c r="C739" t="s">
        <v>2750</v>
      </c>
      <c r="D739">
        <v>3</v>
      </c>
      <c r="E739" t="s">
        <v>747</v>
      </c>
      <c r="F739" t="s">
        <v>755</v>
      </c>
      <c r="G739" t="s">
        <v>2751</v>
      </c>
      <c r="H739" t="s">
        <v>750</v>
      </c>
      <c r="I739" t="s">
        <v>476</v>
      </c>
    </row>
    <row r="740" spans="1:9" x14ac:dyDescent="0.25">
      <c r="A740" t="s">
        <v>524</v>
      </c>
      <c r="B740" t="s">
        <v>2752</v>
      </c>
      <c r="C740" t="s">
        <v>2753</v>
      </c>
      <c r="D740">
        <v>4</v>
      </c>
      <c r="E740" t="s">
        <v>747</v>
      </c>
      <c r="F740" t="s">
        <v>758</v>
      </c>
      <c r="G740" t="s">
        <v>2754</v>
      </c>
      <c r="H740" t="s">
        <v>760</v>
      </c>
      <c r="I740" t="s">
        <v>476</v>
      </c>
    </row>
    <row r="741" spans="1:9" x14ac:dyDescent="0.25">
      <c r="A741" t="s">
        <v>524</v>
      </c>
      <c r="B741" t="s">
        <v>2755</v>
      </c>
      <c r="C741" t="s">
        <v>2756</v>
      </c>
      <c r="D741">
        <v>5</v>
      </c>
      <c r="E741" t="s">
        <v>747</v>
      </c>
      <c r="F741" t="s">
        <v>763</v>
      </c>
      <c r="G741" t="s">
        <v>2757</v>
      </c>
      <c r="H741" t="s">
        <v>760</v>
      </c>
      <c r="I741" t="s">
        <v>476</v>
      </c>
    </row>
    <row r="742" spans="1:9" x14ac:dyDescent="0.25">
      <c r="A742" t="s">
        <v>524</v>
      </c>
      <c r="B742" t="s">
        <v>765</v>
      </c>
      <c r="C742" t="s">
        <v>2758</v>
      </c>
      <c r="E742" t="s">
        <v>767</v>
      </c>
      <c r="F742" t="s">
        <v>768</v>
      </c>
      <c r="G742" t="s">
        <v>2759</v>
      </c>
      <c r="H742" t="s">
        <v>750</v>
      </c>
      <c r="I742" t="s">
        <v>476</v>
      </c>
    </row>
    <row r="743" spans="1:9" x14ac:dyDescent="0.25">
      <c r="A743" t="s">
        <v>524</v>
      </c>
      <c r="B743" t="s">
        <v>770</v>
      </c>
      <c r="C743" t="s">
        <v>2760</v>
      </c>
      <c r="E743" t="s">
        <v>767</v>
      </c>
      <c r="F743" t="s">
        <v>772</v>
      </c>
      <c r="G743" t="s">
        <v>2761</v>
      </c>
      <c r="H743" t="s">
        <v>750</v>
      </c>
      <c r="I743" t="s">
        <v>476</v>
      </c>
    </row>
    <row r="744" spans="1:9" x14ac:dyDescent="0.25">
      <c r="A744" t="s">
        <v>528</v>
      </c>
      <c r="B744" t="s">
        <v>531</v>
      </c>
      <c r="C744" t="s">
        <v>2762</v>
      </c>
      <c r="D744">
        <v>1</v>
      </c>
      <c r="E744" t="s">
        <v>747</v>
      </c>
      <c r="F744" t="s">
        <v>2763</v>
      </c>
      <c r="G744" t="s">
        <v>2764</v>
      </c>
      <c r="H744" t="s">
        <v>750</v>
      </c>
      <c r="I744" t="s">
        <v>476</v>
      </c>
    </row>
    <row r="745" spans="1:9" x14ac:dyDescent="0.25">
      <c r="A745" t="s">
        <v>528</v>
      </c>
      <c r="B745" t="s">
        <v>2765</v>
      </c>
      <c r="C745" t="s">
        <v>2766</v>
      </c>
      <c r="D745">
        <v>2</v>
      </c>
      <c r="E745" t="s">
        <v>747</v>
      </c>
      <c r="F745" t="s">
        <v>2767</v>
      </c>
      <c r="G745" t="s">
        <v>2764</v>
      </c>
      <c r="H745" t="s">
        <v>750</v>
      </c>
      <c r="I745" t="s">
        <v>476</v>
      </c>
    </row>
    <row r="746" spans="1:9" x14ac:dyDescent="0.25">
      <c r="A746" t="s">
        <v>528</v>
      </c>
      <c r="B746" t="s">
        <v>2768</v>
      </c>
      <c r="C746" t="s">
        <v>2769</v>
      </c>
      <c r="D746">
        <v>3</v>
      </c>
      <c r="E746" t="s">
        <v>747</v>
      </c>
      <c r="F746" t="s">
        <v>755</v>
      </c>
      <c r="G746" t="s">
        <v>2770</v>
      </c>
      <c r="H746" t="s">
        <v>750</v>
      </c>
      <c r="I746" t="s">
        <v>476</v>
      </c>
    </row>
    <row r="747" spans="1:9" x14ac:dyDescent="0.25">
      <c r="A747" t="s">
        <v>528</v>
      </c>
      <c r="B747" t="s">
        <v>2771</v>
      </c>
      <c r="C747" t="s">
        <v>2772</v>
      </c>
      <c r="D747">
        <v>4</v>
      </c>
      <c r="E747" t="s">
        <v>747</v>
      </c>
      <c r="F747" t="s">
        <v>758</v>
      </c>
      <c r="G747" t="s">
        <v>2773</v>
      </c>
      <c r="H747" t="s">
        <v>760</v>
      </c>
      <c r="I747" t="s">
        <v>476</v>
      </c>
    </row>
    <row r="748" spans="1:9" x14ac:dyDescent="0.25">
      <c r="A748" t="s">
        <v>528</v>
      </c>
      <c r="B748" t="s">
        <v>2774</v>
      </c>
      <c r="C748" t="s">
        <v>2775</v>
      </c>
      <c r="D748">
        <v>5</v>
      </c>
      <c r="E748" t="s">
        <v>747</v>
      </c>
      <c r="F748" t="s">
        <v>763</v>
      </c>
      <c r="G748" t="s">
        <v>2776</v>
      </c>
      <c r="H748" t="s">
        <v>760</v>
      </c>
      <c r="I748" t="s">
        <v>476</v>
      </c>
    </row>
    <row r="749" spans="1:9" x14ac:dyDescent="0.25">
      <c r="A749" t="s">
        <v>528</v>
      </c>
      <c r="B749" t="s">
        <v>765</v>
      </c>
      <c r="C749" t="s">
        <v>2777</v>
      </c>
      <c r="E749" t="s">
        <v>767</v>
      </c>
      <c r="F749" t="s">
        <v>768</v>
      </c>
      <c r="G749" t="s">
        <v>2778</v>
      </c>
      <c r="H749" t="s">
        <v>750</v>
      </c>
      <c r="I749" t="s">
        <v>476</v>
      </c>
    </row>
    <row r="750" spans="1:9" x14ac:dyDescent="0.25">
      <c r="A750" t="s">
        <v>528</v>
      </c>
      <c r="B750" t="s">
        <v>770</v>
      </c>
      <c r="C750" t="s">
        <v>2779</v>
      </c>
      <c r="E750" t="s">
        <v>767</v>
      </c>
      <c r="F750" t="s">
        <v>772</v>
      </c>
      <c r="G750" t="s">
        <v>2780</v>
      </c>
      <c r="H750" t="s">
        <v>750</v>
      </c>
      <c r="I750" t="s">
        <v>476</v>
      </c>
    </row>
    <row r="751" spans="1:9" x14ac:dyDescent="0.25">
      <c r="A751" t="s">
        <v>532</v>
      </c>
      <c r="B751" t="s">
        <v>535</v>
      </c>
      <c r="C751" t="s">
        <v>2781</v>
      </c>
      <c r="D751">
        <v>1</v>
      </c>
      <c r="E751" t="s">
        <v>747</v>
      </c>
      <c r="F751" t="s">
        <v>2782</v>
      </c>
      <c r="G751" t="s">
        <v>2783</v>
      </c>
      <c r="H751" t="s">
        <v>750</v>
      </c>
      <c r="I751" t="s">
        <v>476</v>
      </c>
    </row>
    <row r="752" spans="1:9" x14ac:dyDescent="0.25">
      <c r="A752" t="s">
        <v>532</v>
      </c>
      <c r="B752" t="s">
        <v>2784</v>
      </c>
      <c r="C752" t="s">
        <v>2785</v>
      </c>
      <c r="D752">
        <v>2</v>
      </c>
      <c r="E752" t="s">
        <v>747</v>
      </c>
      <c r="F752" t="s">
        <v>2786</v>
      </c>
      <c r="G752" t="s">
        <v>2783</v>
      </c>
      <c r="H752" t="s">
        <v>750</v>
      </c>
      <c r="I752" t="s">
        <v>476</v>
      </c>
    </row>
    <row r="753" spans="1:9" x14ac:dyDescent="0.25">
      <c r="A753" t="s">
        <v>532</v>
      </c>
      <c r="B753" t="s">
        <v>2787</v>
      </c>
      <c r="C753" t="s">
        <v>2788</v>
      </c>
      <c r="D753">
        <v>3</v>
      </c>
      <c r="E753" t="s">
        <v>747</v>
      </c>
      <c r="F753" t="s">
        <v>755</v>
      </c>
      <c r="G753" t="s">
        <v>2789</v>
      </c>
      <c r="H753" t="s">
        <v>750</v>
      </c>
      <c r="I753" t="s">
        <v>476</v>
      </c>
    </row>
    <row r="754" spans="1:9" x14ac:dyDescent="0.25">
      <c r="A754" t="s">
        <v>532</v>
      </c>
      <c r="B754" t="s">
        <v>2790</v>
      </c>
      <c r="C754" t="s">
        <v>2791</v>
      </c>
      <c r="D754">
        <v>4</v>
      </c>
      <c r="E754" t="s">
        <v>747</v>
      </c>
      <c r="F754" t="s">
        <v>758</v>
      </c>
      <c r="G754" t="s">
        <v>2792</v>
      </c>
      <c r="H754" t="s">
        <v>760</v>
      </c>
      <c r="I754" t="s">
        <v>476</v>
      </c>
    </row>
    <row r="755" spans="1:9" x14ac:dyDescent="0.25">
      <c r="A755" t="s">
        <v>532</v>
      </c>
      <c r="B755" t="s">
        <v>2793</v>
      </c>
      <c r="C755" t="s">
        <v>2794</v>
      </c>
      <c r="D755">
        <v>5</v>
      </c>
      <c r="E755" t="s">
        <v>747</v>
      </c>
      <c r="F755" t="s">
        <v>763</v>
      </c>
      <c r="G755" t="s">
        <v>2795</v>
      </c>
      <c r="H755" t="s">
        <v>760</v>
      </c>
      <c r="I755" t="s">
        <v>476</v>
      </c>
    </row>
    <row r="756" spans="1:9" x14ac:dyDescent="0.25">
      <c r="A756" t="s">
        <v>532</v>
      </c>
      <c r="B756" t="s">
        <v>765</v>
      </c>
      <c r="C756" t="s">
        <v>2796</v>
      </c>
      <c r="E756" t="s">
        <v>767</v>
      </c>
      <c r="F756" t="s">
        <v>768</v>
      </c>
      <c r="G756" t="s">
        <v>2797</v>
      </c>
      <c r="H756" t="s">
        <v>750</v>
      </c>
      <c r="I756" t="s">
        <v>476</v>
      </c>
    </row>
    <row r="757" spans="1:9" x14ac:dyDescent="0.25">
      <c r="A757" t="s">
        <v>532</v>
      </c>
      <c r="B757" t="s">
        <v>770</v>
      </c>
      <c r="C757" t="s">
        <v>2798</v>
      </c>
      <c r="E757" t="s">
        <v>767</v>
      </c>
      <c r="F757" t="s">
        <v>772</v>
      </c>
      <c r="G757" t="s">
        <v>2799</v>
      </c>
      <c r="H757" t="s">
        <v>750</v>
      </c>
      <c r="I757" t="s">
        <v>476</v>
      </c>
    </row>
    <row r="758" spans="1:9" x14ac:dyDescent="0.25">
      <c r="A758" t="s">
        <v>536</v>
      </c>
      <c r="B758" t="s">
        <v>541</v>
      </c>
      <c r="C758" t="s">
        <v>2800</v>
      </c>
      <c r="D758">
        <v>1</v>
      </c>
      <c r="E758" t="s">
        <v>747</v>
      </c>
      <c r="F758" t="s">
        <v>2801</v>
      </c>
      <c r="G758" t="s">
        <v>2802</v>
      </c>
      <c r="H758" t="s">
        <v>750</v>
      </c>
      <c r="I758" t="s">
        <v>537</v>
      </c>
    </row>
    <row r="759" spans="1:9" x14ac:dyDescent="0.25">
      <c r="A759" t="s">
        <v>536</v>
      </c>
      <c r="B759" t="s">
        <v>2803</v>
      </c>
      <c r="C759" t="s">
        <v>2804</v>
      </c>
      <c r="D759">
        <v>2</v>
      </c>
      <c r="E759" t="s">
        <v>747</v>
      </c>
      <c r="F759" t="s">
        <v>2805</v>
      </c>
      <c r="G759" t="s">
        <v>2802</v>
      </c>
      <c r="H759" t="s">
        <v>750</v>
      </c>
      <c r="I759" t="s">
        <v>537</v>
      </c>
    </row>
    <row r="760" spans="1:9" x14ac:dyDescent="0.25">
      <c r="A760" t="s">
        <v>536</v>
      </c>
      <c r="B760" t="s">
        <v>2806</v>
      </c>
      <c r="C760" t="s">
        <v>2807</v>
      </c>
      <c r="D760">
        <v>3</v>
      </c>
      <c r="E760" t="s">
        <v>747</v>
      </c>
      <c r="F760" t="s">
        <v>755</v>
      </c>
      <c r="G760" t="s">
        <v>2808</v>
      </c>
      <c r="H760" t="s">
        <v>750</v>
      </c>
      <c r="I760" t="s">
        <v>537</v>
      </c>
    </row>
    <row r="761" spans="1:9" x14ac:dyDescent="0.25">
      <c r="A761" t="s">
        <v>536</v>
      </c>
      <c r="B761" t="s">
        <v>2809</v>
      </c>
      <c r="C761" t="s">
        <v>2810</v>
      </c>
      <c r="D761">
        <v>4</v>
      </c>
      <c r="E761" t="s">
        <v>747</v>
      </c>
      <c r="F761" t="s">
        <v>758</v>
      </c>
      <c r="G761" t="s">
        <v>2811</v>
      </c>
      <c r="H761" t="s">
        <v>760</v>
      </c>
      <c r="I761" t="s">
        <v>537</v>
      </c>
    </row>
    <row r="762" spans="1:9" x14ac:dyDescent="0.25">
      <c r="A762" t="s">
        <v>536</v>
      </c>
      <c r="B762" t="s">
        <v>2812</v>
      </c>
      <c r="C762" t="s">
        <v>2813</v>
      </c>
      <c r="D762">
        <v>5</v>
      </c>
      <c r="E762" t="s">
        <v>747</v>
      </c>
      <c r="F762" t="s">
        <v>763</v>
      </c>
      <c r="G762" t="s">
        <v>2814</v>
      </c>
      <c r="H762" t="s">
        <v>760</v>
      </c>
      <c r="I762" t="s">
        <v>537</v>
      </c>
    </row>
    <row r="763" spans="1:9" x14ac:dyDescent="0.25">
      <c r="A763" t="s">
        <v>536</v>
      </c>
      <c r="B763" t="s">
        <v>765</v>
      </c>
      <c r="C763" t="s">
        <v>2815</v>
      </c>
      <c r="E763" t="s">
        <v>767</v>
      </c>
      <c r="F763" t="s">
        <v>768</v>
      </c>
      <c r="G763" t="s">
        <v>2816</v>
      </c>
      <c r="H763" t="s">
        <v>750</v>
      </c>
      <c r="I763" t="s">
        <v>537</v>
      </c>
    </row>
    <row r="764" spans="1:9" x14ac:dyDescent="0.25">
      <c r="A764" t="s">
        <v>536</v>
      </c>
      <c r="B764" t="s">
        <v>770</v>
      </c>
      <c r="C764" t="s">
        <v>2817</v>
      </c>
      <c r="E764" t="s">
        <v>767</v>
      </c>
      <c r="F764" t="s">
        <v>772</v>
      </c>
      <c r="G764" t="s">
        <v>2818</v>
      </c>
      <c r="H764" t="s">
        <v>750</v>
      </c>
      <c r="I764" t="s">
        <v>537</v>
      </c>
    </row>
    <row r="765" spans="1:9" x14ac:dyDescent="0.25">
      <c r="A765" t="s">
        <v>542</v>
      </c>
      <c r="B765" t="s">
        <v>545</v>
      </c>
      <c r="C765" t="s">
        <v>2819</v>
      </c>
      <c r="D765">
        <v>1</v>
      </c>
      <c r="E765" t="s">
        <v>747</v>
      </c>
      <c r="F765" t="s">
        <v>2820</v>
      </c>
      <c r="G765" t="s">
        <v>2821</v>
      </c>
      <c r="H765" t="s">
        <v>750</v>
      </c>
      <c r="I765" t="s">
        <v>537</v>
      </c>
    </row>
    <row r="766" spans="1:9" x14ac:dyDescent="0.25">
      <c r="A766" t="s">
        <v>542</v>
      </c>
      <c r="B766" t="s">
        <v>2822</v>
      </c>
      <c r="C766" t="s">
        <v>2823</v>
      </c>
      <c r="D766">
        <v>2</v>
      </c>
      <c r="E766" t="s">
        <v>747</v>
      </c>
      <c r="F766" t="s">
        <v>2824</v>
      </c>
      <c r="G766" t="s">
        <v>2821</v>
      </c>
      <c r="H766" t="s">
        <v>750</v>
      </c>
      <c r="I766" t="s">
        <v>537</v>
      </c>
    </row>
    <row r="767" spans="1:9" x14ac:dyDescent="0.25">
      <c r="A767" t="s">
        <v>542</v>
      </c>
      <c r="B767" t="s">
        <v>2825</v>
      </c>
      <c r="C767" t="s">
        <v>2826</v>
      </c>
      <c r="D767">
        <v>3</v>
      </c>
      <c r="E767" t="s">
        <v>747</v>
      </c>
      <c r="F767" t="s">
        <v>755</v>
      </c>
      <c r="G767" t="s">
        <v>2827</v>
      </c>
      <c r="H767" t="s">
        <v>750</v>
      </c>
      <c r="I767" t="s">
        <v>537</v>
      </c>
    </row>
    <row r="768" spans="1:9" x14ac:dyDescent="0.25">
      <c r="A768" t="s">
        <v>542</v>
      </c>
      <c r="B768" t="s">
        <v>2828</v>
      </c>
      <c r="C768" t="s">
        <v>2829</v>
      </c>
      <c r="D768">
        <v>4</v>
      </c>
      <c r="E768" t="s">
        <v>747</v>
      </c>
      <c r="F768" t="s">
        <v>758</v>
      </c>
      <c r="G768" t="s">
        <v>2830</v>
      </c>
      <c r="H768" t="s">
        <v>760</v>
      </c>
      <c r="I768" t="s">
        <v>537</v>
      </c>
    </row>
    <row r="769" spans="1:9" x14ac:dyDescent="0.25">
      <c r="A769" t="s">
        <v>542</v>
      </c>
      <c r="B769" t="s">
        <v>2831</v>
      </c>
      <c r="C769" t="s">
        <v>2832</v>
      </c>
      <c r="D769">
        <v>5</v>
      </c>
      <c r="E769" t="s">
        <v>747</v>
      </c>
      <c r="F769" t="s">
        <v>763</v>
      </c>
      <c r="G769" t="s">
        <v>2833</v>
      </c>
      <c r="H769" t="s">
        <v>760</v>
      </c>
      <c r="I769" t="s">
        <v>537</v>
      </c>
    </row>
    <row r="770" spans="1:9" x14ac:dyDescent="0.25">
      <c r="A770" t="s">
        <v>542</v>
      </c>
      <c r="B770" t="s">
        <v>765</v>
      </c>
      <c r="C770" t="s">
        <v>2834</v>
      </c>
      <c r="E770" t="s">
        <v>767</v>
      </c>
      <c r="F770" t="s">
        <v>768</v>
      </c>
      <c r="G770" t="s">
        <v>2835</v>
      </c>
      <c r="H770" t="s">
        <v>750</v>
      </c>
      <c r="I770" t="s">
        <v>537</v>
      </c>
    </row>
    <row r="771" spans="1:9" x14ac:dyDescent="0.25">
      <c r="A771" t="s">
        <v>542</v>
      </c>
      <c r="B771" t="s">
        <v>770</v>
      </c>
      <c r="C771" t="s">
        <v>2836</v>
      </c>
      <c r="E771" t="s">
        <v>767</v>
      </c>
      <c r="F771" t="s">
        <v>772</v>
      </c>
      <c r="G771" t="s">
        <v>2837</v>
      </c>
      <c r="H771" t="s">
        <v>750</v>
      </c>
      <c r="I771" t="s">
        <v>537</v>
      </c>
    </row>
    <row r="772" spans="1:9" x14ac:dyDescent="0.25">
      <c r="A772" t="s">
        <v>546</v>
      </c>
      <c r="B772" t="s">
        <v>549</v>
      </c>
      <c r="C772" t="s">
        <v>2838</v>
      </c>
      <c r="D772">
        <v>1</v>
      </c>
      <c r="E772" t="s">
        <v>747</v>
      </c>
      <c r="F772" t="s">
        <v>2839</v>
      </c>
      <c r="G772" t="s">
        <v>2840</v>
      </c>
      <c r="H772" t="s">
        <v>750</v>
      </c>
      <c r="I772" t="s">
        <v>537</v>
      </c>
    </row>
    <row r="773" spans="1:9" x14ac:dyDescent="0.25">
      <c r="A773" t="s">
        <v>546</v>
      </c>
      <c r="B773" t="s">
        <v>2841</v>
      </c>
      <c r="C773" t="s">
        <v>2842</v>
      </c>
      <c r="D773">
        <v>2</v>
      </c>
      <c r="E773" t="s">
        <v>747</v>
      </c>
      <c r="F773" t="s">
        <v>2843</v>
      </c>
      <c r="G773" t="s">
        <v>2840</v>
      </c>
      <c r="H773" t="s">
        <v>750</v>
      </c>
      <c r="I773" t="s">
        <v>537</v>
      </c>
    </row>
    <row r="774" spans="1:9" x14ac:dyDescent="0.25">
      <c r="A774" t="s">
        <v>546</v>
      </c>
      <c r="B774" t="s">
        <v>2844</v>
      </c>
      <c r="C774" t="s">
        <v>2845</v>
      </c>
      <c r="D774">
        <v>3</v>
      </c>
      <c r="E774" t="s">
        <v>747</v>
      </c>
      <c r="F774" t="s">
        <v>755</v>
      </c>
      <c r="G774" t="s">
        <v>2846</v>
      </c>
      <c r="H774" t="s">
        <v>750</v>
      </c>
      <c r="I774" t="s">
        <v>537</v>
      </c>
    </row>
    <row r="775" spans="1:9" x14ac:dyDescent="0.25">
      <c r="A775" t="s">
        <v>546</v>
      </c>
      <c r="B775" t="s">
        <v>2847</v>
      </c>
      <c r="C775" t="s">
        <v>2848</v>
      </c>
      <c r="D775">
        <v>4</v>
      </c>
      <c r="E775" t="s">
        <v>747</v>
      </c>
      <c r="F775" t="s">
        <v>758</v>
      </c>
      <c r="G775" t="s">
        <v>2849</v>
      </c>
      <c r="H775" t="s">
        <v>760</v>
      </c>
      <c r="I775" t="s">
        <v>537</v>
      </c>
    </row>
    <row r="776" spans="1:9" x14ac:dyDescent="0.25">
      <c r="A776" t="s">
        <v>546</v>
      </c>
      <c r="B776" t="s">
        <v>2850</v>
      </c>
      <c r="C776" t="s">
        <v>2851</v>
      </c>
      <c r="D776">
        <v>5</v>
      </c>
      <c r="E776" t="s">
        <v>747</v>
      </c>
      <c r="F776" t="s">
        <v>763</v>
      </c>
      <c r="G776" t="s">
        <v>2852</v>
      </c>
      <c r="H776" t="s">
        <v>760</v>
      </c>
      <c r="I776" t="s">
        <v>537</v>
      </c>
    </row>
    <row r="777" spans="1:9" x14ac:dyDescent="0.25">
      <c r="A777" t="s">
        <v>546</v>
      </c>
      <c r="B777" t="s">
        <v>765</v>
      </c>
      <c r="C777" t="s">
        <v>2853</v>
      </c>
      <c r="E777" t="s">
        <v>767</v>
      </c>
      <c r="F777" t="s">
        <v>768</v>
      </c>
      <c r="G777" t="s">
        <v>2854</v>
      </c>
      <c r="H777" t="s">
        <v>750</v>
      </c>
      <c r="I777" t="s">
        <v>537</v>
      </c>
    </row>
    <row r="778" spans="1:9" x14ac:dyDescent="0.25">
      <c r="A778" t="s">
        <v>546</v>
      </c>
      <c r="B778" t="s">
        <v>770</v>
      </c>
      <c r="C778" t="s">
        <v>2855</v>
      </c>
      <c r="E778" t="s">
        <v>767</v>
      </c>
      <c r="F778" t="s">
        <v>772</v>
      </c>
      <c r="G778" t="s">
        <v>2856</v>
      </c>
      <c r="H778" t="s">
        <v>750</v>
      </c>
      <c r="I778" t="s">
        <v>537</v>
      </c>
    </row>
    <row r="779" spans="1:9" x14ac:dyDescent="0.25">
      <c r="A779" t="s">
        <v>550</v>
      </c>
      <c r="B779" t="s">
        <v>553</v>
      </c>
      <c r="C779" t="s">
        <v>2857</v>
      </c>
      <c r="D779">
        <v>1</v>
      </c>
      <c r="E779" t="s">
        <v>747</v>
      </c>
      <c r="F779" t="s">
        <v>2858</v>
      </c>
      <c r="G779" t="s">
        <v>2859</v>
      </c>
      <c r="H779" t="s">
        <v>750</v>
      </c>
      <c r="I779" t="s">
        <v>537</v>
      </c>
    </row>
    <row r="780" spans="1:9" x14ac:dyDescent="0.25">
      <c r="A780" t="s">
        <v>550</v>
      </c>
      <c r="B780" t="s">
        <v>2860</v>
      </c>
      <c r="C780" t="s">
        <v>2861</v>
      </c>
      <c r="D780">
        <v>2</v>
      </c>
      <c r="E780" t="s">
        <v>747</v>
      </c>
      <c r="F780" t="s">
        <v>2862</v>
      </c>
      <c r="G780" t="s">
        <v>2859</v>
      </c>
      <c r="H780" t="s">
        <v>750</v>
      </c>
      <c r="I780" t="s">
        <v>537</v>
      </c>
    </row>
    <row r="781" spans="1:9" x14ac:dyDescent="0.25">
      <c r="A781" t="s">
        <v>550</v>
      </c>
      <c r="B781" t="s">
        <v>2863</v>
      </c>
      <c r="C781" t="s">
        <v>2864</v>
      </c>
      <c r="D781">
        <v>3</v>
      </c>
      <c r="E781" t="s">
        <v>747</v>
      </c>
      <c r="F781" t="s">
        <v>755</v>
      </c>
      <c r="G781" t="s">
        <v>2865</v>
      </c>
      <c r="H781" t="s">
        <v>750</v>
      </c>
      <c r="I781" t="s">
        <v>537</v>
      </c>
    </row>
    <row r="782" spans="1:9" x14ac:dyDescent="0.25">
      <c r="A782" t="s">
        <v>550</v>
      </c>
      <c r="B782" t="s">
        <v>2866</v>
      </c>
      <c r="C782" t="s">
        <v>2867</v>
      </c>
      <c r="D782">
        <v>4</v>
      </c>
      <c r="E782" t="s">
        <v>747</v>
      </c>
      <c r="F782" t="s">
        <v>758</v>
      </c>
      <c r="G782" t="s">
        <v>2868</v>
      </c>
      <c r="H782" t="s">
        <v>760</v>
      </c>
      <c r="I782" t="s">
        <v>537</v>
      </c>
    </row>
    <row r="783" spans="1:9" x14ac:dyDescent="0.25">
      <c r="A783" t="s">
        <v>550</v>
      </c>
      <c r="B783" t="s">
        <v>2869</v>
      </c>
      <c r="C783" t="s">
        <v>2870</v>
      </c>
      <c r="D783">
        <v>5</v>
      </c>
      <c r="E783" t="s">
        <v>747</v>
      </c>
      <c r="F783" t="s">
        <v>763</v>
      </c>
      <c r="G783" t="s">
        <v>2871</v>
      </c>
      <c r="H783" t="s">
        <v>760</v>
      </c>
      <c r="I783" t="s">
        <v>537</v>
      </c>
    </row>
    <row r="784" spans="1:9" x14ac:dyDescent="0.25">
      <c r="A784" t="s">
        <v>550</v>
      </c>
      <c r="B784" t="s">
        <v>765</v>
      </c>
      <c r="C784" t="s">
        <v>2872</v>
      </c>
      <c r="E784" t="s">
        <v>767</v>
      </c>
      <c r="F784" t="s">
        <v>768</v>
      </c>
      <c r="G784" t="s">
        <v>2873</v>
      </c>
      <c r="H784" t="s">
        <v>750</v>
      </c>
      <c r="I784" t="s">
        <v>537</v>
      </c>
    </row>
    <row r="785" spans="1:9" x14ac:dyDescent="0.25">
      <c r="A785" t="s">
        <v>550</v>
      </c>
      <c r="B785" t="s">
        <v>770</v>
      </c>
      <c r="C785" t="s">
        <v>2874</v>
      </c>
      <c r="E785" t="s">
        <v>767</v>
      </c>
      <c r="F785" t="s">
        <v>772</v>
      </c>
      <c r="G785" t="s">
        <v>2875</v>
      </c>
      <c r="H785" t="s">
        <v>750</v>
      </c>
      <c r="I785" t="s">
        <v>537</v>
      </c>
    </row>
    <row r="786" spans="1:9" x14ac:dyDescent="0.25">
      <c r="A786" t="s">
        <v>554</v>
      </c>
      <c r="B786" t="s">
        <v>558</v>
      </c>
      <c r="C786" t="s">
        <v>2876</v>
      </c>
      <c r="D786">
        <v>1</v>
      </c>
      <c r="E786" t="s">
        <v>747</v>
      </c>
      <c r="F786" t="s">
        <v>2877</v>
      </c>
      <c r="G786" t="s">
        <v>2878</v>
      </c>
      <c r="H786" t="s">
        <v>750</v>
      </c>
      <c r="I786" t="s">
        <v>537</v>
      </c>
    </row>
    <row r="787" spans="1:9" x14ac:dyDescent="0.25">
      <c r="A787" t="s">
        <v>554</v>
      </c>
      <c r="B787" t="s">
        <v>2879</v>
      </c>
      <c r="C787" t="s">
        <v>2880</v>
      </c>
      <c r="D787">
        <v>2</v>
      </c>
      <c r="E787" t="s">
        <v>747</v>
      </c>
      <c r="F787" t="s">
        <v>2881</v>
      </c>
      <c r="G787" t="s">
        <v>2878</v>
      </c>
      <c r="H787" t="s">
        <v>750</v>
      </c>
      <c r="I787" t="s">
        <v>537</v>
      </c>
    </row>
    <row r="788" spans="1:9" x14ac:dyDescent="0.25">
      <c r="A788" t="s">
        <v>554</v>
      </c>
      <c r="B788" t="s">
        <v>2882</v>
      </c>
      <c r="C788" t="s">
        <v>2883</v>
      </c>
      <c r="D788">
        <v>3</v>
      </c>
      <c r="E788" t="s">
        <v>747</v>
      </c>
      <c r="F788" t="s">
        <v>755</v>
      </c>
      <c r="G788" t="s">
        <v>2884</v>
      </c>
      <c r="H788" t="s">
        <v>750</v>
      </c>
      <c r="I788" t="s">
        <v>537</v>
      </c>
    </row>
    <row r="789" spans="1:9" x14ac:dyDescent="0.25">
      <c r="A789" t="s">
        <v>554</v>
      </c>
      <c r="B789" t="s">
        <v>2885</v>
      </c>
      <c r="C789" t="s">
        <v>2886</v>
      </c>
      <c r="D789">
        <v>4</v>
      </c>
      <c r="E789" t="s">
        <v>747</v>
      </c>
      <c r="F789" t="s">
        <v>758</v>
      </c>
      <c r="G789" t="s">
        <v>2887</v>
      </c>
      <c r="H789" t="s">
        <v>760</v>
      </c>
      <c r="I789" t="s">
        <v>537</v>
      </c>
    </row>
    <row r="790" spans="1:9" x14ac:dyDescent="0.25">
      <c r="A790" t="s">
        <v>554</v>
      </c>
      <c r="B790" t="s">
        <v>2888</v>
      </c>
      <c r="C790" t="s">
        <v>2889</v>
      </c>
      <c r="D790">
        <v>5</v>
      </c>
      <c r="E790" t="s">
        <v>747</v>
      </c>
      <c r="F790" t="s">
        <v>763</v>
      </c>
      <c r="G790" t="s">
        <v>2890</v>
      </c>
      <c r="H790" t="s">
        <v>760</v>
      </c>
      <c r="I790" t="s">
        <v>537</v>
      </c>
    </row>
    <row r="791" spans="1:9" x14ac:dyDescent="0.25">
      <c r="A791" t="s">
        <v>554</v>
      </c>
      <c r="B791" t="s">
        <v>765</v>
      </c>
      <c r="C791" t="s">
        <v>2891</v>
      </c>
      <c r="E791" t="s">
        <v>767</v>
      </c>
      <c r="F791" t="s">
        <v>768</v>
      </c>
      <c r="G791" t="s">
        <v>2892</v>
      </c>
      <c r="H791" t="s">
        <v>750</v>
      </c>
      <c r="I791" t="s">
        <v>537</v>
      </c>
    </row>
    <row r="792" spans="1:9" x14ac:dyDescent="0.25">
      <c r="A792" t="s">
        <v>554</v>
      </c>
      <c r="B792" t="s">
        <v>770</v>
      </c>
      <c r="C792" t="s">
        <v>2893</v>
      </c>
      <c r="E792" t="s">
        <v>767</v>
      </c>
      <c r="F792" t="s">
        <v>772</v>
      </c>
      <c r="G792" t="s">
        <v>2894</v>
      </c>
      <c r="H792" t="s">
        <v>750</v>
      </c>
      <c r="I792" t="s">
        <v>537</v>
      </c>
    </row>
    <row r="793" spans="1:9" x14ac:dyDescent="0.25">
      <c r="A793" t="s">
        <v>559</v>
      </c>
      <c r="B793" t="s">
        <v>562</v>
      </c>
      <c r="C793" t="s">
        <v>2895</v>
      </c>
      <c r="D793">
        <v>1</v>
      </c>
      <c r="E793" t="s">
        <v>747</v>
      </c>
      <c r="F793" t="s">
        <v>2896</v>
      </c>
      <c r="G793" t="s">
        <v>2897</v>
      </c>
      <c r="H793" t="s">
        <v>750</v>
      </c>
      <c r="I793" t="s">
        <v>537</v>
      </c>
    </row>
    <row r="794" spans="1:9" x14ac:dyDescent="0.25">
      <c r="A794" t="s">
        <v>559</v>
      </c>
      <c r="B794" t="s">
        <v>2898</v>
      </c>
      <c r="C794" t="s">
        <v>2899</v>
      </c>
      <c r="D794">
        <v>2</v>
      </c>
      <c r="E794" t="s">
        <v>747</v>
      </c>
      <c r="F794" t="s">
        <v>2900</v>
      </c>
      <c r="G794" t="s">
        <v>2897</v>
      </c>
      <c r="H794" t="s">
        <v>750</v>
      </c>
      <c r="I794" t="s">
        <v>537</v>
      </c>
    </row>
    <row r="795" spans="1:9" x14ac:dyDescent="0.25">
      <c r="A795" t="s">
        <v>559</v>
      </c>
      <c r="B795" t="s">
        <v>2901</v>
      </c>
      <c r="C795" t="s">
        <v>2902</v>
      </c>
      <c r="D795">
        <v>3</v>
      </c>
      <c r="E795" t="s">
        <v>747</v>
      </c>
      <c r="F795" t="s">
        <v>755</v>
      </c>
      <c r="G795" t="s">
        <v>2903</v>
      </c>
      <c r="H795" t="s">
        <v>750</v>
      </c>
      <c r="I795" t="s">
        <v>537</v>
      </c>
    </row>
    <row r="796" spans="1:9" x14ac:dyDescent="0.25">
      <c r="A796" t="s">
        <v>559</v>
      </c>
      <c r="B796" t="s">
        <v>2904</v>
      </c>
      <c r="C796" t="s">
        <v>2905</v>
      </c>
      <c r="D796">
        <v>4</v>
      </c>
      <c r="E796" t="s">
        <v>747</v>
      </c>
      <c r="F796" t="s">
        <v>758</v>
      </c>
      <c r="G796" t="s">
        <v>2906</v>
      </c>
      <c r="H796" t="s">
        <v>760</v>
      </c>
      <c r="I796" t="s">
        <v>537</v>
      </c>
    </row>
    <row r="797" spans="1:9" x14ac:dyDescent="0.25">
      <c r="A797" t="s">
        <v>559</v>
      </c>
      <c r="B797" t="s">
        <v>2907</v>
      </c>
      <c r="C797" t="s">
        <v>2908</v>
      </c>
      <c r="D797">
        <v>5</v>
      </c>
      <c r="E797" t="s">
        <v>747</v>
      </c>
      <c r="F797" t="s">
        <v>763</v>
      </c>
      <c r="G797" t="s">
        <v>2909</v>
      </c>
      <c r="H797" t="s">
        <v>760</v>
      </c>
      <c r="I797" t="s">
        <v>537</v>
      </c>
    </row>
    <row r="798" spans="1:9" x14ac:dyDescent="0.25">
      <c r="A798" t="s">
        <v>559</v>
      </c>
      <c r="B798" t="s">
        <v>765</v>
      </c>
      <c r="C798" t="s">
        <v>2910</v>
      </c>
      <c r="E798" t="s">
        <v>767</v>
      </c>
      <c r="F798" t="s">
        <v>768</v>
      </c>
      <c r="G798" t="s">
        <v>2911</v>
      </c>
      <c r="H798" t="s">
        <v>750</v>
      </c>
      <c r="I798" t="s">
        <v>537</v>
      </c>
    </row>
    <row r="799" spans="1:9" x14ac:dyDescent="0.25">
      <c r="A799" t="s">
        <v>559</v>
      </c>
      <c r="B799" t="s">
        <v>770</v>
      </c>
      <c r="C799" t="s">
        <v>2912</v>
      </c>
      <c r="E799" t="s">
        <v>767</v>
      </c>
      <c r="F799" t="s">
        <v>772</v>
      </c>
      <c r="G799" t="s">
        <v>2913</v>
      </c>
      <c r="H799" t="s">
        <v>750</v>
      </c>
      <c r="I799" t="s">
        <v>537</v>
      </c>
    </row>
    <row r="800" spans="1:9" x14ac:dyDescent="0.25">
      <c r="A800" t="s">
        <v>564</v>
      </c>
      <c r="B800" t="s">
        <v>567</v>
      </c>
      <c r="C800" t="s">
        <v>2914</v>
      </c>
      <c r="D800">
        <v>1</v>
      </c>
      <c r="E800" t="s">
        <v>747</v>
      </c>
      <c r="F800" t="s">
        <v>2915</v>
      </c>
      <c r="G800" t="s">
        <v>2916</v>
      </c>
      <c r="H800" t="s">
        <v>750</v>
      </c>
      <c r="I800" t="s">
        <v>537</v>
      </c>
    </row>
    <row r="801" spans="1:9" x14ac:dyDescent="0.25">
      <c r="A801" t="s">
        <v>564</v>
      </c>
      <c r="B801" t="s">
        <v>2917</v>
      </c>
      <c r="C801" t="s">
        <v>2918</v>
      </c>
      <c r="D801">
        <v>2</v>
      </c>
      <c r="E801" t="s">
        <v>747</v>
      </c>
      <c r="F801" t="s">
        <v>2560</v>
      </c>
      <c r="G801" t="s">
        <v>2916</v>
      </c>
      <c r="H801" t="s">
        <v>750</v>
      </c>
      <c r="I801" t="s">
        <v>537</v>
      </c>
    </row>
    <row r="802" spans="1:9" x14ac:dyDescent="0.25">
      <c r="A802" t="s">
        <v>564</v>
      </c>
      <c r="B802" t="s">
        <v>2919</v>
      </c>
      <c r="C802" t="s">
        <v>2920</v>
      </c>
      <c r="D802">
        <v>3</v>
      </c>
      <c r="E802" t="s">
        <v>747</v>
      </c>
      <c r="F802" t="s">
        <v>755</v>
      </c>
      <c r="G802" t="s">
        <v>2921</v>
      </c>
      <c r="H802" t="s">
        <v>750</v>
      </c>
      <c r="I802" t="s">
        <v>537</v>
      </c>
    </row>
    <row r="803" spans="1:9" x14ac:dyDescent="0.25">
      <c r="A803" t="s">
        <v>564</v>
      </c>
      <c r="B803" t="s">
        <v>2922</v>
      </c>
      <c r="C803" t="s">
        <v>2923</v>
      </c>
      <c r="D803">
        <v>4</v>
      </c>
      <c r="E803" t="s">
        <v>747</v>
      </c>
      <c r="F803" t="s">
        <v>758</v>
      </c>
      <c r="G803" t="s">
        <v>2924</v>
      </c>
      <c r="H803" t="s">
        <v>760</v>
      </c>
      <c r="I803" t="s">
        <v>537</v>
      </c>
    </row>
    <row r="804" spans="1:9" x14ac:dyDescent="0.25">
      <c r="A804" t="s">
        <v>564</v>
      </c>
      <c r="B804" t="s">
        <v>2925</v>
      </c>
      <c r="C804" t="s">
        <v>2926</v>
      </c>
      <c r="D804">
        <v>5</v>
      </c>
      <c r="E804" t="s">
        <v>747</v>
      </c>
      <c r="F804" t="s">
        <v>763</v>
      </c>
      <c r="G804" t="s">
        <v>2927</v>
      </c>
      <c r="H804" t="s">
        <v>760</v>
      </c>
      <c r="I804" t="s">
        <v>537</v>
      </c>
    </row>
    <row r="805" spans="1:9" x14ac:dyDescent="0.25">
      <c r="A805" t="s">
        <v>564</v>
      </c>
      <c r="B805" t="s">
        <v>765</v>
      </c>
      <c r="C805" t="s">
        <v>2928</v>
      </c>
      <c r="E805" t="s">
        <v>767</v>
      </c>
      <c r="F805" t="s">
        <v>768</v>
      </c>
      <c r="G805" t="s">
        <v>2929</v>
      </c>
      <c r="H805" t="s">
        <v>750</v>
      </c>
      <c r="I805" t="s">
        <v>537</v>
      </c>
    </row>
    <row r="806" spans="1:9" x14ac:dyDescent="0.25">
      <c r="A806" t="s">
        <v>564</v>
      </c>
      <c r="B806" t="s">
        <v>770</v>
      </c>
      <c r="C806" t="s">
        <v>2930</v>
      </c>
      <c r="E806" t="s">
        <v>767</v>
      </c>
      <c r="F806" t="s">
        <v>772</v>
      </c>
      <c r="G806" t="s">
        <v>2931</v>
      </c>
      <c r="H806" t="s">
        <v>750</v>
      </c>
      <c r="I806" t="s">
        <v>537</v>
      </c>
    </row>
    <row r="807" spans="1:9" x14ac:dyDescent="0.25">
      <c r="A807" t="s">
        <v>568</v>
      </c>
      <c r="B807" t="s">
        <v>571</v>
      </c>
      <c r="C807" t="s">
        <v>2932</v>
      </c>
      <c r="D807">
        <v>1</v>
      </c>
      <c r="E807" t="s">
        <v>747</v>
      </c>
      <c r="F807" t="s">
        <v>2933</v>
      </c>
      <c r="G807" t="s">
        <v>2934</v>
      </c>
      <c r="H807" t="s">
        <v>750</v>
      </c>
      <c r="I807" t="s">
        <v>537</v>
      </c>
    </row>
    <row r="808" spans="1:9" x14ac:dyDescent="0.25">
      <c r="A808" t="s">
        <v>568</v>
      </c>
      <c r="B808" t="s">
        <v>2935</v>
      </c>
      <c r="C808" t="s">
        <v>2936</v>
      </c>
      <c r="D808">
        <v>2</v>
      </c>
      <c r="E808" t="s">
        <v>747</v>
      </c>
      <c r="F808" t="s">
        <v>2937</v>
      </c>
      <c r="G808" t="s">
        <v>2934</v>
      </c>
      <c r="H808" t="s">
        <v>750</v>
      </c>
      <c r="I808" t="s">
        <v>537</v>
      </c>
    </row>
    <row r="809" spans="1:9" x14ac:dyDescent="0.25">
      <c r="A809" t="s">
        <v>568</v>
      </c>
      <c r="B809" t="s">
        <v>2938</v>
      </c>
      <c r="C809" t="s">
        <v>2939</v>
      </c>
      <c r="D809">
        <v>3</v>
      </c>
      <c r="E809" t="s">
        <v>747</v>
      </c>
      <c r="F809" t="s">
        <v>755</v>
      </c>
      <c r="G809" t="s">
        <v>2940</v>
      </c>
      <c r="H809" t="s">
        <v>750</v>
      </c>
      <c r="I809" t="s">
        <v>537</v>
      </c>
    </row>
    <row r="810" spans="1:9" x14ac:dyDescent="0.25">
      <c r="A810" t="s">
        <v>568</v>
      </c>
      <c r="B810" t="s">
        <v>2941</v>
      </c>
      <c r="C810" t="s">
        <v>2942</v>
      </c>
      <c r="D810">
        <v>4</v>
      </c>
      <c r="E810" t="s">
        <v>747</v>
      </c>
      <c r="F810" t="s">
        <v>758</v>
      </c>
      <c r="G810" t="s">
        <v>2943</v>
      </c>
      <c r="H810" t="s">
        <v>760</v>
      </c>
      <c r="I810" t="s">
        <v>537</v>
      </c>
    </row>
    <row r="811" spans="1:9" x14ac:dyDescent="0.25">
      <c r="A811" t="s">
        <v>568</v>
      </c>
      <c r="B811" t="s">
        <v>2944</v>
      </c>
      <c r="C811" t="s">
        <v>2945</v>
      </c>
      <c r="D811">
        <v>5</v>
      </c>
      <c r="E811" t="s">
        <v>747</v>
      </c>
      <c r="F811" t="s">
        <v>763</v>
      </c>
      <c r="G811" t="s">
        <v>2946</v>
      </c>
      <c r="H811" t="s">
        <v>760</v>
      </c>
      <c r="I811" t="s">
        <v>537</v>
      </c>
    </row>
    <row r="812" spans="1:9" x14ac:dyDescent="0.25">
      <c r="A812" t="s">
        <v>568</v>
      </c>
      <c r="B812" t="s">
        <v>765</v>
      </c>
      <c r="C812" t="s">
        <v>2947</v>
      </c>
      <c r="E812" t="s">
        <v>767</v>
      </c>
      <c r="F812" t="s">
        <v>768</v>
      </c>
      <c r="G812" t="s">
        <v>2948</v>
      </c>
      <c r="H812" t="s">
        <v>750</v>
      </c>
      <c r="I812" t="s">
        <v>537</v>
      </c>
    </row>
    <row r="813" spans="1:9" x14ac:dyDescent="0.25">
      <c r="A813" t="s">
        <v>568</v>
      </c>
      <c r="B813" t="s">
        <v>770</v>
      </c>
      <c r="C813" t="s">
        <v>2949</v>
      </c>
      <c r="E813" t="s">
        <v>767</v>
      </c>
      <c r="F813" t="s">
        <v>772</v>
      </c>
      <c r="G813" t="s">
        <v>2950</v>
      </c>
      <c r="H813" t="s">
        <v>750</v>
      </c>
      <c r="I813" t="s">
        <v>537</v>
      </c>
    </row>
    <row r="814" spans="1:9" x14ac:dyDescent="0.25">
      <c r="A814" t="s">
        <v>572</v>
      </c>
      <c r="B814" t="s">
        <v>576</v>
      </c>
      <c r="C814" t="s">
        <v>2951</v>
      </c>
      <c r="D814">
        <v>1</v>
      </c>
      <c r="E814" t="s">
        <v>747</v>
      </c>
      <c r="F814" t="s">
        <v>2952</v>
      </c>
      <c r="G814" t="s">
        <v>2953</v>
      </c>
      <c r="H814" t="s">
        <v>750</v>
      </c>
      <c r="I814" t="s">
        <v>537</v>
      </c>
    </row>
    <row r="815" spans="1:9" x14ac:dyDescent="0.25">
      <c r="A815" t="s">
        <v>572</v>
      </c>
      <c r="B815" t="s">
        <v>2954</v>
      </c>
      <c r="C815" t="s">
        <v>2955</v>
      </c>
      <c r="D815">
        <v>2</v>
      </c>
      <c r="E815" t="s">
        <v>747</v>
      </c>
      <c r="F815" t="s">
        <v>2956</v>
      </c>
      <c r="G815" t="s">
        <v>2953</v>
      </c>
      <c r="H815" t="s">
        <v>750</v>
      </c>
      <c r="I815" t="s">
        <v>537</v>
      </c>
    </row>
    <row r="816" spans="1:9" x14ac:dyDescent="0.25">
      <c r="A816" t="s">
        <v>572</v>
      </c>
      <c r="B816" t="s">
        <v>2957</v>
      </c>
      <c r="C816" t="s">
        <v>2958</v>
      </c>
      <c r="D816">
        <v>3</v>
      </c>
      <c r="E816" t="s">
        <v>747</v>
      </c>
      <c r="F816" t="s">
        <v>755</v>
      </c>
      <c r="G816" t="s">
        <v>2959</v>
      </c>
      <c r="H816" t="s">
        <v>750</v>
      </c>
      <c r="I816" t="s">
        <v>537</v>
      </c>
    </row>
    <row r="817" spans="1:9" x14ac:dyDescent="0.25">
      <c r="A817" t="s">
        <v>572</v>
      </c>
      <c r="B817" t="s">
        <v>2960</v>
      </c>
      <c r="C817" t="s">
        <v>2961</v>
      </c>
      <c r="D817">
        <v>4</v>
      </c>
      <c r="E817" t="s">
        <v>747</v>
      </c>
      <c r="F817" t="s">
        <v>758</v>
      </c>
      <c r="G817" t="s">
        <v>2962</v>
      </c>
      <c r="H817" t="s">
        <v>760</v>
      </c>
      <c r="I817" t="s">
        <v>537</v>
      </c>
    </row>
    <row r="818" spans="1:9" x14ac:dyDescent="0.25">
      <c r="A818" t="s">
        <v>572</v>
      </c>
      <c r="B818" t="s">
        <v>2963</v>
      </c>
      <c r="C818" t="s">
        <v>2964</v>
      </c>
      <c r="D818">
        <v>5</v>
      </c>
      <c r="E818" t="s">
        <v>747</v>
      </c>
      <c r="F818" t="s">
        <v>763</v>
      </c>
      <c r="G818" t="s">
        <v>2965</v>
      </c>
      <c r="H818" t="s">
        <v>760</v>
      </c>
      <c r="I818" t="s">
        <v>537</v>
      </c>
    </row>
    <row r="819" spans="1:9" x14ac:dyDescent="0.25">
      <c r="A819" t="s">
        <v>572</v>
      </c>
      <c r="B819" t="s">
        <v>765</v>
      </c>
      <c r="C819" t="s">
        <v>2966</v>
      </c>
      <c r="E819" t="s">
        <v>767</v>
      </c>
      <c r="F819" t="s">
        <v>768</v>
      </c>
      <c r="G819" t="s">
        <v>2967</v>
      </c>
      <c r="H819" t="s">
        <v>750</v>
      </c>
      <c r="I819" t="s">
        <v>537</v>
      </c>
    </row>
    <row r="820" spans="1:9" x14ac:dyDescent="0.25">
      <c r="A820" t="s">
        <v>572</v>
      </c>
      <c r="B820" t="s">
        <v>770</v>
      </c>
      <c r="C820" t="s">
        <v>2968</v>
      </c>
      <c r="E820" t="s">
        <v>767</v>
      </c>
      <c r="F820" t="s">
        <v>772</v>
      </c>
      <c r="G820" t="s">
        <v>2969</v>
      </c>
      <c r="H820" t="s">
        <v>750</v>
      </c>
      <c r="I820" t="s">
        <v>537</v>
      </c>
    </row>
    <row r="821" spans="1:9" x14ac:dyDescent="0.25">
      <c r="A821" t="s">
        <v>577</v>
      </c>
      <c r="B821" t="s">
        <v>580</v>
      </c>
      <c r="C821" t="s">
        <v>2970</v>
      </c>
      <c r="D821">
        <v>1</v>
      </c>
      <c r="E821" t="s">
        <v>747</v>
      </c>
      <c r="F821" t="s">
        <v>2971</v>
      </c>
      <c r="G821" t="s">
        <v>2972</v>
      </c>
      <c r="H821" t="s">
        <v>750</v>
      </c>
      <c r="I821" t="s">
        <v>537</v>
      </c>
    </row>
    <row r="822" spans="1:9" x14ac:dyDescent="0.25">
      <c r="A822" t="s">
        <v>577</v>
      </c>
      <c r="B822" t="s">
        <v>2973</v>
      </c>
      <c r="C822" t="s">
        <v>2974</v>
      </c>
      <c r="D822">
        <v>2</v>
      </c>
      <c r="E822" t="s">
        <v>747</v>
      </c>
      <c r="F822" t="s">
        <v>2729</v>
      </c>
      <c r="G822" t="s">
        <v>2972</v>
      </c>
      <c r="H822" t="s">
        <v>750</v>
      </c>
      <c r="I822" t="s">
        <v>537</v>
      </c>
    </row>
    <row r="823" spans="1:9" x14ac:dyDescent="0.25">
      <c r="A823" t="s">
        <v>577</v>
      </c>
      <c r="B823" t="s">
        <v>2975</v>
      </c>
      <c r="C823" t="s">
        <v>2976</v>
      </c>
      <c r="D823">
        <v>3</v>
      </c>
      <c r="E823" t="s">
        <v>747</v>
      </c>
      <c r="F823" t="s">
        <v>755</v>
      </c>
      <c r="G823" t="s">
        <v>2977</v>
      </c>
      <c r="H823" t="s">
        <v>750</v>
      </c>
      <c r="I823" t="s">
        <v>537</v>
      </c>
    </row>
    <row r="824" spans="1:9" x14ac:dyDescent="0.25">
      <c r="A824" t="s">
        <v>577</v>
      </c>
      <c r="B824" t="s">
        <v>2978</v>
      </c>
      <c r="C824" t="s">
        <v>2979</v>
      </c>
      <c r="D824">
        <v>4</v>
      </c>
      <c r="E824" t="s">
        <v>747</v>
      </c>
      <c r="F824" t="s">
        <v>758</v>
      </c>
      <c r="G824" t="s">
        <v>2980</v>
      </c>
      <c r="H824" t="s">
        <v>760</v>
      </c>
      <c r="I824" t="s">
        <v>537</v>
      </c>
    </row>
    <row r="825" spans="1:9" x14ac:dyDescent="0.25">
      <c r="A825" t="s">
        <v>577</v>
      </c>
      <c r="B825" t="s">
        <v>2981</v>
      </c>
      <c r="C825" t="s">
        <v>2982</v>
      </c>
      <c r="D825">
        <v>5</v>
      </c>
      <c r="E825" t="s">
        <v>747</v>
      </c>
      <c r="F825" t="s">
        <v>763</v>
      </c>
      <c r="G825" t="s">
        <v>2983</v>
      </c>
      <c r="H825" t="s">
        <v>760</v>
      </c>
      <c r="I825" t="s">
        <v>537</v>
      </c>
    </row>
    <row r="826" spans="1:9" x14ac:dyDescent="0.25">
      <c r="A826" t="s">
        <v>577</v>
      </c>
      <c r="B826" t="s">
        <v>765</v>
      </c>
      <c r="C826" t="s">
        <v>2984</v>
      </c>
      <c r="E826" t="s">
        <v>767</v>
      </c>
      <c r="F826" t="s">
        <v>768</v>
      </c>
      <c r="G826" t="s">
        <v>2985</v>
      </c>
      <c r="H826" t="s">
        <v>750</v>
      </c>
      <c r="I826" t="s">
        <v>537</v>
      </c>
    </row>
    <row r="827" spans="1:9" x14ac:dyDescent="0.25">
      <c r="A827" t="s">
        <v>577</v>
      </c>
      <c r="B827" t="s">
        <v>770</v>
      </c>
      <c r="C827" t="s">
        <v>2986</v>
      </c>
      <c r="E827" t="s">
        <v>767</v>
      </c>
      <c r="F827" t="s">
        <v>772</v>
      </c>
      <c r="G827" t="s">
        <v>2987</v>
      </c>
      <c r="H827" t="s">
        <v>750</v>
      </c>
      <c r="I827" t="s">
        <v>537</v>
      </c>
    </row>
    <row r="828" spans="1:9" x14ac:dyDescent="0.25">
      <c r="A828" t="s">
        <v>581</v>
      </c>
      <c r="B828" t="s">
        <v>584</v>
      </c>
      <c r="C828" t="s">
        <v>2988</v>
      </c>
      <c r="D828">
        <v>1</v>
      </c>
      <c r="E828" t="s">
        <v>747</v>
      </c>
      <c r="F828" t="s">
        <v>2989</v>
      </c>
      <c r="G828" t="s">
        <v>2990</v>
      </c>
      <c r="H828" t="s">
        <v>750</v>
      </c>
      <c r="I828" t="s">
        <v>537</v>
      </c>
    </row>
    <row r="829" spans="1:9" x14ac:dyDescent="0.25">
      <c r="A829" t="s">
        <v>581</v>
      </c>
      <c r="B829" t="s">
        <v>2991</v>
      </c>
      <c r="C829" t="s">
        <v>2992</v>
      </c>
      <c r="D829">
        <v>2</v>
      </c>
      <c r="E829" t="s">
        <v>747</v>
      </c>
      <c r="F829" t="s">
        <v>2993</v>
      </c>
      <c r="G829" t="s">
        <v>2990</v>
      </c>
      <c r="H829" t="s">
        <v>750</v>
      </c>
      <c r="I829" t="s">
        <v>537</v>
      </c>
    </row>
    <row r="830" spans="1:9" x14ac:dyDescent="0.25">
      <c r="A830" t="s">
        <v>581</v>
      </c>
      <c r="B830" t="s">
        <v>2994</v>
      </c>
      <c r="C830" t="s">
        <v>2995</v>
      </c>
      <c r="D830">
        <v>3</v>
      </c>
      <c r="E830" t="s">
        <v>747</v>
      </c>
      <c r="F830" t="s">
        <v>755</v>
      </c>
      <c r="G830" t="s">
        <v>2996</v>
      </c>
      <c r="H830" t="s">
        <v>750</v>
      </c>
      <c r="I830" t="s">
        <v>537</v>
      </c>
    </row>
    <row r="831" spans="1:9" x14ac:dyDescent="0.25">
      <c r="A831" t="s">
        <v>581</v>
      </c>
      <c r="B831" t="s">
        <v>2997</v>
      </c>
      <c r="C831" t="s">
        <v>2998</v>
      </c>
      <c r="D831">
        <v>4</v>
      </c>
      <c r="E831" t="s">
        <v>747</v>
      </c>
      <c r="F831" t="s">
        <v>758</v>
      </c>
      <c r="G831" t="s">
        <v>2999</v>
      </c>
      <c r="H831" t="s">
        <v>760</v>
      </c>
      <c r="I831" t="s">
        <v>537</v>
      </c>
    </row>
    <row r="832" spans="1:9" x14ac:dyDescent="0.25">
      <c r="A832" t="s">
        <v>581</v>
      </c>
      <c r="B832" t="s">
        <v>3000</v>
      </c>
      <c r="C832" t="s">
        <v>3001</v>
      </c>
      <c r="D832">
        <v>5</v>
      </c>
      <c r="E832" t="s">
        <v>747</v>
      </c>
      <c r="F832" t="s">
        <v>763</v>
      </c>
      <c r="G832" t="s">
        <v>3002</v>
      </c>
      <c r="H832" t="s">
        <v>760</v>
      </c>
      <c r="I832" t="s">
        <v>537</v>
      </c>
    </row>
    <row r="833" spans="1:9" x14ac:dyDescent="0.25">
      <c r="A833" t="s">
        <v>581</v>
      </c>
      <c r="B833" t="s">
        <v>765</v>
      </c>
      <c r="C833" t="s">
        <v>3003</v>
      </c>
      <c r="E833" t="s">
        <v>767</v>
      </c>
      <c r="F833" t="s">
        <v>768</v>
      </c>
      <c r="G833" t="s">
        <v>3004</v>
      </c>
      <c r="H833" t="s">
        <v>750</v>
      </c>
      <c r="I833" t="s">
        <v>537</v>
      </c>
    </row>
    <row r="834" spans="1:9" x14ac:dyDescent="0.25">
      <c r="A834" t="s">
        <v>581</v>
      </c>
      <c r="B834" t="s">
        <v>770</v>
      </c>
      <c r="C834" t="s">
        <v>3005</v>
      </c>
      <c r="E834" t="s">
        <v>767</v>
      </c>
      <c r="F834" t="s">
        <v>772</v>
      </c>
      <c r="G834" t="s">
        <v>3006</v>
      </c>
      <c r="H834" t="s">
        <v>750</v>
      </c>
      <c r="I834" t="s">
        <v>537</v>
      </c>
    </row>
    <row r="835" spans="1:9" x14ac:dyDescent="0.25">
      <c r="A835" t="s">
        <v>585</v>
      </c>
      <c r="B835" t="s">
        <v>588</v>
      </c>
      <c r="C835" t="s">
        <v>3007</v>
      </c>
      <c r="D835">
        <v>1</v>
      </c>
      <c r="E835" t="s">
        <v>747</v>
      </c>
      <c r="F835" t="s">
        <v>3008</v>
      </c>
      <c r="G835" t="s">
        <v>3009</v>
      </c>
      <c r="H835" t="s">
        <v>750</v>
      </c>
      <c r="I835" t="s">
        <v>537</v>
      </c>
    </row>
    <row r="836" spans="1:9" x14ac:dyDescent="0.25">
      <c r="A836" t="s">
        <v>585</v>
      </c>
      <c r="B836" t="s">
        <v>3010</v>
      </c>
      <c r="C836" t="s">
        <v>3011</v>
      </c>
      <c r="D836">
        <v>2</v>
      </c>
      <c r="E836" t="s">
        <v>747</v>
      </c>
      <c r="F836" t="s">
        <v>3012</v>
      </c>
      <c r="G836" t="s">
        <v>3009</v>
      </c>
      <c r="H836" t="s">
        <v>750</v>
      </c>
      <c r="I836" t="s">
        <v>537</v>
      </c>
    </row>
    <row r="837" spans="1:9" x14ac:dyDescent="0.25">
      <c r="A837" t="s">
        <v>585</v>
      </c>
      <c r="B837" t="s">
        <v>3013</v>
      </c>
      <c r="C837" t="s">
        <v>3014</v>
      </c>
      <c r="D837">
        <v>3</v>
      </c>
      <c r="E837" t="s">
        <v>747</v>
      </c>
      <c r="F837" t="s">
        <v>755</v>
      </c>
      <c r="G837" t="s">
        <v>3015</v>
      </c>
      <c r="H837" t="s">
        <v>750</v>
      </c>
      <c r="I837" t="s">
        <v>537</v>
      </c>
    </row>
    <row r="838" spans="1:9" x14ac:dyDescent="0.25">
      <c r="A838" t="s">
        <v>585</v>
      </c>
      <c r="B838" t="s">
        <v>3016</v>
      </c>
      <c r="C838" t="s">
        <v>3017</v>
      </c>
      <c r="D838">
        <v>4</v>
      </c>
      <c r="E838" t="s">
        <v>747</v>
      </c>
      <c r="F838" t="s">
        <v>758</v>
      </c>
      <c r="G838" t="s">
        <v>3018</v>
      </c>
      <c r="H838" t="s">
        <v>760</v>
      </c>
      <c r="I838" t="s">
        <v>537</v>
      </c>
    </row>
    <row r="839" spans="1:9" x14ac:dyDescent="0.25">
      <c r="A839" t="s">
        <v>585</v>
      </c>
      <c r="B839" t="s">
        <v>3019</v>
      </c>
      <c r="C839" t="s">
        <v>3020</v>
      </c>
      <c r="D839">
        <v>5</v>
      </c>
      <c r="E839" t="s">
        <v>747</v>
      </c>
      <c r="F839" t="s">
        <v>763</v>
      </c>
      <c r="G839" t="s">
        <v>3021</v>
      </c>
      <c r="H839" t="s">
        <v>760</v>
      </c>
      <c r="I839" t="s">
        <v>537</v>
      </c>
    </row>
    <row r="840" spans="1:9" x14ac:dyDescent="0.25">
      <c r="A840" t="s">
        <v>585</v>
      </c>
      <c r="B840" t="s">
        <v>765</v>
      </c>
      <c r="C840" t="s">
        <v>3022</v>
      </c>
      <c r="E840" t="s">
        <v>767</v>
      </c>
      <c r="F840" t="s">
        <v>768</v>
      </c>
      <c r="G840" t="s">
        <v>3023</v>
      </c>
      <c r="H840" t="s">
        <v>750</v>
      </c>
      <c r="I840" t="s">
        <v>537</v>
      </c>
    </row>
    <row r="841" spans="1:9" x14ac:dyDescent="0.25">
      <c r="A841" t="s">
        <v>585</v>
      </c>
      <c r="B841" t="s">
        <v>770</v>
      </c>
      <c r="C841" t="s">
        <v>3024</v>
      </c>
      <c r="E841" t="s">
        <v>767</v>
      </c>
      <c r="F841" t="s">
        <v>772</v>
      </c>
      <c r="G841" t="s">
        <v>3025</v>
      </c>
      <c r="H841" t="s">
        <v>750</v>
      </c>
      <c r="I841" t="s">
        <v>537</v>
      </c>
    </row>
    <row r="842" spans="1:9" x14ac:dyDescent="0.25">
      <c r="A842" t="s">
        <v>589</v>
      </c>
      <c r="B842" t="s">
        <v>593</v>
      </c>
      <c r="C842" t="s">
        <v>3026</v>
      </c>
      <c r="D842">
        <v>1</v>
      </c>
      <c r="E842" t="s">
        <v>747</v>
      </c>
      <c r="F842" t="s">
        <v>3027</v>
      </c>
      <c r="G842" t="s">
        <v>3028</v>
      </c>
      <c r="H842" t="s">
        <v>750</v>
      </c>
      <c r="I842" t="s">
        <v>537</v>
      </c>
    </row>
    <row r="843" spans="1:9" x14ac:dyDescent="0.25">
      <c r="A843" t="s">
        <v>589</v>
      </c>
      <c r="B843" t="s">
        <v>3029</v>
      </c>
      <c r="C843" t="s">
        <v>3030</v>
      </c>
      <c r="D843">
        <v>2</v>
      </c>
      <c r="E843" t="s">
        <v>747</v>
      </c>
      <c r="F843" t="s">
        <v>3031</v>
      </c>
      <c r="G843" t="s">
        <v>3028</v>
      </c>
      <c r="H843" t="s">
        <v>750</v>
      </c>
      <c r="I843" t="s">
        <v>537</v>
      </c>
    </row>
    <row r="844" spans="1:9" x14ac:dyDescent="0.25">
      <c r="A844" t="s">
        <v>589</v>
      </c>
      <c r="B844" t="s">
        <v>3032</v>
      </c>
      <c r="C844" t="s">
        <v>3033</v>
      </c>
      <c r="D844">
        <v>3</v>
      </c>
      <c r="E844" t="s">
        <v>747</v>
      </c>
      <c r="F844" t="s">
        <v>755</v>
      </c>
      <c r="G844" t="s">
        <v>3034</v>
      </c>
      <c r="H844" t="s">
        <v>750</v>
      </c>
      <c r="I844" t="s">
        <v>537</v>
      </c>
    </row>
    <row r="845" spans="1:9" x14ac:dyDescent="0.25">
      <c r="A845" t="s">
        <v>589</v>
      </c>
      <c r="B845" t="s">
        <v>3035</v>
      </c>
      <c r="C845" t="s">
        <v>3036</v>
      </c>
      <c r="D845">
        <v>4</v>
      </c>
      <c r="E845" t="s">
        <v>747</v>
      </c>
      <c r="F845" t="s">
        <v>758</v>
      </c>
      <c r="G845" t="s">
        <v>3037</v>
      </c>
      <c r="H845" t="s">
        <v>760</v>
      </c>
      <c r="I845" t="s">
        <v>537</v>
      </c>
    </row>
    <row r="846" spans="1:9" x14ac:dyDescent="0.25">
      <c r="A846" t="s">
        <v>589</v>
      </c>
      <c r="B846" t="s">
        <v>3038</v>
      </c>
      <c r="C846" t="s">
        <v>3039</v>
      </c>
      <c r="D846">
        <v>5</v>
      </c>
      <c r="E846" t="s">
        <v>747</v>
      </c>
      <c r="F846" t="s">
        <v>763</v>
      </c>
      <c r="G846" t="s">
        <v>3040</v>
      </c>
      <c r="H846" t="s">
        <v>760</v>
      </c>
      <c r="I846" t="s">
        <v>537</v>
      </c>
    </row>
    <row r="847" spans="1:9" x14ac:dyDescent="0.25">
      <c r="A847" t="s">
        <v>589</v>
      </c>
      <c r="B847" t="s">
        <v>765</v>
      </c>
      <c r="C847" t="s">
        <v>3041</v>
      </c>
      <c r="E847" t="s">
        <v>767</v>
      </c>
      <c r="F847" t="s">
        <v>768</v>
      </c>
      <c r="G847" t="s">
        <v>3042</v>
      </c>
      <c r="H847" t="s">
        <v>750</v>
      </c>
      <c r="I847" t="s">
        <v>537</v>
      </c>
    </row>
    <row r="848" spans="1:9" x14ac:dyDescent="0.25">
      <c r="A848" t="s">
        <v>589</v>
      </c>
      <c r="B848" t="s">
        <v>770</v>
      </c>
      <c r="C848" t="s">
        <v>3043</v>
      </c>
      <c r="E848" t="s">
        <v>767</v>
      </c>
      <c r="F848" t="s">
        <v>772</v>
      </c>
      <c r="G848" t="s">
        <v>3044</v>
      </c>
      <c r="H848" t="s">
        <v>750</v>
      </c>
      <c r="I848" t="s">
        <v>537</v>
      </c>
    </row>
    <row r="849" spans="1:9" x14ac:dyDescent="0.25">
      <c r="A849" t="s">
        <v>594</v>
      </c>
      <c r="B849" t="s">
        <v>597</v>
      </c>
      <c r="C849" t="s">
        <v>3045</v>
      </c>
      <c r="D849">
        <v>1</v>
      </c>
      <c r="E849" t="s">
        <v>747</v>
      </c>
      <c r="F849" t="s">
        <v>3046</v>
      </c>
      <c r="G849" t="s">
        <v>3047</v>
      </c>
      <c r="H849" t="s">
        <v>750</v>
      </c>
      <c r="I849" t="s">
        <v>537</v>
      </c>
    </row>
    <row r="850" spans="1:9" x14ac:dyDescent="0.25">
      <c r="A850" t="s">
        <v>594</v>
      </c>
      <c r="B850" t="s">
        <v>3048</v>
      </c>
      <c r="C850" t="s">
        <v>3049</v>
      </c>
      <c r="D850">
        <v>2</v>
      </c>
      <c r="E850" t="s">
        <v>747</v>
      </c>
      <c r="F850" t="s">
        <v>3050</v>
      </c>
      <c r="G850" t="s">
        <v>3047</v>
      </c>
      <c r="H850" t="s">
        <v>750</v>
      </c>
      <c r="I850" t="s">
        <v>537</v>
      </c>
    </row>
    <row r="851" spans="1:9" x14ac:dyDescent="0.25">
      <c r="A851" t="s">
        <v>594</v>
      </c>
      <c r="B851" t="s">
        <v>3051</v>
      </c>
      <c r="C851" t="s">
        <v>3052</v>
      </c>
      <c r="D851">
        <v>3</v>
      </c>
      <c r="E851" t="s">
        <v>747</v>
      </c>
      <c r="F851" t="s">
        <v>755</v>
      </c>
      <c r="G851" t="s">
        <v>3053</v>
      </c>
      <c r="H851" t="s">
        <v>750</v>
      </c>
      <c r="I851" t="s">
        <v>537</v>
      </c>
    </row>
    <row r="852" spans="1:9" x14ac:dyDescent="0.25">
      <c r="A852" t="s">
        <v>594</v>
      </c>
      <c r="B852" t="s">
        <v>3054</v>
      </c>
      <c r="C852" t="s">
        <v>3055</v>
      </c>
      <c r="D852">
        <v>4</v>
      </c>
      <c r="E852" t="s">
        <v>747</v>
      </c>
      <c r="F852" t="s">
        <v>758</v>
      </c>
      <c r="G852" t="s">
        <v>3056</v>
      </c>
      <c r="H852" t="s">
        <v>760</v>
      </c>
      <c r="I852" t="s">
        <v>537</v>
      </c>
    </row>
    <row r="853" spans="1:9" x14ac:dyDescent="0.25">
      <c r="A853" t="s">
        <v>594</v>
      </c>
      <c r="B853" t="s">
        <v>3057</v>
      </c>
      <c r="C853" t="s">
        <v>3058</v>
      </c>
      <c r="D853">
        <v>5</v>
      </c>
      <c r="E853" t="s">
        <v>747</v>
      </c>
      <c r="F853" t="s">
        <v>763</v>
      </c>
      <c r="G853" t="s">
        <v>3059</v>
      </c>
      <c r="H853" t="s">
        <v>760</v>
      </c>
      <c r="I853" t="s">
        <v>537</v>
      </c>
    </row>
    <row r="854" spans="1:9" x14ac:dyDescent="0.25">
      <c r="A854" t="s">
        <v>594</v>
      </c>
      <c r="B854" t="s">
        <v>765</v>
      </c>
      <c r="C854" t="s">
        <v>3060</v>
      </c>
      <c r="E854" t="s">
        <v>767</v>
      </c>
      <c r="F854" t="s">
        <v>768</v>
      </c>
      <c r="G854" t="s">
        <v>3061</v>
      </c>
      <c r="H854" t="s">
        <v>750</v>
      </c>
      <c r="I854" t="s">
        <v>537</v>
      </c>
    </row>
    <row r="855" spans="1:9" x14ac:dyDescent="0.25">
      <c r="A855" t="s">
        <v>594</v>
      </c>
      <c r="B855" t="s">
        <v>770</v>
      </c>
      <c r="C855" t="s">
        <v>3062</v>
      </c>
      <c r="E855" t="s">
        <v>767</v>
      </c>
      <c r="F855" t="s">
        <v>772</v>
      </c>
      <c r="G855" t="s">
        <v>3063</v>
      </c>
      <c r="H855" t="s">
        <v>750</v>
      </c>
      <c r="I855" t="s">
        <v>537</v>
      </c>
    </row>
    <row r="856" spans="1:9" x14ac:dyDescent="0.25">
      <c r="A856" t="s">
        <v>598</v>
      </c>
      <c r="B856" t="s">
        <v>601</v>
      </c>
      <c r="C856" t="s">
        <v>3064</v>
      </c>
      <c r="D856">
        <v>1</v>
      </c>
      <c r="E856" t="s">
        <v>747</v>
      </c>
      <c r="F856" t="s">
        <v>3065</v>
      </c>
      <c r="G856" t="s">
        <v>3066</v>
      </c>
      <c r="H856" t="s">
        <v>750</v>
      </c>
      <c r="I856" t="s">
        <v>537</v>
      </c>
    </row>
    <row r="857" spans="1:9" x14ac:dyDescent="0.25">
      <c r="A857" t="s">
        <v>598</v>
      </c>
      <c r="B857" t="s">
        <v>3067</v>
      </c>
      <c r="C857" t="s">
        <v>3068</v>
      </c>
      <c r="D857">
        <v>2</v>
      </c>
      <c r="E857" t="s">
        <v>747</v>
      </c>
      <c r="F857" t="s">
        <v>3069</v>
      </c>
      <c r="G857" t="s">
        <v>3066</v>
      </c>
      <c r="H857" t="s">
        <v>750</v>
      </c>
      <c r="I857" t="s">
        <v>537</v>
      </c>
    </row>
    <row r="858" spans="1:9" x14ac:dyDescent="0.25">
      <c r="A858" t="s">
        <v>598</v>
      </c>
      <c r="B858" t="s">
        <v>3070</v>
      </c>
      <c r="C858" t="s">
        <v>3071</v>
      </c>
      <c r="D858">
        <v>3</v>
      </c>
      <c r="E858" t="s">
        <v>747</v>
      </c>
      <c r="F858" t="s">
        <v>755</v>
      </c>
      <c r="G858" t="s">
        <v>3072</v>
      </c>
      <c r="H858" t="s">
        <v>750</v>
      </c>
      <c r="I858" t="s">
        <v>537</v>
      </c>
    </row>
    <row r="859" spans="1:9" x14ac:dyDescent="0.25">
      <c r="A859" t="s">
        <v>598</v>
      </c>
      <c r="B859" t="s">
        <v>3073</v>
      </c>
      <c r="C859" t="s">
        <v>3074</v>
      </c>
      <c r="D859">
        <v>4</v>
      </c>
      <c r="E859" t="s">
        <v>747</v>
      </c>
      <c r="F859" t="s">
        <v>758</v>
      </c>
      <c r="G859" t="s">
        <v>3075</v>
      </c>
      <c r="H859" t="s">
        <v>760</v>
      </c>
      <c r="I859" t="s">
        <v>537</v>
      </c>
    </row>
    <row r="860" spans="1:9" x14ac:dyDescent="0.25">
      <c r="A860" t="s">
        <v>598</v>
      </c>
      <c r="B860" t="s">
        <v>3076</v>
      </c>
      <c r="C860" t="s">
        <v>3077</v>
      </c>
      <c r="D860">
        <v>5</v>
      </c>
      <c r="E860" t="s">
        <v>747</v>
      </c>
      <c r="F860" t="s">
        <v>763</v>
      </c>
      <c r="G860" t="s">
        <v>3078</v>
      </c>
      <c r="H860" t="s">
        <v>760</v>
      </c>
      <c r="I860" t="s">
        <v>537</v>
      </c>
    </row>
    <row r="861" spans="1:9" x14ac:dyDescent="0.25">
      <c r="A861" t="s">
        <v>598</v>
      </c>
      <c r="B861" t="s">
        <v>765</v>
      </c>
      <c r="C861" t="s">
        <v>3079</v>
      </c>
      <c r="E861" t="s">
        <v>767</v>
      </c>
      <c r="F861" t="s">
        <v>768</v>
      </c>
      <c r="G861" t="s">
        <v>3080</v>
      </c>
      <c r="H861" t="s">
        <v>750</v>
      </c>
      <c r="I861" t="s">
        <v>537</v>
      </c>
    </row>
    <row r="862" spans="1:9" x14ac:dyDescent="0.25">
      <c r="A862" t="s">
        <v>598</v>
      </c>
      <c r="B862" t="s">
        <v>770</v>
      </c>
      <c r="C862" t="s">
        <v>3081</v>
      </c>
      <c r="E862" t="s">
        <v>767</v>
      </c>
      <c r="F862" t="s">
        <v>772</v>
      </c>
      <c r="G862" t="s">
        <v>3082</v>
      </c>
      <c r="H862" t="s">
        <v>750</v>
      </c>
      <c r="I862" t="s">
        <v>537</v>
      </c>
    </row>
    <row r="863" spans="1:9" x14ac:dyDescent="0.25">
      <c r="A863" t="s">
        <v>602</v>
      </c>
      <c r="B863" t="s">
        <v>605</v>
      </c>
      <c r="C863" t="s">
        <v>3083</v>
      </c>
      <c r="D863">
        <v>1</v>
      </c>
      <c r="E863" t="s">
        <v>747</v>
      </c>
      <c r="F863" t="s">
        <v>3084</v>
      </c>
      <c r="G863" t="s">
        <v>3085</v>
      </c>
      <c r="H863" t="s">
        <v>750</v>
      </c>
      <c r="I863" t="s">
        <v>537</v>
      </c>
    </row>
    <row r="864" spans="1:9" x14ac:dyDescent="0.25">
      <c r="A864" t="s">
        <v>602</v>
      </c>
      <c r="B864" t="s">
        <v>3086</v>
      </c>
      <c r="C864" t="s">
        <v>3087</v>
      </c>
      <c r="D864">
        <v>2</v>
      </c>
      <c r="E864" t="s">
        <v>747</v>
      </c>
      <c r="F864" t="s">
        <v>3088</v>
      </c>
      <c r="G864" t="s">
        <v>3085</v>
      </c>
      <c r="H864" t="s">
        <v>750</v>
      </c>
      <c r="I864" t="s">
        <v>537</v>
      </c>
    </row>
    <row r="865" spans="1:9" x14ac:dyDescent="0.25">
      <c r="A865" t="s">
        <v>602</v>
      </c>
      <c r="B865" t="s">
        <v>3089</v>
      </c>
      <c r="C865" t="s">
        <v>3090</v>
      </c>
      <c r="D865">
        <v>3</v>
      </c>
      <c r="E865" t="s">
        <v>747</v>
      </c>
      <c r="F865" t="s">
        <v>755</v>
      </c>
      <c r="G865" t="s">
        <v>3091</v>
      </c>
      <c r="H865" t="s">
        <v>750</v>
      </c>
      <c r="I865" t="s">
        <v>537</v>
      </c>
    </row>
    <row r="866" spans="1:9" x14ac:dyDescent="0.25">
      <c r="A866" t="s">
        <v>602</v>
      </c>
      <c r="B866" t="s">
        <v>3092</v>
      </c>
      <c r="C866" t="s">
        <v>3093</v>
      </c>
      <c r="D866">
        <v>4</v>
      </c>
      <c r="E866" t="s">
        <v>747</v>
      </c>
      <c r="F866" t="s">
        <v>758</v>
      </c>
      <c r="G866" t="s">
        <v>3094</v>
      </c>
      <c r="H866" t="s">
        <v>760</v>
      </c>
      <c r="I866" t="s">
        <v>537</v>
      </c>
    </row>
    <row r="867" spans="1:9" x14ac:dyDescent="0.25">
      <c r="A867" t="s">
        <v>602</v>
      </c>
      <c r="B867" t="s">
        <v>3095</v>
      </c>
      <c r="C867" t="s">
        <v>3096</v>
      </c>
      <c r="D867">
        <v>5</v>
      </c>
      <c r="E867" t="s">
        <v>747</v>
      </c>
      <c r="F867" t="s">
        <v>763</v>
      </c>
      <c r="G867" t="s">
        <v>3097</v>
      </c>
      <c r="H867" t="s">
        <v>760</v>
      </c>
      <c r="I867" t="s">
        <v>537</v>
      </c>
    </row>
    <row r="868" spans="1:9" x14ac:dyDescent="0.25">
      <c r="A868" t="s">
        <v>602</v>
      </c>
      <c r="B868" t="s">
        <v>765</v>
      </c>
      <c r="C868" t="s">
        <v>3098</v>
      </c>
      <c r="E868" t="s">
        <v>767</v>
      </c>
      <c r="F868" t="s">
        <v>768</v>
      </c>
      <c r="G868" t="s">
        <v>3099</v>
      </c>
      <c r="H868" t="s">
        <v>750</v>
      </c>
      <c r="I868" t="s">
        <v>537</v>
      </c>
    </row>
    <row r="869" spans="1:9" x14ac:dyDescent="0.25">
      <c r="A869" t="s">
        <v>602</v>
      </c>
      <c r="B869" t="s">
        <v>770</v>
      </c>
      <c r="C869" t="s">
        <v>3100</v>
      </c>
      <c r="E869" t="s">
        <v>767</v>
      </c>
      <c r="F869" t="s">
        <v>772</v>
      </c>
      <c r="G869" t="s">
        <v>3101</v>
      </c>
      <c r="H869" t="s">
        <v>750</v>
      </c>
      <c r="I869" t="s">
        <v>537</v>
      </c>
    </row>
    <row r="870" spans="1:9" x14ac:dyDescent="0.25">
      <c r="A870" t="s">
        <v>606</v>
      </c>
      <c r="B870" t="s">
        <v>611</v>
      </c>
      <c r="C870" t="s">
        <v>3102</v>
      </c>
      <c r="D870">
        <v>1</v>
      </c>
      <c r="E870" t="s">
        <v>747</v>
      </c>
      <c r="F870" t="s">
        <v>3103</v>
      </c>
      <c r="G870" t="s">
        <v>3104</v>
      </c>
      <c r="H870" t="s">
        <v>750</v>
      </c>
      <c r="I870" t="s">
        <v>607</v>
      </c>
    </row>
    <row r="871" spans="1:9" x14ac:dyDescent="0.25">
      <c r="A871" t="s">
        <v>606</v>
      </c>
      <c r="B871" t="s">
        <v>3105</v>
      </c>
      <c r="C871" t="s">
        <v>3106</v>
      </c>
      <c r="D871">
        <v>2</v>
      </c>
      <c r="E871" t="s">
        <v>747</v>
      </c>
      <c r="F871" t="s">
        <v>3107</v>
      </c>
      <c r="G871" t="s">
        <v>3104</v>
      </c>
      <c r="H871" t="s">
        <v>750</v>
      </c>
      <c r="I871" t="s">
        <v>607</v>
      </c>
    </row>
    <row r="872" spans="1:9" x14ac:dyDescent="0.25">
      <c r="A872" t="s">
        <v>606</v>
      </c>
      <c r="B872" t="s">
        <v>3108</v>
      </c>
      <c r="C872" t="s">
        <v>3109</v>
      </c>
      <c r="D872">
        <v>3</v>
      </c>
      <c r="E872" t="s">
        <v>747</v>
      </c>
      <c r="F872" t="s">
        <v>755</v>
      </c>
      <c r="G872" t="s">
        <v>3110</v>
      </c>
      <c r="H872" t="s">
        <v>750</v>
      </c>
      <c r="I872" t="s">
        <v>607</v>
      </c>
    </row>
    <row r="873" spans="1:9" x14ac:dyDescent="0.25">
      <c r="A873" t="s">
        <v>606</v>
      </c>
      <c r="B873" t="s">
        <v>3111</v>
      </c>
      <c r="C873" t="s">
        <v>3112</v>
      </c>
      <c r="D873">
        <v>4</v>
      </c>
      <c r="E873" t="s">
        <v>747</v>
      </c>
      <c r="F873" t="s">
        <v>758</v>
      </c>
      <c r="G873" t="s">
        <v>3113</v>
      </c>
      <c r="H873" t="s">
        <v>760</v>
      </c>
      <c r="I873" t="s">
        <v>607</v>
      </c>
    </row>
    <row r="874" spans="1:9" x14ac:dyDescent="0.25">
      <c r="A874" t="s">
        <v>606</v>
      </c>
      <c r="B874" t="s">
        <v>3114</v>
      </c>
      <c r="C874" t="s">
        <v>3115</v>
      </c>
      <c r="D874">
        <v>5</v>
      </c>
      <c r="E874" t="s">
        <v>747</v>
      </c>
      <c r="F874" t="s">
        <v>763</v>
      </c>
      <c r="G874" t="s">
        <v>3116</v>
      </c>
      <c r="H874" t="s">
        <v>760</v>
      </c>
      <c r="I874" t="s">
        <v>607</v>
      </c>
    </row>
    <row r="875" spans="1:9" x14ac:dyDescent="0.25">
      <c r="A875" t="s">
        <v>606</v>
      </c>
      <c r="B875" t="s">
        <v>765</v>
      </c>
      <c r="C875" t="s">
        <v>3117</v>
      </c>
      <c r="E875" t="s">
        <v>767</v>
      </c>
      <c r="F875" t="s">
        <v>768</v>
      </c>
      <c r="G875" t="s">
        <v>3118</v>
      </c>
      <c r="H875" t="s">
        <v>750</v>
      </c>
      <c r="I875" t="s">
        <v>607</v>
      </c>
    </row>
    <row r="876" spans="1:9" x14ac:dyDescent="0.25">
      <c r="A876" t="s">
        <v>606</v>
      </c>
      <c r="B876" t="s">
        <v>770</v>
      </c>
      <c r="C876" t="s">
        <v>3119</v>
      </c>
      <c r="E876" t="s">
        <v>767</v>
      </c>
      <c r="F876" t="s">
        <v>772</v>
      </c>
      <c r="G876" t="s">
        <v>3120</v>
      </c>
      <c r="H876" t="s">
        <v>750</v>
      </c>
      <c r="I876" t="s">
        <v>607</v>
      </c>
    </row>
    <row r="877" spans="1:9" x14ac:dyDescent="0.25">
      <c r="A877" t="s">
        <v>612</v>
      </c>
      <c r="B877" t="s">
        <v>615</v>
      </c>
      <c r="C877" t="s">
        <v>3121</v>
      </c>
      <c r="D877">
        <v>1</v>
      </c>
      <c r="E877" t="s">
        <v>747</v>
      </c>
      <c r="F877" t="s">
        <v>3122</v>
      </c>
      <c r="G877" t="s">
        <v>3123</v>
      </c>
      <c r="H877" t="s">
        <v>750</v>
      </c>
      <c r="I877" t="s">
        <v>607</v>
      </c>
    </row>
    <row r="878" spans="1:9" x14ac:dyDescent="0.25">
      <c r="A878" t="s">
        <v>612</v>
      </c>
      <c r="B878" t="s">
        <v>3124</v>
      </c>
      <c r="C878" t="s">
        <v>3125</v>
      </c>
      <c r="D878">
        <v>2</v>
      </c>
      <c r="E878" t="s">
        <v>747</v>
      </c>
      <c r="F878" t="s">
        <v>3126</v>
      </c>
      <c r="G878" t="s">
        <v>3123</v>
      </c>
      <c r="H878" t="s">
        <v>750</v>
      </c>
      <c r="I878" t="s">
        <v>607</v>
      </c>
    </row>
    <row r="879" spans="1:9" x14ac:dyDescent="0.25">
      <c r="A879" t="s">
        <v>612</v>
      </c>
      <c r="B879" t="s">
        <v>3127</v>
      </c>
      <c r="C879" t="s">
        <v>3128</v>
      </c>
      <c r="D879">
        <v>3</v>
      </c>
      <c r="E879" t="s">
        <v>747</v>
      </c>
      <c r="F879" t="s">
        <v>755</v>
      </c>
      <c r="G879" t="s">
        <v>3129</v>
      </c>
      <c r="H879" t="s">
        <v>750</v>
      </c>
      <c r="I879" t="s">
        <v>607</v>
      </c>
    </row>
    <row r="880" spans="1:9" x14ac:dyDescent="0.25">
      <c r="A880" t="s">
        <v>612</v>
      </c>
      <c r="B880" t="s">
        <v>3130</v>
      </c>
      <c r="C880" t="s">
        <v>3131</v>
      </c>
      <c r="D880">
        <v>4</v>
      </c>
      <c r="E880" t="s">
        <v>747</v>
      </c>
      <c r="F880" t="s">
        <v>758</v>
      </c>
      <c r="G880" t="s">
        <v>3132</v>
      </c>
      <c r="H880" t="s">
        <v>760</v>
      </c>
      <c r="I880" t="s">
        <v>607</v>
      </c>
    </row>
    <row r="881" spans="1:9" x14ac:dyDescent="0.25">
      <c r="A881" t="s">
        <v>612</v>
      </c>
      <c r="B881" t="s">
        <v>3133</v>
      </c>
      <c r="C881" t="s">
        <v>3134</v>
      </c>
      <c r="D881">
        <v>5</v>
      </c>
      <c r="E881" t="s">
        <v>747</v>
      </c>
      <c r="F881" t="s">
        <v>763</v>
      </c>
      <c r="G881" t="s">
        <v>3135</v>
      </c>
      <c r="H881" t="s">
        <v>760</v>
      </c>
      <c r="I881" t="s">
        <v>607</v>
      </c>
    </row>
    <row r="882" spans="1:9" x14ac:dyDescent="0.25">
      <c r="A882" t="s">
        <v>612</v>
      </c>
      <c r="B882" t="s">
        <v>765</v>
      </c>
      <c r="C882" t="s">
        <v>3136</v>
      </c>
      <c r="E882" t="s">
        <v>767</v>
      </c>
      <c r="F882" t="s">
        <v>768</v>
      </c>
      <c r="G882" t="s">
        <v>3137</v>
      </c>
      <c r="H882" t="s">
        <v>750</v>
      </c>
      <c r="I882" t="s">
        <v>607</v>
      </c>
    </row>
    <row r="883" spans="1:9" x14ac:dyDescent="0.25">
      <c r="A883" t="s">
        <v>612</v>
      </c>
      <c r="B883" t="s">
        <v>770</v>
      </c>
      <c r="C883" t="s">
        <v>3138</v>
      </c>
      <c r="E883" t="s">
        <v>767</v>
      </c>
      <c r="F883" t="s">
        <v>772</v>
      </c>
      <c r="G883" t="s">
        <v>3139</v>
      </c>
      <c r="H883" t="s">
        <v>750</v>
      </c>
      <c r="I883" t="s">
        <v>607</v>
      </c>
    </row>
    <row r="884" spans="1:9" x14ac:dyDescent="0.25">
      <c r="A884" t="s">
        <v>616</v>
      </c>
      <c r="B884" t="s">
        <v>619</v>
      </c>
      <c r="C884" t="s">
        <v>3140</v>
      </c>
      <c r="D884">
        <v>1</v>
      </c>
      <c r="E884" t="s">
        <v>747</v>
      </c>
      <c r="F884" t="s">
        <v>3141</v>
      </c>
      <c r="G884" t="s">
        <v>3142</v>
      </c>
      <c r="H884" t="s">
        <v>750</v>
      </c>
      <c r="I884" t="s">
        <v>607</v>
      </c>
    </row>
    <row r="885" spans="1:9" x14ac:dyDescent="0.25">
      <c r="A885" t="s">
        <v>616</v>
      </c>
      <c r="B885" t="s">
        <v>3143</v>
      </c>
      <c r="C885" t="s">
        <v>3144</v>
      </c>
      <c r="D885">
        <v>2</v>
      </c>
      <c r="E885" t="s">
        <v>747</v>
      </c>
      <c r="F885" t="s">
        <v>3145</v>
      </c>
      <c r="G885" t="s">
        <v>3142</v>
      </c>
      <c r="H885" t="s">
        <v>750</v>
      </c>
      <c r="I885" t="s">
        <v>607</v>
      </c>
    </row>
    <row r="886" spans="1:9" x14ac:dyDescent="0.25">
      <c r="A886" t="s">
        <v>616</v>
      </c>
      <c r="B886" t="s">
        <v>3146</v>
      </c>
      <c r="C886" t="s">
        <v>3147</v>
      </c>
      <c r="D886">
        <v>3</v>
      </c>
      <c r="E886" t="s">
        <v>747</v>
      </c>
      <c r="F886" t="s">
        <v>755</v>
      </c>
      <c r="G886" t="s">
        <v>3148</v>
      </c>
      <c r="H886" t="s">
        <v>750</v>
      </c>
      <c r="I886" t="s">
        <v>607</v>
      </c>
    </row>
    <row r="887" spans="1:9" x14ac:dyDescent="0.25">
      <c r="A887" t="s">
        <v>616</v>
      </c>
      <c r="B887" t="s">
        <v>3149</v>
      </c>
      <c r="C887" t="s">
        <v>3150</v>
      </c>
      <c r="D887">
        <v>4</v>
      </c>
      <c r="E887" t="s">
        <v>747</v>
      </c>
      <c r="F887" t="s">
        <v>758</v>
      </c>
      <c r="G887" t="s">
        <v>3151</v>
      </c>
      <c r="H887" t="s">
        <v>760</v>
      </c>
      <c r="I887" t="s">
        <v>607</v>
      </c>
    </row>
    <row r="888" spans="1:9" x14ac:dyDescent="0.25">
      <c r="A888" t="s">
        <v>616</v>
      </c>
      <c r="B888" t="s">
        <v>3152</v>
      </c>
      <c r="C888" t="s">
        <v>3153</v>
      </c>
      <c r="D888">
        <v>5</v>
      </c>
      <c r="E888" t="s">
        <v>747</v>
      </c>
      <c r="F888" t="s">
        <v>763</v>
      </c>
      <c r="G888" t="s">
        <v>3154</v>
      </c>
      <c r="H888" t="s">
        <v>760</v>
      </c>
      <c r="I888" t="s">
        <v>607</v>
      </c>
    </row>
    <row r="889" spans="1:9" x14ac:dyDescent="0.25">
      <c r="A889" t="s">
        <v>616</v>
      </c>
      <c r="B889" t="s">
        <v>765</v>
      </c>
      <c r="C889" t="s">
        <v>3155</v>
      </c>
      <c r="E889" t="s">
        <v>767</v>
      </c>
      <c r="F889" t="s">
        <v>768</v>
      </c>
      <c r="G889" t="s">
        <v>3156</v>
      </c>
      <c r="H889" t="s">
        <v>750</v>
      </c>
      <c r="I889" t="s">
        <v>607</v>
      </c>
    </row>
    <row r="890" spans="1:9" x14ac:dyDescent="0.25">
      <c r="A890" t="s">
        <v>616</v>
      </c>
      <c r="B890" t="s">
        <v>770</v>
      </c>
      <c r="C890" t="s">
        <v>3157</v>
      </c>
      <c r="E890" t="s">
        <v>767</v>
      </c>
      <c r="F890" t="s">
        <v>772</v>
      </c>
      <c r="G890" t="s">
        <v>3158</v>
      </c>
      <c r="H890" t="s">
        <v>750</v>
      </c>
      <c r="I890" t="s">
        <v>607</v>
      </c>
    </row>
    <row r="891" spans="1:9" x14ac:dyDescent="0.25">
      <c r="A891" t="s">
        <v>620</v>
      </c>
      <c r="B891" t="s">
        <v>623</v>
      </c>
      <c r="C891" t="s">
        <v>3159</v>
      </c>
      <c r="D891">
        <v>1</v>
      </c>
      <c r="E891" t="s">
        <v>747</v>
      </c>
      <c r="F891" t="s">
        <v>3160</v>
      </c>
      <c r="G891" t="s">
        <v>3161</v>
      </c>
      <c r="H891" t="s">
        <v>750</v>
      </c>
      <c r="I891" t="s">
        <v>607</v>
      </c>
    </row>
    <row r="892" spans="1:9" x14ac:dyDescent="0.25">
      <c r="A892" t="s">
        <v>620</v>
      </c>
      <c r="B892" t="s">
        <v>3162</v>
      </c>
      <c r="C892" t="s">
        <v>3163</v>
      </c>
      <c r="D892">
        <v>2</v>
      </c>
      <c r="E892" t="s">
        <v>747</v>
      </c>
      <c r="F892" t="s">
        <v>3164</v>
      </c>
      <c r="G892" t="s">
        <v>3161</v>
      </c>
      <c r="H892" t="s">
        <v>750</v>
      </c>
      <c r="I892" t="s">
        <v>607</v>
      </c>
    </row>
    <row r="893" spans="1:9" x14ac:dyDescent="0.25">
      <c r="A893" t="s">
        <v>620</v>
      </c>
      <c r="B893" t="s">
        <v>3165</v>
      </c>
      <c r="C893" t="s">
        <v>3166</v>
      </c>
      <c r="D893">
        <v>3</v>
      </c>
      <c r="E893" t="s">
        <v>747</v>
      </c>
      <c r="F893" t="s">
        <v>755</v>
      </c>
      <c r="G893" t="s">
        <v>3167</v>
      </c>
      <c r="H893" t="s">
        <v>750</v>
      </c>
      <c r="I893" t="s">
        <v>607</v>
      </c>
    </row>
    <row r="894" spans="1:9" x14ac:dyDescent="0.25">
      <c r="A894" t="s">
        <v>620</v>
      </c>
      <c r="B894" t="s">
        <v>3168</v>
      </c>
      <c r="C894" t="s">
        <v>3169</v>
      </c>
      <c r="D894">
        <v>4</v>
      </c>
      <c r="E894" t="s">
        <v>747</v>
      </c>
      <c r="F894" t="s">
        <v>758</v>
      </c>
      <c r="G894" t="s">
        <v>3170</v>
      </c>
      <c r="H894" t="s">
        <v>760</v>
      </c>
      <c r="I894" t="s">
        <v>607</v>
      </c>
    </row>
    <row r="895" spans="1:9" x14ac:dyDescent="0.25">
      <c r="A895" t="s">
        <v>620</v>
      </c>
      <c r="B895" t="s">
        <v>3171</v>
      </c>
      <c r="C895" t="s">
        <v>3172</v>
      </c>
      <c r="D895">
        <v>5</v>
      </c>
      <c r="E895" t="s">
        <v>747</v>
      </c>
      <c r="F895" t="s">
        <v>763</v>
      </c>
      <c r="G895" t="s">
        <v>3173</v>
      </c>
      <c r="H895" t="s">
        <v>760</v>
      </c>
      <c r="I895" t="s">
        <v>607</v>
      </c>
    </row>
    <row r="896" spans="1:9" x14ac:dyDescent="0.25">
      <c r="A896" t="s">
        <v>620</v>
      </c>
      <c r="B896" t="s">
        <v>765</v>
      </c>
      <c r="C896" t="s">
        <v>3174</v>
      </c>
      <c r="E896" t="s">
        <v>767</v>
      </c>
      <c r="F896" t="s">
        <v>768</v>
      </c>
      <c r="G896" t="s">
        <v>3175</v>
      </c>
      <c r="H896" t="s">
        <v>750</v>
      </c>
      <c r="I896" t="s">
        <v>607</v>
      </c>
    </row>
    <row r="897" spans="1:9" x14ac:dyDescent="0.25">
      <c r="A897" t="s">
        <v>620</v>
      </c>
      <c r="B897" t="s">
        <v>770</v>
      </c>
      <c r="C897" t="s">
        <v>3176</v>
      </c>
      <c r="E897" t="s">
        <v>767</v>
      </c>
      <c r="F897" t="s">
        <v>772</v>
      </c>
      <c r="G897" t="s">
        <v>3177</v>
      </c>
      <c r="H897" t="s">
        <v>750</v>
      </c>
      <c r="I897" t="s">
        <v>607</v>
      </c>
    </row>
    <row r="898" spans="1:9" x14ac:dyDescent="0.25">
      <c r="A898" t="s">
        <v>624</v>
      </c>
      <c r="B898" t="s">
        <v>628</v>
      </c>
      <c r="C898" t="s">
        <v>3178</v>
      </c>
      <c r="D898">
        <v>1</v>
      </c>
      <c r="E898" t="s">
        <v>747</v>
      </c>
      <c r="F898" t="s">
        <v>3179</v>
      </c>
      <c r="G898" t="s">
        <v>3180</v>
      </c>
      <c r="H898" t="s">
        <v>750</v>
      </c>
      <c r="I898" t="s">
        <v>607</v>
      </c>
    </row>
    <row r="899" spans="1:9" x14ac:dyDescent="0.25">
      <c r="A899" t="s">
        <v>624</v>
      </c>
      <c r="B899" t="s">
        <v>3181</v>
      </c>
      <c r="C899" t="s">
        <v>3182</v>
      </c>
      <c r="D899">
        <v>2</v>
      </c>
      <c r="E899" t="s">
        <v>747</v>
      </c>
      <c r="F899" t="s">
        <v>3183</v>
      </c>
      <c r="G899" t="s">
        <v>3180</v>
      </c>
      <c r="H899" t="s">
        <v>750</v>
      </c>
      <c r="I899" t="s">
        <v>607</v>
      </c>
    </row>
    <row r="900" spans="1:9" x14ac:dyDescent="0.25">
      <c r="A900" t="s">
        <v>624</v>
      </c>
      <c r="B900" t="s">
        <v>3184</v>
      </c>
      <c r="C900" t="s">
        <v>3185</v>
      </c>
      <c r="D900">
        <v>3</v>
      </c>
      <c r="E900" t="s">
        <v>747</v>
      </c>
      <c r="F900" t="s">
        <v>755</v>
      </c>
      <c r="G900" t="s">
        <v>3186</v>
      </c>
      <c r="H900" t="s">
        <v>750</v>
      </c>
      <c r="I900" t="s">
        <v>607</v>
      </c>
    </row>
    <row r="901" spans="1:9" x14ac:dyDescent="0.25">
      <c r="A901" t="s">
        <v>624</v>
      </c>
      <c r="B901" t="s">
        <v>3187</v>
      </c>
      <c r="C901" t="s">
        <v>3188</v>
      </c>
      <c r="D901">
        <v>4</v>
      </c>
      <c r="E901" t="s">
        <v>747</v>
      </c>
      <c r="F901" t="s">
        <v>758</v>
      </c>
      <c r="G901" t="s">
        <v>3189</v>
      </c>
      <c r="H901" t="s">
        <v>760</v>
      </c>
      <c r="I901" t="s">
        <v>607</v>
      </c>
    </row>
    <row r="902" spans="1:9" x14ac:dyDescent="0.25">
      <c r="A902" t="s">
        <v>624</v>
      </c>
      <c r="B902" t="s">
        <v>3190</v>
      </c>
      <c r="C902" t="s">
        <v>3191</v>
      </c>
      <c r="D902">
        <v>5</v>
      </c>
      <c r="E902" t="s">
        <v>747</v>
      </c>
      <c r="F902" t="s">
        <v>763</v>
      </c>
      <c r="G902" t="s">
        <v>3192</v>
      </c>
      <c r="H902" t="s">
        <v>760</v>
      </c>
      <c r="I902" t="s">
        <v>607</v>
      </c>
    </row>
    <row r="903" spans="1:9" x14ac:dyDescent="0.25">
      <c r="A903" t="s">
        <v>624</v>
      </c>
      <c r="B903" t="s">
        <v>765</v>
      </c>
      <c r="C903" t="s">
        <v>3193</v>
      </c>
      <c r="E903" t="s">
        <v>767</v>
      </c>
      <c r="F903" t="s">
        <v>768</v>
      </c>
      <c r="G903" t="s">
        <v>3194</v>
      </c>
      <c r="H903" t="s">
        <v>750</v>
      </c>
      <c r="I903" t="s">
        <v>607</v>
      </c>
    </row>
    <row r="904" spans="1:9" x14ac:dyDescent="0.25">
      <c r="A904" t="s">
        <v>624</v>
      </c>
      <c r="B904" t="s">
        <v>770</v>
      </c>
      <c r="C904" t="s">
        <v>3195</v>
      </c>
      <c r="E904" t="s">
        <v>767</v>
      </c>
      <c r="F904" t="s">
        <v>772</v>
      </c>
      <c r="G904" t="s">
        <v>3196</v>
      </c>
      <c r="H904" t="s">
        <v>750</v>
      </c>
      <c r="I904" t="s">
        <v>607</v>
      </c>
    </row>
    <row r="905" spans="1:9" x14ac:dyDescent="0.25">
      <c r="A905" t="s">
        <v>629</v>
      </c>
      <c r="B905" t="s">
        <v>632</v>
      </c>
      <c r="C905" t="s">
        <v>3197</v>
      </c>
      <c r="D905">
        <v>1</v>
      </c>
      <c r="E905" t="s">
        <v>747</v>
      </c>
      <c r="F905" t="s">
        <v>3198</v>
      </c>
      <c r="G905" t="s">
        <v>3199</v>
      </c>
      <c r="H905" t="s">
        <v>750</v>
      </c>
      <c r="I905" t="s">
        <v>607</v>
      </c>
    </row>
    <row r="906" spans="1:9" x14ac:dyDescent="0.25">
      <c r="A906" t="s">
        <v>629</v>
      </c>
      <c r="B906" t="s">
        <v>3200</v>
      </c>
      <c r="C906" t="s">
        <v>3201</v>
      </c>
      <c r="D906">
        <v>2</v>
      </c>
      <c r="E906" t="s">
        <v>747</v>
      </c>
      <c r="F906" t="s">
        <v>3202</v>
      </c>
      <c r="G906" t="s">
        <v>3199</v>
      </c>
      <c r="H906" t="s">
        <v>750</v>
      </c>
      <c r="I906" t="s">
        <v>607</v>
      </c>
    </row>
    <row r="907" spans="1:9" x14ac:dyDescent="0.25">
      <c r="A907" t="s">
        <v>629</v>
      </c>
      <c r="B907" t="s">
        <v>3203</v>
      </c>
      <c r="C907" t="s">
        <v>3204</v>
      </c>
      <c r="D907">
        <v>3</v>
      </c>
      <c r="E907" t="s">
        <v>747</v>
      </c>
      <c r="F907" t="s">
        <v>755</v>
      </c>
      <c r="G907" t="s">
        <v>3205</v>
      </c>
      <c r="H907" t="s">
        <v>750</v>
      </c>
      <c r="I907" t="s">
        <v>607</v>
      </c>
    </row>
    <row r="908" spans="1:9" x14ac:dyDescent="0.25">
      <c r="A908" t="s">
        <v>629</v>
      </c>
      <c r="B908" t="s">
        <v>3206</v>
      </c>
      <c r="C908" t="s">
        <v>3207</v>
      </c>
      <c r="D908">
        <v>4</v>
      </c>
      <c r="E908" t="s">
        <v>747</v>
      </c>
      <c r="F908" t="s">
        <v>758</v>
      </c>
      <c r="G908" t="s">
        <v>3208</v>
      </c>
      <c r="H908" t="s">
        <v>760</v>
      </c>
      <c r="I908" t="s">
        <v>607</v>
      </c>
    </row>
    <row r="909" spans="1:9" x14ac:dyDescent="0.25">
      <c r="A909" t="s">
        <v>629</v>
      </c>
      <c r="B909" t="s">
        <v>3209</v>
      </c>
      <c r="C909" t="s">
        <v>3210</v>
      </c>
      <c r="D909">
        <v>5</v>
      </c>
      <c r="E909" t="s">
        <v>747</v>
      </c>
      <c r="F909" t="s">
        <v>763</v>
      </c>
      <c r="G909" t="s">
        <v>3211</v>
      </c>
      <c r="H909" t="s">
        <v>760</v>
      </c>
      <c r="I909" t="s">
        <v>607</v>
      </c>
    </row>
    <row r="910" spans="1:9" x14ac:dyDescent="0.25">
      <c r="A910" t="s">
        <v>629</v>
      </c>
      <c r="B910" t="s">
        <v>765</v>
      </c>
      <c r="C910" t="s">
        <v>3212</v>
      </c>
      <c r="E910" t="s">
        <v>767</v>
      </c>
      <c r="F910" t="s">
        <v>768</v>
      </c>
      <c r="G910" t="s">
        <v>3213</v>
      </c>
      <c r="H910" t="s">
        <v>750</v>
      </c>
      <c r="I910" t="s">
        <v>607</v>
      </c>
    </row>
    <row r="911" spans="1:9" x14ac:dyDescent="0.25">
      <c r="A911" t="s">
        <v>629</v>
      </c>
      <c r="B911" t="s">
        <v>770</v>
      </c>
      <c r="C911" t="s">
        <v>3214</v>
      </c>
      <c r="E911" t="s">
        <v>767</v>
      </c>
      <c r="F911" t="s">
        <v>772</v>
      </c>
      <c r="G911" t="s">
        <v>3215</v>
      </c>
      <c r="H911" t="s">
        <v>750</v>
      </c>
      <c r="I911" t="s">
        <v>607</v>
      </c>
    </row>
    <row r="912" spans="1:9" x14ac:dyDescent="0.25">
      <c r="A912" t="s">
        <v>633</v>
      </c>
      <c r="B912" t="s">
        <v>636</v>
      </c>
      <c r="C912" t="s">
        <v>3216</v>
      </c>
      <c r="D912">
        <v>1</v>
      </c>
      <c r="E912" t="s">
        <v>747</v>
      </c>
      <c r="F912" t="s">
        <v>3217</v>
      </c>
      <c r="G912" t="s">
        <v>3218</v>
      </c>
      <c r="H912" t="s">
        <v>750</v>
      </c>
      <c r="I912" t="s">
        <v>607</v>
      </c>
    </row>
    <row r="913" spans="1:9" x14ac:dyDescent="0.25">
      <c r="A913" t="s">
        <v>633</v>
      </c>
      <c r="B913" t="s">
        <v>3219</v>
      </c>
      <c r="C913" t="s">
        <v>3220</v>
      </c>
      <c r="D913">
        <v>2</v>
      </c>
      <c r="E913" t="s">
        <v>747</v>
      </c>
      <c r="F913" t="s">
        <v>3221</v>
      </c>
      <c r="G913" t="s">
        <v>3218</v>
      </c>
      <c r="H913" t="s">
        <v>750</v>
      </c>
      <c r="I913" t="s">
        <v>607</v>
      </c>
    </row>
    <row r="914" spans="1:9" x14ac:dyDescent="0.25">
      <c r="A914" t="s">
        <v>633</v>
      </c>
      <c r="B914" t="s">
        <v>3222</v>
      </c>
      <c r="C914" t="s">
        <v>3223</v>
      </c>
      <c r="D914">
        <v>3</v>
      </c>
      <c r="E914" t="s">
        <v>747</v>
      </c>
      <c r="F914" t="s">
        <v>755</v>
      </c>
      <c r="G914" t="s">
        <v>3224</v>
      </c>
      <c r="H914" t="s">
        <v>750</v>
      </c>
      <c r="I914" t="s">
        <v>607</v>
      </c>
    </row>
    <row r="915" spans="1:9" x14ac:dyDescent="0.25">
      <c r="A915" t="s">
        <v>633</v>
      </c>
      <c r="B915" t="s">
        <v>3225</v>
      </c>
      <c r="C915" t="s">
        <v>3226</v>
      </c>
      <c r="D915">
        <v>4</v>
      </c>
      <c r="E915" t="s">
        <v>747</v>
      </c>
      <c r="F915" t="s">
        <v>758</v>
      </c>
      <c r="G915" t="s">
        <v>3227</v>
      </c>
      <c r="H915" t="s">
        <v>760</v>
      </c>
      <c r="I915" t="s">
        <v>607</v>
      </c>
    </row>
    <row r="916" spans="1:9" x14ac:dyDescent="0.25">
      <c r="A916" t="s">
        <v>633</v>
      </c>
      <c r="B916" t="s">
        <v>3228</v>
      </c>
      <c r="C916" t="s">
        <v>3229</v>
      </c>
      <c r="D916">
        <v>5</v>
      </c>
      <c r="E916" t="s">
        <v>747</v>
      </c>
      <c r="F916" t="s">
        <v>763</v>
      </c>
      <c r="G916" t="s">
        <v>3230</v>
      </c>
      <c r="H916" t="s">
        <v>760</v>
      </c>
      <c r="I916" t="s">
        <v>607</v>
      </c>
    </row>
    <row r="917" spans="1:9" x14ac:dyDescent="0.25">
      <c r="A917" t="s">
        <v>633</v>
      </c>
      <c r="B917" t="s">
        <v>765</v>
      </c>
      <c r="C917" t="s">
        <v>3231</v>
      </c>
      <c r="E917" t="s">
        <v>767</v>
      </c>
      <c r="F917" t="s">
        <v>768</v>
      </c>
      <c r="G917" t="s">
        <v>3232</v>
      </c>
      <c r="H917" t="s">
        <v>750</v>
      </c>
      <c r="I917" t="s">
        <v>607</v>
      </c>
    </row>
    <row r="918" spans="1:9" x14ac:dyDescent="0.25">
      <c r="A918" t="s">
        <v>633</v>
      </c>
      <c r="B918" t="s">
        <v>770</v>
      </c>
      <c r="C918" t="s">
        <v>3233</v>
      </c>
      <c r="E918" t="s">
        <v>767</v>
      </c>
      <c r="F918" t="s">
        <v>772</v>
      </c>
      <c r="G918" t="s">
        <v>3234</v>
      </c>
      <c r="H918" t="s">
        <v>750</v>
      </c>
      <c r="I918" t="s">
        <v>607</v>
      </c>
    </row>
    <row r="919" spans="1:9" x14ac:dyDescent="0.25">
      <c r="A919" t="s">
        <v>637</v>
      </c>
      <c r="B919" t="s">
        <v>640</v>
      </c>
      <c r="C919" t="s">
        <v>3235</v>
      </c>
      <c r="D919">
        <v>1</v>
      </c>
      <c r="E919" t="s">
        <v>747</v>
      </c>
      <c r="F919" t="s">
        <v>3236</v>
      </c>
      <c r="G919" t="s">
        <v>3237</v>
      </c>
      <c r="H919" t="s">
        <v>750</v>
      </c>
      <c r="I919" t="s">
        <v>607</v>
      </c>
    </row>
    <row r="920" spans="1:9" x14ac:dyDescent="0.25">
      <c r="A920" t="s">
        <v>637</v>
      </c>
      <c r="B920" t="s">
        <v>3238</v>
      </c>
      <c r="C920" t="s">
        <v>3239</v>
      </c>
      <c r="D920">
        <v>2</v>
      </c>
      <c r="E920" t="s">
        <v>747</v>
      </c>
      <c r="F920" t="s">
        <v>3240</v>
      </c>
      <c r="G920" t="s">
        <v>3237</v>
      </c>
      <c r="H920" t="s">
        <v>750</v>
      </c>
      <c r="I920" t="s">
        <v>607</v>
      </c>
    </row>
    <row r="921" spans="1:9" x14ac:dyDescent="0.25">
      <c r="A921" t="s">
        <v>637</v>
      </c>
      <c r="B921" t="s">
        <v>3241</v>
      </c>
      <c r="C921" t="s">
        <v>3242</v>
      </c>
      <c r="D921">
        <v>3</v>
      </c>
      <c r="E921" t="s">
        <v>747</v>
      </c>
      <c r="F921" t="s">
        <v>755</v>
      </c>
      <c r="G921" t="s">
        <v>3243</v>
      </c>
      <c r="H921" t="s">
        <v>750</v>
      </c>
      <c r="I921" t="s">
        <v>607</v>
      </c>
    </row>
    <row r="922" spans="1:9" x14ac:dyDescent="0.25">
      <c r="A922" t="s">
        <v>637</v>
      </c>
      <c r="B922" t="s">
        <v>3244</v>
      </c>
      <c r="C922" t="s">
        <v>3245</v>
      </c>
      <c r="D922">
        <v>4</v>
      </c>
      <c r="E922" t="s">
        <v>747</v>
      </c>
      <c r="F922" t="s">
        <v>758</v>
      </c>
      <c r="G922" t="s">
        <v>3246</v>
      </c>
      <c r="H922" t="s">
        <v>760</v>
      </c>
      <c r="I922" t="s">
        <v>607</v>
      </c>
    </row>
    <row r="923" spans="1:9" x14ac:dyDescent="0.25">
      <c r="A923" t="s">
        <v>637</v>
      </c>
      <c r="B923" t="s">
        <v>3247</v>
      </c>
      <c r="C923" t="s">
        <v>3248</v>
      </c>
      <c r="D923">
        <v>5</v>
      </c>
      <c r="E923" t="s">
        <v>747</v>
      </c>
      <c r="F923" t="s">
        <v>763</v>
      </c>
      <c r="G923" t="s">
        <v>3249</v>
      </c>
      <c r="H923" t="s">
        <v>760</v>
      </c>
      <c r="I923" t="s">
        <v>607</v>
      </c>
    </row>
    <row r="924" spans="1:9" x14ac:dyDescent="0.25">
      <c r="A924" t="s">
        <v>637</v>
      </c>
      <c r="B924" t="s">
        <v>765</v>
      </c>
      <c r="C924" t="s">
        <v>3250</v>
      </c>
      <c r="E924" t="s">
        <v>767</v>
      </c>
      <c r="F924" t="s">
        <v>768</v>
      </c>
      <c r="G924" t="s">
        <v>3251</v>
      </c>
      <c r="H924" t="s">
        <v>750</v>
      </c>
      <c r="I924" t="s">
        <v>607</v>
      </c>
    </row>
    <row r="925" spans="1:9" x14ac:dyDescent="0.25">
      <c r="A925" t="s">
        <v>637</v>
      </c>
      <c r="B925" t="s">
        <v>770</v>
      </c>
      <c r="C925" t="s">
        <v>3252</v>
      </c>
      <c r="E925" t="s">
        <v>767</v>
      </c>
      <c r="F925" t="s">
        <v>772</v>
      </c>
      <c r="G925" t="s">
        <v>3253</v>
      </c>
      <c r="H925" t="s">
        <v>750</v>
      </c>
      <c r="I925" t="s">
        <v>607</v>
      </c>
    </row>
    <row r="926" spans="1:9" x14ac:dyDescent="0.25">
      <c r="A926" t="s">
        <v>641</v>
      </c>
      <c r="B926" t="s">
        <v>645</v>
      </c>
      <c r="C926" t="s">
        <v>3254</v>
      </c>
      <c r="D926">
        <v>1</v>
      </c>
      <c r="E926" t="s">
        <v>747</v>
      </c>
      <c r="F926" t="s">
        <v>3255</v>
      </c>
      <c r="G926" t="s">
        <v>3256</v>
      </c>
      <c r="H926" t="s">
        <v>750</v>
      </c>
      <c r="I926" t="s">
        <v>607</v>
      </c>
    </row>
    <row r="927" spans="1:9" x14ac:dyDescent="0.25">
      <c r="A927" t="s">
        <v>641</v>
      </c>
      <c r="B927" t="s">
        <v>3257</v>
      </c>
      <c r="C927" t="s">
        <v>3258</v>
      </c>
      <c r="D927">
        <v>2</v>
      </c>
      <c r="E927" t="s">
        <v>747</v>
      </c>
      <c r="F927" t="s">
        <v>3259</v>
      </c>
      <c r="G927" t="s">
        <v>3256</v>
      </c>
      <c r="H927" t="s">
        <v>750</v>
      </c>
      <c r="I927" t="s">
        <v>607</v>
      </c>
    </row>
    <row r="928" spans="1:9" x14ac:dyDescent="0.25">
      <c r="A928" t="s">
        <v>641</v>
      </c>
      <c r="B928" t="s">
        <v>3260</v>
      </c>
      <c r="C928" t="s">
        <v>3261</v>
      </c>
      <c r="D928">
        <v>3</v>
      </c>
      <c r="E928" t="s">
        <v>747</v>
      </c>
      <c r="F928" t="s">
        <v>755</v>
      </c>
      <c r="G928" t="s">
        <v>3262</v>
      </c>
      <c r="H928" t="s">
        <v>750</v>
      </c>
      <c r="I928" t="s">
        <v>607</v>
      </c>
    </row>
    <row r="929" spans="1:9" x14ac:dyDescent="0.25">
      <c r="A929" t="s">
        <v>641</v>
      </c>
      <c r="B929" t="s">
        <v>3263</v>
      </c>
      <c r="C929" t="s">
        <v>3264</v>
      </c>
      <c r="D929">
        <v>4</v>
      </c>
      <c r="E929" t="s">
        <v>747</v>
      </c>
      <c r="F929" t="s">
        <v>758</v>
      </c>
      <c r="G929" t="s">
        <v>3265</v>
      </c>
      <c r="H929" t="s">
        <v>760</v>
      </c>
      <c r="I929" t="s">
        <v>607</v>
      </c>
    </row>
    <row r="930" spans="1:9" x14ac:dyDescent="0.25">
      <c r="A930" t="s">
        <v>641</v>
      </c>
      <c r="B930" t="s">
        <v>3266</v>
      </c>
      <c r="C930" t="s">
        <v>3267</v>
      </c>
      <c r="D930">
        <v>5</v>
      </c>
      <c r="E930" t="s">
        <v>747</v>
      </c>
      <c r="F930" t="s">
        <v>763</v>
      </c>
      <c r="G930" t="s">
        <v>3268</v>
      </c>
      <c r="H930" t="s">
        <v>760</v>
      </c>
      <c r="I930" t="s">
        <v>607</v>
      </c>
    </row>
    <row r="931" spans="1:9" x14ac:dyDescent="0.25">
      <c r="A931" t="s">
        <v>641</v>
      </c>
      <c r="B931" t="s">
        <v>765</v>
      </c>
      <c r="C931" t="s">
        <v>3269</v>
      </c>
      <c r="E931" t="s">
        <v>767</v>
      </c>
      <c r="F931" t="s">
        <v>768</v>
      </c>
      <c r="G931" t="s">
        <v>3270</v>
      </c>
      <c r="H931" t="s">
        <v>750</v>
      </c>
      <c r="I931" t="s">
        <v>607</v>
      </c>
    </row>
    <row r="932" spans="1:9" x14ac:dyDescent="0.25">
      <c r="A932" t="s">
        <v>641</v>
      </c>
      <c r="B932" t="s">
        <v>770</v>
      </c>
      <c r="C932" t="s">
        <v>3271</v>
      </c>
      <c r="E932" t="s">
        <v>767</v>
      </c>
      <c r="F932" t="s">
        <v>772</v>
      </c>
      <c r="G932" t="s">
        <v>3272</v>
      </c>
      <c r="H932" t="s">
        <v>750</v>
      </c>
      <c r="I932" t="s">
        <v>607</v>
      </c>
    </row>
    <row r="933" spans="1:9" x14ac:dyDescent="0.25">
      <c r="A933" t="s">
        <v>646</v>
      </c>
      <c r="B933" t="s">
        <v>649</v>
      </c>
      <c r="C933" t="s">
        <v>3273</v>
      </c>
      <c r="D933">
        <v>1</v>
      </c>
      <c r="E933" t="s">
        <v>747</v>
      </c>
      <c r="F933" t="s">
        <v>3274</v>
      </c>
      <c r="G933" t="s">
        <v>3275</v>
      </c>
      <c r="H933" t="s">
        <v>750</v>
      </c>
      <c r="I933" t="s">
        <v>607</v>
      </c>
    </row>
    <row r="934" spans="1:9" x14ac:dyDescent="0.25">
      <c r="A934" t="s">
        <v>646</v>
      </c>
      <c r="B934" t="s">
        <v>3276</v>
      </c>
      <c r="C934" t="s">
        <v>3277</v>
      </c>
      <c r="D934">
        <v>2</v>
      </c>
      <c r="E934" t="s">
        <v>747</v>
      </c>
      <c r="F934" t="s">
        <v>3278</v>
      </c>
      <c r="G934" t="s">
        <v>3275</v>
      </c>
      <c r="H934" t="s">
        <v>750</v>
      </c>
      <c r="I934" t="s">
        <v>607</v>
      </c>
    </row>
    <row r="935" spans="1:9" x14ac:dyDescent="0.25">
      <c r="A935" t="s">
        <v>646</v>
      </c>
      <c r="B935" t="s">
        <v>3279</v>
      </c>
      <c r="C935" t="s">
        <v>3280</v>
      </c>
      <c r="D935">
        <v>3</v>
      </c>
      <c r="E935" t="s">
        <v>747</v>
      </c>
      <c r="F935" t="s">
        <v>755</v>
      </c>
      <c r="G935" t="s">
        <v>3281</v>
      </c>
      <c r="H935" t="s">
        <v>750</v>
      </c>
      <c r="I935" t="s">
        <v>607</v>
      </c>
    </row>
    <row r="936" spans="1:9" x14ac:dyDescent="0.25">
      <c r="A936" t="s">
        <v>646</v>
      </c>
      <c r="B936" t="s">
        <v>3282</v>
      </c>
      <c r="C936" t="s">
        <v>3283</v>
      </c>
      <c r="D936">
        <v>4</v>
      </c>
      <c r="E936" t="s">
        <v>747</v>
      </c>
      <c r="F936" t="s">
        <v>758</v>
      </c>
      <c r="G936" t="s">
        <v>3284</v>
      </c>
      <c r="H936" t="s">
        <v>760</v>
      </c>
      <c r="I936" t="s">
        <v>607</v>
      </c>
    </row>
    <row r="937" spans="1:9" x14ac:dyDescent="0.25">
      <c r="A937" t="s">
        <v>646</v>
      </c>
      <c r="B937" t="s">
        <v>3285</v>
      </c>
      <c r="C937" t="s">
        <v>3286</v>
      </c>
      <c r="D937">
        <v>5</v>
      </c>
      <c r="E937" t="s">
        <v>747</v>
      </c>
      <c r="F937" t="s">
        <v>763</v>
      </c>
      <c r="G937" t="s">
        <v>3287</v>
      </c>
      <c r="H937" t="s">
        <v>760</v>
      </c>
      <c r="I937" t="s">
        <v>607</v>
      </c>
    </row>
    <row r="938" spans="1:9" x14ac:dyDescent="0.25">
      <c r="A938" t="s">
        <v>646</v>
      </c>
      <c r="B938" t="s">
        <v>765</v>
      </c>
      <c r="C938" t="s">
        <v>3288</v>
      </c>
      <c r="E938" t="s">
        <v>767</v>
      </c>
      <c r="F938" t="s">
        <v>768</v>
      </c>
      <c r="G938" t="s">
        <v>3289</v>
      </c>
      <c r="H938" t="s">
        <v>750</v>
      </c>
      <c r="I938" t="s">
        <v>607</v>
      </c>
    </row>
    <row r="939" spans="1:9" x14ac:dyDescent="0.25">
      <c r="A939" t="s">
        <v>646</v>
      </c>
      <c r="B939" t="s">
        <v>770</v>
      </c>
      <c r="C939" t="s">
        <v>3290</v>
      </c>
      <c r="E939" t="s">
        <v>767</v>
      </c>
      <c r="F939" t="s">
        <v>772</v>
      </c>
      <c r="G939" t="s">
        <v>3291</v>
      </c>
      <c r="H939" t="s">
        <v>750</v>
      </c>
      <c r="I939" t="s">
        <v>607</v>
      </c>
    </row>
    <row r="940" spans="1:9" x14ac:dyDescent="0.25">
      <c r="A940" t="s">
        <v>650</v>
      </c>
      <c r="B940" t="s">
        <v>653</v>
      </c>
      <c r="C940" t="s">
        <v>3292</v>
      </c>
      <c r="D940">
        <v>1</v>
      </c>
      <c r="E940" t="s">
        <v>747</v>
      </c>
      <c r="F940" t="s">
        <v>3293</v>
      </c>
      <c r="G940" t="s">
        <v>3294</v>
      </c>
      <c r="H940" t="s">
        <v>750</v>
      </c>
      <c r="I940" t="s">
        <v>607</v>
      </c>
    </row>
    <row r="941" spans="1:9" x14ac:dyDescent="0.25">
      <c r="A941" t="s">
        <v>650</v>
      </c>
      <c r="B941" t="s">
        <v>3295</v>
      </c>
      <c r="C941" t="s">
        <v>3296</v>
      </c>
      <c r="D941">
        <v>2</v>
      </c>
      <c r="E941" t="s">
        <v>747</v>
      </c>
      <c r="F941" t="s">
        <v>3297</v>
      </c>
      <c r="G941" t="s">
        <v>3294</v>
      </c>
      <c r="H941" t="s">
        <v>750</v>
      </c>
      <c r="I941" t="s">
        <v>607</v>
      </c>
    </row>
    <row r="942" spans="1:9" x14ac:dyDescent="0.25">
      <c r="A942" t="s">
        <v>650</v>
      </c>
      <c r="B942" t="s">
        <v>3298</v>
      </c>
      <c r="C942" t="s">
        <v>3299</v>
      </c>
      <c r="D942">
        <v>3</v>
      </c>
      <c r="E942" t="s">
        <v>747</v>
      </c>
      <c r="F942" t="s">
        <v>755</v>
      </c>
      <c r="G942" t="s">
        <v>3300</v>
      </c>
      <c r="H942" t="s">
        <v>750</v>
      </c>
      <c r="I942" t="s">
        <v>607</v>
      </c>
    </row>
    <row r="943" spans="1:9" x14ac:dyDescent="0.25">
      <c r="A943" t="s">
        <v>650</v>
      </c>
      <c r="B943" t="s">
        <v>3301</v>
      </c>
      <c r="C943" t="s">
        <v>3302</v>
      </c>
      <c r="D943">
        <v>4</v>
      </c>
      <c r="E943" t="s">
        <v>747</v>
      </c>
      <c r="F943" t="s">
        <v>758</v>
      </c>
      <c r="G943" t="s">
        <v>3303</v>
      </c>
      <c r="H943" t="s">
        <v>760</v>
      </c>
      <c r="I943" t="s">
        <v>607</v>
      </c>
    </row>
    <row r="944" spans="1:9" x14ac:dyDescent="0.25">
      <c r="A944" t="s">
        <v>650</v>
      </c>
      <c r="B944" t="s">
        <v>3304</v>
      </c>
      <c r="C944" t="s">
        <v>3305</v>
      </c>
      <c r="D944">
        <v>5</v>
      </c>
      <c r="E944" t="s">
        <v>747</v>
      </c>
      <c r="F944" t="s">
        <v>763</v>
      </c>
      <c r="G944" t="s">
        <v>3306</v>
      </c>
      <c r="H944" t="s">
        <v>760</v>
      </c>
      <c r="I944" t="s">
        <v>607</v>
      </c>
    </row>
    <row r="945" spans="1:9" x14ac:dyDescent="0.25">
      <c r="A945" t="s">
        <v>650</v>
      </c>
      <c r="B945" t="s">
        <v>765</v>
      </c>
      <c r="C945" t="s">
        <v>3307</v>
      </c>
      <c r="E945" t="s">
        <v>767</v>
      </c>
      <c r="F945" t="s">
        <v>768</v>
      </c>
      <c r="G945" t="s">
        <v>3308</v>
      </c>
      <c r="H945" t="s">
        <v>750</v>
      </c>
      <c r="I945" t="s">
        <v>607</v>
      </c>
    </row>
    <row r="946" spans="1:9" x14ac:dyDescent="0.25">
      <c r="A946" t="s">
        <v>650</v>
      </c>
      <c r="B946" t="s">
        <v>770</v>
      </c>
      <c r="C946" t="s">
        <v>3309</v>
      </c>
      <c r="E946" t="s">
        <v>767</v>
      </c>
      <c r="F946" t="s">
        <v>772</v>
      </c>
      <c r="G946" t="s">
        <v>3310</v>
      </c>
      <c r="H946" t="s">
        <v>750</v>
      </c>
      <c r="I946" t="s">
        <v>607</v>
      </c>
    </row>
    <row r="947" spans="1:9" x14ac:dyDescent="0.25">
      <c r="A947" t="s">
        <v>654</v>
      </c>
      <c r="B947" t="s">
        <v>657</v>
      </c>
      <c r="C947" t="s">
        <v>3311</v>
      </c>
      <c r="D947">
        <v>1</v>
      </c>
      <c r="E947" t="s">
        <v>747</v>
      </c>
      <c r="F947" t="s">
        <v>3312</v>
      </c>
      <c r="G947" t="s">
        <v>3313</v>
      </c>
      <c r="H947" t="s">
        <v>750</v>
      </c>
      <c r="I947" t="s">
        <v>607</v>
      </c>
    </row>
    <row r="948" spans="1:9" x14ac:dyDescent="0.25">
      <c r="A948" t="s">
        <v>654</v>
      </c>
      <c r="B948" t="s">
        <v>3314</v>
      </c>
      <c r="C948" t="s">
        <v>3315</v>
      </c>
      <c r="D948">
        <v>2</v>
      </c>
      <c r="E948" t="s">
        <v>747</v>
      </c>
      <c r="F948" t="s">
        <v>3316</v>
      </c>
      <c r="G948" t="s">
        <v>3313</v>
      </c>
      <c r="H948" t="s">
        <v>750</v>
      </c>
      <c r="I948" t="s">
        <v>607</v>
      </c>
    </row>
    <row r="949" spans="1:9" x14ac:dyDescent="0.25">
      <c r="A949" t="s">
        <v>654</v>
      </c>
      <c r="B949" t="s">
        <v>3317</v>
      </c>
      <c r="C949" t="s">
        <v>3318</v>
      </c>
      <c r="D949">
        <v>3</v>
      </c>
      <c r="E949" t="s">
        <v>747</v>
      </c>
      <c r="F949" t="s">
        <v>755</v>
      </c>
      <c r="G949" t="s">
        <v>3319</v>
      </c>
      <c r="H949" t="s">
        <v>750</v>
      </c>
      <c r="I949" t="s">
        <v>607</v>
      </c>
    </row>
    <row r="950" spans="1:9" x14ac:dyDescent="0.25">
      <c r="A950" t="s">
        <v>654</v>
      </c>
      <c r="B950" t="s">
        <v>3320</v>
      </c>
      <c r="C950" t="s">
        <v>3321</v>
      </c>
      <c r="D950">
        <v>4</v>
      </c>
      <c r="E950" t="s">
        <v>747</v>
      </c>
      <c r="F950" t="s">
        <v>758</v>
      </c>
      <c r="G950" t="s">
        <v>3322</v>
      </c>
      <c r="H950" t="s">
        <v>760</v>
      </c>
      <c r="I950" t="s">
        <v>607</v>
      </c>
    </row>
    <row r="951" spans="1:9" x14ac:dyDescent="0.25">
      <c r="A951" t="s">
        <v>654</v>
      </c>
      <c r="B951" t="s">
        <v>3323</v>
      </c>
      <c r="C951" t="s">
        <v>3324</v>
      </c>
      <c r="D951">
        <v>5</v>
      </c>
      <c r="E951" t="s">
        <v>747</v>
      </c>
      <c r="F951" t="s">
        <v>763</v>
      </c>
      <c r="G951" t="s">
        <v>3325</v>
      </c>
      <c r="H951" t="s">
        <v>760</v>
      </c>
      <c r="I951" t="s">
        <v>607</v>
      </c>
    </row>
    <row r="952" spans="1:9" x14ac:dyDescent="0.25">
      <c r="A952" t="s">
        <v>654</v>
      </c>
      <c r="B952" t="s">
        <v>765</v>
      </c>
      <c r="C952" t="s">
        <v>3326</v>
      </c>
      <c r="E952" t="s">
        <v>767</v>
      </c>
      <c r="F952" t="s">
        <v>768</v>
      </c>
      <c r="G952" t="s">
        <v>3327</v>
      </c>
      <c r="H952" t="s">
        <v>750</v>
      </c>
      <c r="I952" t="s">
        <v>607</v>
      </c>
    </row>
    <row r="953" spans="1:9" x14ac:dyDescent="0.25">
      <c r="A953" t="s">
        <v>654</v>
      </c>
      <c r="B953" t="s">
        <v>770</v>
      </c>
      <c r="C953" t="s">
        <v>3328</v>
      </c>
      <c r="E953" t="s">
        <v>767</v>
      </c>
      <c r="F953" t="s">
        <v>772</v>
      </c>
      <c r="G953" t="s">
        <v>3329</v>
      </c>
      <c r="H953" t="s">
        <v>750</v>
      </c>
      <c r="I953" t="s">
        <v>607</v>
      </c>
    </row>
    <row r="954" spans="1:9" x14ac:dyDescent="0.25">
      <c r="A954" t="s">
        <v>658</v>
      </c>
      <c r="B954" t="s">
        <v>662</v>
      </c>
      <c r="C954" t="s">
        <v>3330</v>
      </c>
      <c r="D954">
        <v>1</v>
      </c>
      <c r="E954" t="s">
        <v>747</v>
      </c>
      <c r="F954" t="s">
        <v>3331</v>
      </c>
      <c r="G954" t="s">
        <v>3332</v>
      </c>
      <c r="H954" t="s">
        <v>750</v>
      </c>
      <c r="I954" t="s">
        <v>607</v>
      </c>
    </row>
    <row r="955" spans="1:9" x14ac:dyDescent="0.25">
      <c r="A955" t="s">
        <v>658</v>
      </c>
      <c r="B955" t="s">
        <v>3333</v>
      </c>
      <c r="C955" t="s">
        <v>3334</v>
      </c>
      <c r="D955">
        <v>2</v>
      </c>
      <c r="E955" t="s">
        <v>747</v>
      </c>
      <c r="F955" t="s">
        <v>3335</v>
      </c>
      <c r="G955" t="s">
        <v>3332</v>
      </c>
      <c r="H955" t="s">
        <v>750</v>
      </c>
      <c r="I955" t="s">
        <v>607</v>
      </c>
    </row>
    <row r="956" spans="1:9" x14ac:dyDescent="0.25">
      <c r="A956" t="s">
        <v>658</v>
      </c>
      <c r="B956" t="s">
        <v>3336</v>
      </c>
      <c r="C956" t="s">
        <v>3337</v>
      </c>
      <c r="D956">
        <v>3</v>
      </c>
      <c r="E956" t="s">
        <v>747</v>
      </c>
      <c r="F956" t="s">
        <v>755</v>
      </c>
      <c r="G956" t="s">
        <v>3338</v>
      </c>
      <c r="H956" t="s">
        <v>750</v>
      </c>
      <c r="I956" t="s">
        <v>607</v>
      </c>
    </row>
    <row r="957" spans="1:9" x14ac:dyDescent="0.25">
      <c r="A957" t="s">
        <v>658</v>
      </c>
      <c r="B957" t="s">
        <v>3339</v>
      </c>
      <c r="C957" t="s">
        <v>3340</v>
      </c>
      <c r="D957">
        <v>4</v>
      </c>
      <c r="E957" t="s">
        <v>747</v>
      </c>
      <c r="F957" t="s">
        <v>758</v>
      </c>
      <c r="G957" t="s">
        <v>3341</v>
      </c>
      <c r="H957" t="s">
        <v>760</v>
      </c>
      <c r="I957" t="s">
        <v>607</v>
      </c>
    </row>
    <row r="958" spans="1:9" x14ac:dyDescent="0.25">
      <c r="A958" t="s">
        <v>658</v>
      </c>
      <c r="B958" t="s">
        <v>3342</v>
      </c>
      <c r="C958" t="s">
        <v>3343</v>
      </c>
      <c r="D958">
        <v>5</v>
      </c>
      <c r="E958" t="s">
        <v>747</v>
      </c>
      <c r="F958" t="s">
        <v>763</v>
      </c>
      <c r="G958" t="s">
        <v>3344</v>
      </c>
      <c r="H958" t="s">
        <v>760</v>
      </c>
      <c r="I958" t="s">
        <v>607</v>
      </c>
    </row>
    <row r="959" spans="1:9" x14ac:dyDescent="0.25">
      <c r="A959" t="s">
        <v>658</v>
      </c>
      <c r="B959" t="s">
        <v>765</v>
      </c>
      <c r="C959" t="s">
        <v>3345</v>
      </c>
      <c r="E959" t="s">
        <v>767</v>
      </c>
      <c r="F959" t="s">
        <v>768</v>
      </c>
      <c r="G959" t="s">
        <v>3346</v>
      </c>
      <c r="H959" t="s">
        <v>750</v>
      </c>
      <c r="I959" t="s">
        <v>607</v>
      </c>
    </row>
    <row r="960" spans="1:9" x14ac:dyDescent="0.25">
      <c r="A960" t="s">
        <v>658</v>
      </c>
      <c r="B960" t="s">
        <v>770</v>
      </c>
      <c r="C960" t="s">
        <v>3347</v>
      </c>
      <c r="E960" t="s">
        <v>767</v>
      </c>
      <c r="F960" t="s">
        <v>772</v>
      </c>
      <c r="G960" t="s">
        <v>3348</v>
      </c>
      <c r="H960" t="s">
        <v>750</v>
      </c>
      <c r="I960" t="s">
        <v>607</v>
      </c>
    </row>
    <row r="961" spans="1:9" x14ac:dyDescent="0.25">
      <c r="A961" t="s">
        <v>663</v>
      </c>
      <c r="B961" t="s">
        <v>666</v>
      </c>
      <c r="C961" t="s">
        <v>3349</v>
      </c>
      <c r="D961">
        <v>1</v>
      </c>
      <c r="E961" t="s">
        <v>747</v>
      </c>
      <c r="F961" t="s">
        <v>3350</v>
      </c>
      <c r="G961" t="s">
        <v>3351</v>
      </c>
      <c r="H961" t="s">
        <v>750</v>
      </c>
      <c r="I961" t="s">
        <v>607</v>
      </c>
    </row>
    <row r="962" spans="1:9" x14ac:dyDescent="0.25">
      <c r="A962" t="s">
        <v>663</v>
      </c>
      <c r="B962" t="s">
        <v>3352</v>
      </c>
      <c r="C962" t="s">
        <v>3353</v>
      </c>
      <c r="D962">
        <v>2</v>
      </c>
      <c r="E962" t="s">
        <v>747</v>
      </c>
      <c r="F962" t="s">
        <v>3354</v>
      </c>
      <c r="G962" t="s">
        <v>3351</v>
      </c>
      <c r="H962" t="s">
        <v>750</v>
      </c>
      <c r="I962" t="s">
        <v>607</v>
      </c>
    </row>
    <row r="963" spans="1:9" x14ac:dyDescent="0.25">
      <c r="A963" t="s">
        <v>663</v>
      </c>
      <c r="B963" t="s">
        <v>3355</v>
      </c>
      <c r="C963" t="s">
        <v>3356</v>
      </c>
      <c r="D963">
        <v>3</v>
      </c>
      <c r="E963" t="s">
        <v>747</v>
      </c>
      <c r="F963" t="s">
        <v>755</v>
      </c>
      <c r="G963" t="s">
        <v>3357</v>
      </c>
      <c r="H963" t="s">
        <v>750</v>
      </c>
      <c r="I963" t="s">
        <v>607</v>
      </c>
    </row>
    <row r="964" spans="1:9" x14ac:dyDescent="0.25">
      <c r="A964" t="s">
        <v>663</v>
      </c>
      <c r="B964" t="s">
        <v>3358</v>
      </c>
      <c r="C964" t="s">
        <v>3359</v>
      </c>
      <c r="D964">
        <v>4</v>
      </c>
      <c r="E964" t="s">
        <v>747</v>
      </c>
      <c r="F964" t="s">
        <v>758</v>
      </c>
      <c r="G964" t="s">
        <v>3360</v>
      </c>
      <c r="H964" t="s">
        <v>760</v>
      </c>
      <c r="I964" t="s">
        <v>607</v>
      </c>
    </row>
    <row r="965" spans="1:9" x14ac:dyDescent="0.25">
      <c r="A965" t="s">
        <v>663</v>
      </c>
      <c r="B965" t="s">
        <v>3361</v>
      </c>
      <c r="C965" t="s">
        <v>3362</v>
      </c>
      <c r="D965">
        <v>5</v>
      </c>
      <c r="E965" t="s">
        <v>747</v>
      </c>
      <c r="F965" t="s">
        <v>763</v>
      </c>
      <c r="G965" t="s">
        <v>3363</v>
      </c>
      <c r="H965" t="s">
        <v>760</v>
      </c>
      <c r="I965" t="s">
        <v>607</v>
      </c>
    </row>
    <row r="966" spans="1:9" x14ac:dyDescent="0.25">
      <c r="A966" t="s">
        <v>663</v>
      </c>
      <c r="B966" t="s">
        <v>765</v>
      </c>
      <c r="C966" t="s">
        <v>3364</v>
      </c>
      <c r="E966" t="s">
        <v>767</v>
      </c>
      <c r="F966" t="s">
        <v>768</v>
      </c>
      <c r="G966" t="s">
        <v>3365</v>
      </c>
      <c r="H966" t="s">
        <v>750</v>
      </c>
      <c r="I966" t="s">
        <v>607</v>
      </c>
    </row>
    <row r="967" spans="1:9" x14ac:dyDescent="0.25">
      <c r="A967" t="s">
        <v>663</v>
      </c>
      <c r="B967" t="s">
        <v>770</v>
      </c>
      <c r="C967" t="s">
        <v>3366</v>
      </c>
      <c r="E967" t="s">
        <v>767</v>
      </c>
      <c r="F967" t="s">
        <v>772</v>
      </c>
      <c r="G967" t="s">
        <v>3367</v>
      </c>
      <c r="H967" t="s">
        <v>750</v>
      </c>
      <c r="I967" t="s">
        <v>607</v>
      </c>
    </row>
    <row r="968" spans="1:9" x14ac:dyDescent="0.25">
      <c r="A968" t="s">
        <v>667</v>
      </c>
      <c r="B968" t="s">
        <v>670</v>
      </c>
      <c r="C968" t="s">
        <v>3368</v>
      </c>
      <c r="D968">
        <v>1</v>
      </c>
      <c r="E968" t="s">
        <v>747</v>
      </c>
      <c r="F968" t="s">
        <v>3369</v>
      </c>
      <c r="G968" t="s">
        <v>3370</v>
      </c>
      <c r="H968" t="s">
        <v>750</v>
      </c>
      <c r="I968" t="s">
        <v>607</v>
      </c>
    </row>
    <row r="969" spans="1:9" x14ac:dyDescent="0.25">
      <c r="A969" t="s">
        <v>667</v>
      </c>
      <c r="B969" t="s">
        <v>3371</v>
      </c>
      <c r="C969" t="s">
        <v>3372</v>
      </c>
      <c r="D969">
        <v>2</v>
      </c>
      <c r="E969" t="s">
        <v>747</v>
      </c>
      <c r="F969" t="s">
        <v>3373</v>
      </c>
      <c r="G969" t="s">
        <v>3370</v>
      </c>
      <c r="H969" t="s">
        <v>750</v>
      </c>
      <c r="I969" t="s">
        <v>607</v>
      </c>
    </row>
    <row r="970" spans="1:9" x14ac:dyDescent="0.25">
      <c r="A970" t="s">
        <v>667</v>
      </c>
      <c r="B970" t="s">
        <v>3374</v>
      </c>
      <c r="C970" t="s">
        <v>3375</v>
      </c>
      <c r="D970">
        <v>3</v>
      </c>
      <c r="E970" t="s">
        <v>747</v>
      </c>
      <c r="F970" t="s">
        <v>755</v>
      </c>
      <c r="G970" t="s">
        <v>3376</v>
      </c>
      <c r="H970" t="s">
        <v>750</v>
      </c>
      <c r="I970" t="s">
        <v>607</v>
      </c>
    </row>
    <row r="971" spans="1:9" x14ac:dyDescent="0.25">
      <c r="A971" t="s">
        <v>667</v>
      </c>
      <c r="B971" t="s">
        <v>3377</v>
      </c>
      <c r="C971" t="s">
        <v>3378</v>
      </c>
      <c r="D971">
        <v>4</v>
      </c>
      <c r="E971" t="s">
        <v>747</v>
      </c>
      <c r="F971" t="s">
        <v>758</v>
      </c>
      <c r="G971" t="s">
        <v>3379</v>
      </c>
      <c r="H971" t="s">
        <v>760</v>
      </c>
      <c r="I971" t="s">
        <v>607</v>
      </c>
    </row>
    <row r="972" spans="1:9" x14ac:dyDescent="0.25">
      <c r="A972" t="s">
        <v>667</v>
      </c>
      <c r="B972" t="s">
        <v>3380</v>
      </c>
      <c r="C972" t="s">
        <v>3381</v>
      </c>
      <c r="D972">
        <v>5</v>
      </c>
      <c r="E972" t="s">
        <v>747</v>
      </c>
      <c r="F972" t="s">
        <v>763</v>
      </c>
      <c r="G972" t="s">
        <v>3382</v>
      </c>
      <c r="H972" t="s">
        <v>760</v>
      </c>
      <c r="I972" t="s">
        <v>607</v>
      </c>
    </row>
    <row r="973" spans="1:9" x14ac:dyDescent="0.25">
      <c r="A973" t="s">
        <v>667</v>
      </c>
      <c r="B973" t="s">
        <v>765</v>
      </c>
      <c r="C973" t="s">
        <v>3383</v>
      </c>
      <c r="E973" t="s">
        <v>767</v>
      </c>
      <c r="F973" t="s">
        <v>768</v>
      </c>
      <c r="G973" t="s">
        <v>3384</v>
      </c>
      <c r="H973" t="s">
        <v>750</v>
      </c>
      <c r="I973" t="s">
        <v>607</v>
      </c>
    </row>
    <row r="974" spans="1:9" x14ac:dyDescent="0.25">
      <c r="A974" t="s">
        <v>667</v>
      </c>
      <c r="B974" t="s">
        <v>770</v>
      </c>
      <c r="C974" t="s">
        <v>3385</v>
      </c>
      <c r="E974" t="s">
        <v>767</v>
      </c>
      <c r="F974" t="s">
        <v>772</v>
      </c>
      <c r="G974" t="s">
        <v>3386</v>
      </c>
      <c r="H974" t="s">
        <v>750</v>
      </c>
      <c r="I974" t="s">
        <v>607</v>
      </c>
    </row>
    <row r="975" spans="1:9" x14ac:dyDescent="0.25">
      <c r="A975" t="s">
        <v>671</v>
      </c>
      <c r="B975" t="s">
        <v>674</v>
      </c>
      <c r="C975" t="s">
        <v>3387</v>
      </c>
      <c r="D975">
        <v>1</v>
      </c>
      <c r="E975" t="s">
        <v>747</v>
      </c>
      <c r="F975" t="s">
        <v>3388</v>
      </c>
      <c r="G975" t="s">
        <v>3389</v>
      </c>
      <c r="H975" t="s">
        <v>750</v>
      </c>
      <c r="I975" t="s">
        <v>607</v>
      </c>
    </row>
    <row r="976" spans="1:9" x14ac:dyDescent="0.25">
      <c r="A976" t="s">
        <v>671</v>
      </c>
      <c r="B976" t="s">
        <v>3390</v>
      </c>
      <c r="C976" t="s">
        <v>3391</v>
      </c>
      <c r="D976">
        <v>2</v>
      </c>
      <c r="E976" t="s">
        <v>747</v>
      </c>
      <c r="F976" t="s">
        <v>3392</v>
      </c>
      <c r="G976" t="s">
        <v>3389</v>
      </c>
      <c r="H976" t="s">
        <v>750</v>
      </c>
      <c r="I976" t="s">
        <v>607</v>
      </c>
    </row>
    <row r="977" spans="1:9" x14ac:dyDescent="0.25">
      <c r="A977" t="s">
        <v>671</v>
      </c>
      <c r="B977" t="s">
        <v>3393</v>
      </c>
      <c r="C977" t="s">
        <v>3394</v>
      </c>
      <c r="D977">
        <v>3</v>
      </c>
      <c r="E977" t="s">
        <v>747</v>
      </c>
      <c r="F977" t="s">
        <v>755</v>
      </c>
      <c r="G977" t="s">
        <v>3395</v>
      </c>
      <c r="H977" t="s">
        <v>750</v>
      </c>
      <c r="I977" t="s">
        <v>607</v>
      </c>
    </row>
    <row r="978" spans="1:9" x14ac:dyDescent="0.25">
      <c r="A978" t="s">
        <v>671</v>
      </c>
      <c r="B978" t="s">
        <v>3396</v>
      </c>
      <c r="C978" t="s">
        <v>3397</v>
      </c>
      <c r="D978">
        <v>4</v>
      </c>
      <c r="E978" t="s">
        <v>747</v>
      </c>
      <c r="F978" t="s">
        <v>758</v>
      </c>
      <c r="G978" t="s">
        <v>3398</v>
      </c>
      <c r="H978" t="s">
        <v>760</v>
      </c>
      <c r="I978" t="s">
        <v>607</v>
      </c>
    </row>
    <row r="979" spans="1:9" x14ac:dyDescent="0.25">
      <c r="A979" t="s">
        <v>671</v>
      </c>
      <c r="B979" t="s">
        <v>3399</v>
      </c>
      <c r="C979" t="s">
        <v>3400</v>
      </c>
      <c r="D979">
        <v>5</v>
      </c>
      <c r="E979" t="s">
        <v>747</v>
      </c>
      <c r="F979" t="s">
        <v>763</v>
      </c>
      <c r="G979" t="s">
        <v>3401</v>
      </c>
      <c r="H979" t="s">
        <v>760</v>
      </c>
      <c r="I979" t="s">
        <v>607</v>
      </c>
    </row>
    <row r="980" spans="1:9" x14ac:dyDescent="0.25">
      <c r="A980" t="s">
        <v>671</v>
      </c>
      <c r="B980" t="s">
        <v>765</v>
      </c>
      <c r="C980" t="s">
        <v>3402</v>
      </c>
      <c r="E980" t="s">
        <v>767</v>
      </c>
      <c r="F980" t="s">
        <v>768</v>
      </c>
      <c r="G980" t="s">
        <v>3403</v>
      </c>
      <c r="H980" t="s">
        <v>750</v>
      </c>
      <c r="I980" t="s">
        <v>607</v>
      </c>
    </row>
    <row r="981" spans="1:9" x14ac:dyDescent="0.25">
      <c r="A981" t="s">
        <v>671</v>
      </c>
      <c r="B981" t="s">
        <v>770</v>
      </c>
      <c r="C981" t="s">
        <v>3404</v>
      </c>
      <c r="E981" t="s">
        <v>767</v>
      </c>
      <c r="F981" t="s">
        <v>772</v>
      </c>
      <c r="G981" t="s">
        <v>3405</v>
      </c>
      <c r="H981" t="s">
        <v>750</v>
      </c>
      <c r="I981" t="s">
        <v>607</v>
      </c>
    </row>
    <row r="982" spans="1:9" x14ac:dyDescent="0.25">
      <c r="A982" t="s">
        <v>675</v>
      </c>
      <c r="B982" t="s">
        <v>3406</v>
      </c>
      <c r="C982" t="s">
        <v>3407</v>
      </c>
      <c r="D982">
        <v>1</v>
      </c>
      <c r="E982" t="s">
        <v>747</v>
      </c>
      <c r="F982" t="s">
        <v>3408</v>
      </c>
      <c r="G982" t="s">
        <v>3409</v>
      </c>
      <c r="H982" t="s">
        <v>750</v>
      </c>
      <c r="I982" t="s">
        <v>676</v>
      </c>
    </row>
    <row r="983" spans="1:9" x14ac:dyDescent="0.25">
      <c r="A983" t="s">
        <v>675</v>
      </c>
      <c r="B983" t="s">
        <v>3410</v>
      </c>
      <c r="C983" t="s">
        <v>3411</v>
      </c>
      <c r="D983">
        <v>2</v>
      </c>
      <c r="E983" t="s">
        <v>747</v>
      </c>
      <c r="F983" t="s">
        <v>3412</v>
      </c>
      <c r="G983" t="s">
        <v>3409</v>
      </c>
      <c r="H983" t="s">
        <v>750</v>
      </c>
      <c r="I983" t="s">
        <v>676</v>
      </c>
    </row>
    <row r="984" spans="1:9" x14ac:dyDescent="0.25">
      <c r="A984" t="s">
        <v>675</v>
      </c>
      <c r="B984" t="s">
        <v>680</v>
      </c>
      <c r="C984" t="s">
        <v>3413</v>
      </c>
      <c r="D984">
        <v>3</v>
      </c>
      <c r="E984" t="s">
        <v>747</v>
      </c>
      <c r="F984" t="s">
        <v>755</v>
      </c>
      <c r="G984" t="s">
        <v>3414</v>
      </c>
      <c r="H984" t="s">
        <v>750</v>
      </c>
      <c r="I984" t="s">
        <v>676</v>
      </c>
    </row>
    <row r="985" spans="1:9" x14ac:dyDescent="0.25">
      <c r="A985" t="s">
        <v>675</v>
      </c>
      <c r="B985" t="s">
        <v>3415</v>
      </c>
      <c r="C985" t="s">
        <v>3416</v>
      </c>
      <c r="D985">
        <v>4</v>
      </c>
      <c r="E985" t="s">
        <v>747</v>
      </c>
      <c r="F985" t="s">
        <v>758</v>
      </c>
      <c r="G985" t="s">
        <v>3417</v>
      </c>
      <c r="H985" t="s">
        <v>760</v>
      </c>
      <c r="I985" t="s">
        <v>676</v>
      </c>
    </row>
    <row r="986" spans="1:9" x14ac:dyDescent="0.25">
      <c r="A986" t="s">
        <v>675</v>
      </c>
      <c r="B986" t="s">
        <v>3418</v>
      </c>
      <c r="C986" t="s">
        <v>3419</v>
      </c>
      <c r="D986">
        <v>5</v>
      </c>
      <c r="E986" t="s">
        <v>747</v>
      </c>
      <c r="F986" t="s">
        <v>763</v>
      </c>
      <c r="G986" t="s">
        <v>3420</v>
      </c>
      <c r="H986" t="s">
        <v>760</v>
      </c>
      <c r="I986" t="s">
        <v>676</v>
      </c>
    </row>
    <row r="987" spans="1:9" x14ac:dyDescent="0.25">
      <c r="A987" t="s">
        <v>675</v>
      </c>
      <c r="B987" t="s">
        <v>765</v>
      </c>
      <c r="C987" t="s">
        <v>3421</v>
      </c>
      <c r="E987" t="s">
        <v>767</v>
      </c>
      <c r="F987" t="s">
        <v>768</v>
      </c>
      <c r="G987" t="s">
        <v>3422</v>
      </c>
      <c r="H987" t="s">
        <v>750</v>
      </c>
      <c r="I987" t="s">
        <v>676</v>
      </c>
    </row>
    <row r="988" spans="1:9" x14ac:dyDescent="0.25">
      <c r="A988" t="s">
        <v>675</v>
      </c>
      <c r="B988" t="s">
        <v>770</v>
      </c>
      <c r="C988" t="s">
        <v>3423</v>
      </c>
      <c r="E988" t="s">
        <v>767</v>
      </c>
      <c r="F988" t="s">
        <v>772</v>
      </c>
      <c r="G988" t="s">
        <v>3424</v>
      </c>
      <c r="H988" t="s">
        <v>750</v>
      </c>
      <c r="I988" t="s">
        <v>676</v>
      </c>
    </row>
    <row r="989" spans="1:9" x14ac:dyDescent="0.25">
      <c r="A989" t="s">
        <v>681</v>
      </c>
      <c r="B989" t="s">
        <v>684</v>
      </c>
      <c r="C989" t="s">
        <v>3425</v>
      </c>
      <c r="D989">
        <v>1</v>
      </c>
      <c r="E989" t="s">
        <v>747</v>
      </c>
      <c r="F989" t="s">
        <v>3426</v>
      </c>
      <c r="G989" t="s">
        <v>3427</v>
      </c>
      <c r="H989" t="s">
        <v>750</v>
      </c>
      <c r="I989" t="s">
        <v>676</v>
      </c>
    </row>
    <row r="990" spans="1:9" x14ac:dyDescent="0.25">
      <c r="A990" t="s">
        <v>681</v>
      </c>
      <c r="B990" t="s">
        <v>3428</v>
      </c>
      <c r="C990" t="s">
        <v>3429</v>
      </c>
      <c r="D990">
        <v>2</v>
      </c>
      <c r="E990" t="s">
        <v>747</v>
      </c>
      <c r="F990" t="s">
        <v>3430</v>
      </c>
      <c r="G990" t="s">
        <v>3427</v>
      </c>
      <c r="H990" t="s">
        <v>750</v>
      </c>
      <c r="I990" t="s">
        <v>676</v>
      </c>
    </row>
    <row r="991" spans="1:9" x14ac:dyDescent="0.25">
      <c r="A991" t="s">
        <v>681</v>
      </c>
      <c r="B991" t="s">
        <v>3431</v>
      </c>
      <c r="C991" t="s">
        <v>3432</v>
      </c>
      <c r="D991">
        <v>3</v>
      </c>
      <c r="E991" t="s">
        <v>747</v>
      </c>
      <c r="F991" t="s">
        <v>755</v>
      </c>
      <c r="G991" t="s">
        <v>3433</v>
      </c>
      <c r="H991" t="s">
        <v>750</v>
      </c>
      <c r="I991" t="s">
        <v>676</v>
      </c>
    </row>
    <row r="992" spans="1:9" x14ac:dyDescent="0.25">
      <c r="A992" t="s">
        <v>681</v>
      </c>
      <c r="B992" t="s">
        <v>3434</v>
      </c>
      <c r="C992" t="s">
        <v>3435</v>
      </c>
      <c r="D992">
        <v>4</v>
      </c>
      <c r="E992" t="s">
        <v>747</v>
      </c>
      <c r="F992" t="s">
        <v>758</v>
      </c>
      <c r="G992" t="s">
        <v>3436</v>
      </c>
      <c r="H992" t="s">
        <v>760</v>
      </c>
      <c r="I992" t="s">
        <v>676</v>
      </c>
    </row>
    <row r="993" spans="1:9" x14ac:dyDescent="0.25">
      <c r="A993" t="s">
        <v>681</v>
      </c>
      <c r="B993" t="s">
        <v>3437</v>
      </c>
      <c r="C993" t="s">
        <v>3438</v>
      </c>
      <c r="D993">
        <v>5</v>
      </c>
      <c r="E993" t="s">
        <v>747</v>
      </c>
      <c r="F993" t="s">
        <v>763</v>
      </c>
      <c r="G993" t="s">
        <v>3439</v>
      </c>
      <c r="H993" t="s">
        <v>760</v>
      </c>
      <c r="I993" t="s">
        <v>676</v>
      </c>
    </row>
    <row r="994" spans="1:9" x14ac:dyDescent="0.25">
      <c r="A994" t="s">
        <v>681</v>
      </c>
      <c r="B994" t="s">
        <v>765</v>
      </c>
      <c r="C994" t="s">
        <v>3440</v>
      </c>
      <c r="E994" t="s">
        <v>767</v>
      </c>
      <c r="F994" t="s">
        <v>768</v>
      </c>
      <c r="G994" t="s">
        <v>3441</v>
      </c>
      <c r="H994" t="s">
        <v>750</v>
      </c>
      <c r="I994" t="s">
        <v>676</v>
      </c>
    </row>
    <row r="995" spans="1:9" x14ac:dyDescent="0.25">
      <c r="A995" t="s">
        <v>681</v>
      </c>
      <c r="B995" t="s">
        <v>770</v>
      </c>
      <c r="C995" t="s">
        <v>3442</v>
      </c>
      <c r="E995" t="s">
        <v>767</v>
      </c>
      <c r="F995" t="s">
        <v>772</v>
      </c>
      <c r="G995" t="s">
        <v>3443</v>
      </c>
      <c r="H995" t="s">
        <v>750</v>
      </c>
      <c r="I995" t="s">
        <v>676</v>
      </c>
    </row>
    <row r="996" spans="1:9" x14ac:dyDescent="0.25">
      <c r="A996" t="s">
        <v>685</v>
      </c>
      <c r="B996" t="s">
        <v>688</v>
      </c>
      <c r="C996" t="s">
        <v>3444</v>
      </c>
      <c r="D996">
        <v>1</v>
      </c>
      <c r="E996" t="s">
        <v>747</v>
      </c>
      <c r="F996" t="s">
        <v>3445</v>
      </c>
      <c r="G996" t="s">
        <v>3446</v>
      </c>
      <c r="H996" t="s">
        <v>750</v>
      </c>
      <c r="I996" t="s">
        <v>676</v>
      </c>
    </row>
    <row r="997" spans="1:9" x14ac:dyDescent="0.25">
      <c r="A997" t="s">
        <v>685</v>
      </c>
      <c r="B997" t="s">
        <v>3447</v>
      </c>
      <c r="C997" t="s">
        <v>3448</v>
      </c>
      <c r="D997">
        <v>2</v>
      </c>
      <c r="E997" t="s">
        <v>747</v>
      </c>
      <c r="F997" t="s">
        <v>3449</v>
      </c>
      <c r="G997" t="s">
        <v>3446</v>
      </c>
      <c r="H997" t="s">
        <v>750</v>
      </c>
      <c r="I997" t="s">
        <v>676</v>
      </c>
    </row>
    <row r="998" spans="1:9" x14ac:dyDescent="0.25">
      <c r="A998" t="s">
        <v>685</v>
      </c>
      <c r="B998" t="s">
        <v>3450</v>
      </c>
      <c r="C998" t="s">
        <v>3451</v>
      </c>
      <c r="D998">
        <v>3</v>
      </c>
      <c r="E998" t="s">
        <v>747</v>
      </c>
      <c r="F998" t="s">
        <v>755</v>
      </c>
      <c r="G998" t="s">
        <v>3452</v>
      </c>
      <c r="H998" t="s">
        <v>750</v>
      </c>
      <c r="I998" t="s">
        <v>676</v>
      </c>
    </row>
    <row r="999" spans="1:9" x14ac:dyDescent="0.25">
      <c r="A999" t="s">
        <v>685</v>
      </c>
      <c r="B999" t="s">
        <v>3453</v>
      </c>
      <c r="C999" t="s">
        <v>3454</v>
      </c>
      <c r="D999">
        <v>4</v>
      </c>
      <c r="E999" t="s">
        <v>747</v>
      </c>
      <c r="F999" t="s">
        <v>758</v>
      </c>
      <c r="G999" t="s">
        <v>3455</v>
      </c>
      <c r="H999" t="s">
        <v>760</v>
      </c>
      <c r="I999" t="s">
        <v>676</v>
      </c>
    </row>
    <row r="1000" spans="1:9" x14ac:dyDescent="0.25">
      <c r="A1000" t="s">
        <v>685</v>
      </c>
      <c r="B1000" t="s">
        <v>3456</v>
      </c>
      <c r="C1000" t="s">
        <v>3457</v>
      </c>
      <c r="D1000">
        <v>5</v>
      </c>
      <c r="E1000" t="s">
        <v>747</v>
      </c>
      <c r="F1000" t="s">
        <v>763</v>
      </c>
      <c r="G1000" t="s">
        <v>3458</v>
      </c>
      <c r="H1000" t="s">
        <v>760</v>
      </c>
      <c r="I1000" t="s">
        <v>676</v>
      </c>
    </row>
    <row r="1001" spans="1:9" x14ac:dyDescent="0.25">
      <c r="A1001" t="s">
        <v>685</v>
      </c>
      <c r="B1001" t="s">
        <v>765</v>
      </c>
      <c r="C1001" t="s">
        <v>3459</v>
      </c>
      <c r="E1001" t="s">
        <v>767</v>
      </c>
      <c r="F1001" t="s">
        <v>768</v>
      </c>
      <c r="G1001" t="s">
        <v>3460</v>
      </c>
      <c r="H1001" t="s">
        <v>750</v>
      </c>
      <c r="I1001" t="s">
        <v>676</v>
      </c>
    </row>
    <row r="1002" spans="1:9" x14ac:dyDescent="0.25">
      <c r="A1002" t="s">
        <v>685</v>
      </c>
      <c r="B1002" t="s">
        <v>770</v>
      </c>
      <c r="C1002" t="s">
        <v>3461</v>
      </c>
      <c r="E1002" t="s">
        <v>767</v>
      </c>
      <c r="F1002" t="s">
        <v>772</v>
      </c>
      <c r="G1002" t="s">
        <v>3462</v>
      </c>
      <c r="H1002" t="s">
        <v>750</v>
      </c>
      <c r="I1002" t="s">
        <v>676</v>
      </c>
    </row>
    <row r="1003" spans="1:9" x14ac:dyDescent="0.25">
      <c r="A1003" t="s">
        <v>689</v>
      </c>
      <c r="B1003" t="s">
        <v>692</v>
      </c>
      <c r="C1003" t="s">
        <v>3463</v>
      </c>
      <c r="D1003">
        <v>1</v>
      </c>
      <c r="E1003" t="s">
        <v>747</v>
      </c>
      <c r="F1003" t="s">
        <v>3464</v>
      </c>
      <c r="G1003" t="s">
        <v>3465</v>
      </c>
      <c r="H1003" t="s">
        <v>750</v>
      </c>
      <c r="I1003" t="s">
        <v>676</v>
      </c>
    </row>
    <row r="1004" spans="1:9" x14ac:dyDescent="0.25">
      <c r="A1004" t="s">
        <v>689</v>
      </c>
      <c r="B1004" t="s">
        <v>3466</v>
      </c>
      <c r="C1004" t="s">
        <v>3467</v>
      </c>
      <c r="D1004">
        <v>2</v>
      </c>
      <c r="E1004" t="s">
        <v>747</v>
      </c>
      <c r="F1004" t="s">
        <v>3468</v>
      </c>
      <c r="G1004" t="s">
        <v>3465</v>
      </c>
      <c r="H1004" t="s">
        <v>750</v>
      </c>
      <c r="I1004" t="s">
        <v>676</v>
      </c>
    </row>
    <row r="1005" spans="1:9" x14ac:dyDescent="0.25">
      <c r="A1005" t="s">
        <v>689</v>
      </c>
      <c r="B1005" t="s">
        <v>3469</v>
      </c>
      <c r="C1005" t="s">
        <v>3470</v>
      </c>
      <c r="D1005">
        <v>3</v>
      </c>
      <c r="E1005" t="s">
        <v>747</v>
      </c>
      <c r="F1005" t="s">
        <v>755</v>
      </c>
      <c r="G1005" t="s">
        <v>3471</v>
      </c>
      <c r="H1005" t="s">
        <v>750</v>
      </c>
      <c r="I1005" t="s">
        <v>676</v>
      </c>
    </row>
    <row r="1006" spans="1:9" x14ac:dyDescent="0.25">
      <c r="A1006" t="s">
        <v>689</v>
      </c>
      <c r="B1006" t="s">
        <v>3472</v>
      </c>
      <c r="C1006" t="s">
        <v>3473</v>
      </c>
      <c r="D1006">
        <v>4</v>
      </c>
      <c r="E1006" t="s">
        <v>747</v>
      </c>
      <c r="F1006" t="s">
        <v>758</v>
      </c>
      <c r="G1006" t="s">
        <v>3474</v>
      </c>
      <c r="H1006" t="s">
        <v>760</v>
      </c>
      <c r="I1006" t="s">
        <v>676</v>
      </c>
    </row>
    <row r="1007" spans="1:9" x14ac:dyDescent="0.25">
      <c r="A1007" t="s">
        <v>689</v>
      </c>
      <c r="B1007" t="s">
        <v>3475</v>
      </c>
      <c r="C1007" t="s">
        <v>3476</v>
      </c>
      <c r="D1007">
        <v>5</v>
      </c>
      <c r="E1007" t="s">
        <v>747</v>
      </c>
      <c r="F1007" t="s">
        <v>763</v>
      </c>
      <c r="G1007" t="s">
        <v>3477</v>
      </c>
      <c r="H1007" t="s">
        <v>760</v>
      </c>
      <c r="I1007" t="s">
        <v>676</v>
      </c>
    </row>
    <row r="1008" spans="1:9" x14ac:dyDescent="0.25">
      <c r="A1008" t="s">
        <v>689</v>
      </c>
      <c r="B1008" t="s">
        <v>765</v>
      </c>
      <c r="C1008" t="s">
        <v>3478</v>
      </c>
      <c r="E1008" t="s">
        <v>767</v>
      </c>
      <c r="F1008" t="s">
        <v>768</v>
      </c>
      <c r="G1008" t="s">
        <v>3479</v>
      </c>
      <c r="H1008" t="s">
        <v>750</v>
      </c>
      <c r="I1008" t="s">
        <v>676</v>
      </c>
    </row>
    <row r="1009" spans="1:9" x14ac:dyDescent="0.25">
      <c r="A1009" t="s">
        <v>689</v>
      </c>
      <c r="B1009" t="s">
        <v>770</v>
      </c>
      <c r="C1009" t="s">
        <v>3480</v>
      </c>
      <c r="E1009" t="s">
        <v>767</v>
      </c>
      <c r="F1009" t="s">
        <v>772</v>
      </c>
      <c r="G1009" t="s">
        <v>3481</v>
      </c>
      <c r="H1009" t="s">
        <v>750</v>
      </c>
      <c r="I1009" t="s">
        <v>676</v>
      </c>
    </row>
    <row r="1010" spans="1:9" x14ac:dyDescent="0.25">
      <c r="A1010" t="s">
        <v>693</v>
      </c>
      <c r="B1010" t="s">
        <v>697</v>
      </c>
      <c r="C1010" t="s">
        <v>3482</v>
      </c>
      <c r="D1010">
        <v>1</v>
      </c>
      <c r="E1010" t="s">
        <v>747</v>
      </c>
      <c r="F1010" t="s">
        <v>3483</v>
      </c>
      <c r="G1010" t="s">
        <v>3484</v>
      </c>
      <c r="H1010" t="s">
        <v>750</v>
      </c>
      <c r="I1010" t="s">
        <v>676</v>
      </c>
    </row>
    <row r="1011" spans="1:9" x14ac:dyDescent="0.25">
      <c r="A1011" t="s">
        <v>693</v>
      </c>
      <c r="B1011" t="s">
        <v>3485</v>
      </c>
      <c r="C1011" t="s">
        <v>3486</v>
      </c>
      <c r="D1011">
        <v>2</v>
      </c>
      <c r="E1011" t="s">
        <v>747</v>
      </c>
      <c r="F1011" t="s">
        <v>3487</v>
      </c>
      <c r="G1011" t="s">
        <v>3484</v>
      </c>
      <c r="H1011" t="s">
        <v>750</v>
      </c>
      <c r="I1011" t="s">
        <v>676</v>
      </c>
    </row>
    <row r="1012" spans="1:9" x14ac:dyDescent="0.25">
      <c r="A1012" t="s">
        <v>693</v>
      </c>
      <c r="B1012" t="s">
        <v>3488</v>
      </c>
      <c r="C1012" t="s">
        <v>3489</v>
      </c>
      <c r="D1012">
        <v>3</v>
      </c>
      <c r="E1012" t="s">
        <v>747</v>
      </c>
      <c r="F1012" t="s">
        <v>755</v>
      </c>
      <c r="G1012" t="s">
        <v>3490</v>
      </c>
      <c r="H1012" t="s">
        <v>750</v>
      </c>
      <c r="I1012" t="s">
        <v>676</v>
      </c>
    </row>
    <row r="1013" spans="1:9" x14ac:dyDescent="0.25">
      <c r="A1013" t="s">
        <v>693</v>
      </c>
      <c r="B1013" t="s">
        <v>3491</v>
      </c>
      <c r="C1013" t="s">
        <v>3492</v>
      </c>
      <c r="D1013">
        <v>4</v>
      </c>
      <c r="E1013" t="s">
        <v>747</v>
      </c>
      <c r="F1013" t="s">
        <v>758</v>
      </c>
      <c r="G1013" t="s">
        <v>3493</v>
      </c>
      <c r="H1013" t="s">
        <v>760</v>
      </c>
      <c r="I1013" t="s">
        <v>676</v>
      </c>
    </row>
    <row r="1014" spans="1:9" x14ac:dyDescent="0.25">
      <c r="A1014" t="s">
        <v>693</v>
      </c>
      <c r="B1014" t="s">
        <v>3494</v>
      </c>
      <c r="C1014" t="s">
        <v>3495</v>
      </c>
      <c r="D1014">
        <v>5</v>
      </c>
      <c r="E1014" t="s">
        <v>747</v>
      </c>
      <c r="F1014" t="s">
        <v>763</v>
      </c>
      <c r="G1014" t="s">
        <v>3496</v>
      </c>
      <c r="H1014" t="s">
        <v>760</v>
      </c>
      <c r="I1014" t="s">
        <v>676</v>
      </c>
    </row>
    <row r="1015" spans="1:9" x14ac:dyDescent="0.25">
      <c r="A1015" t="s">
        <v>693</v>
      </c>
      <c r="B1015" t="s">
        <v>765</v>
      </c>
      <c r="C1015" t="s">
        <v>3497</v>
      </c>
      <c r="E1015" t="s">
        <v>767</v>
      </c>
      <c r="F1015" t="s">
        <v>768</v>
      </c>
      <c r="G1015" t="s">
        <v>3498</v>
      </c>
      <c r="H1015" t="s">
        <v>750</v>
      </c>
      <c r="I1015" t="s">
        <v>676</v>
      </c>
    </row>
    <row r="1016" spans="1:9" x14ac:dyDescent="0.25">
      <c r="A1016" t="s">
        <v>693</v>
      </c>
      <c r="B1016" t="s">
        <v>770</v>
      </c>
      <c r="C1016" t="s">
        <v>3499</v>
      </c>
      <c r="E1016" t="s">
        <v>767</v>
      </c>
      <c r="F1016" t="s">
        <v>772</v>
      </c>
      <c r="G1016" t="s">
        <v>3500</v>
      </c>
      <c r="H1016" t="s">
        <v>750</v>
      </c>
      <c r="I1016" t="s">
        <v>676</v>
      </c>
    </row>
    <row r="1017" spans="1:9" x14ac:dyDescent="0.25">
      <c r="A1017" t="s">
        <v>698</v>
      </c>
      <c r="B1017" t="s">
        <v>701</v>
      </c>
      <c r="C1017" t="s">
        <v>3501</v>
      </c>
      <c r="D1017">
        <v>1</v>
      </c>
      <c r="E1017" t="s">
        <v>747</v>
      </c>
      <c r="F1017" t="s">
        <v>3502</v>
      </c>
      <c r="G1017" t="s">
        <v>3503</v>
      </c>
      <c r="H1017" t="s">
        <v>750</v>
      </c>
      <c r="I1017" t="s">
        <v>676</v>
      </c>
    </row>
    <row r="1018" spans="1:9" x14ac:dyDescent="0.25">
      <c r="A1018" t="s">
        <v>698</v>
      </c>
      <c r="B1018" t="s">
        <v>3504</v>
      </c>
      <c r="C1018" t="s">
        <v>3505</v>
      </c>
      <c r="D1018">
        <v>2</v>
      </c>
      <c r="E1018" t="s">
        <v>747</v>
      </c>
      <c r="F1018" t="s">
        <v>3506</v>
      </c>
      <c r="G1018" t="s">
        <v>3503</v>
      </c>
      <c r="H1018" t="s">
        <v>750</v>
      </c>
      <c r="I1018" t="s">
        <v>676</v>
      </c>
    </row>
    <row r="1019" spans="1:9" x14ac:dyDescent="0.25">
      <c r="A1019" t="s">
        <v>698</v>
      </c>
      <c r="B1019" t="s">
        <v>3507</v>
      </c>
      <c r="C1019" t="s">
        <v>3508</v>
      </c>
      <c r="D1019">
        <v>3</v>
      </c>
      <c r="E1019" t="s">
        <v>747</v>
      </c>
      <c r="F1019" t="s">
        <v>755</v>
      </c>
      <c r="G1019" t="s">
        <v>3509</v>
      </c>
      <c r="H1019" t="s">
        <v>750</v>
      </c>
      <c r="I1019" t="s">
        <v>676</v>
      </c>
    </row>
    <row r="1020" spans="1:9" x14ac:dyDescent="0.25">
      <c r="A1020" t="s">
        <v>698</v>
      </c>
      <c r="B1020" t="s">
        <v>3510</v>
      </c>
      <c r="C1020" t="s">
        <v>3511</v>
      </c>
      <c r="D1020">
        <v>4</v>
      </c>
      <c r="E1020" t="s">
        <v>747</v>
      </c>
      <c r="F1020" t="s">
        <v>758</v>
      </c>
      <c r="G1020" t="s">
        <v>3512</v>
      </c>
      <c r="H1020" t="s">
        <v>760</v>
      </c>
      <c r="I1020" t="s">
        <v>676</v>
      </c>
    </row>
    <row r="1021" spans="1:9" x14ac:dyDescent="0.25">
      <c r="A1021" t="s">
        <v>698</v>
      </c>
      <c r="B1021" t="s">
        <v>3513</v>
      </c>
      <c r="C1021" t="s">
        <v>3514</v>
      </c>
      <c r="D1021">
        <v>5</v>
      </c>
      <c r="E1021" t="s">
        <v>747</v>
      </c>
      <c r="F1021" t="s">
        <v>763</v>
      </c>
      <c r="G1021" t="s">
        <v>3515</v>
      </c>
      <c r="H1021" t="s">
        <v>760</v>
      </c>
      <c r="I1021" t="s">
        <v>676</v>
      </c>
    </row>
    <row r="1022" spans="1:9" x14ac:dyDescent="0.25">
      <c r="A1022" t="s">
        <v>698</v>
      </c>
      <c r="B1022" t="s">
        <v>765</v>
      </c>
      <c r="C1022" t="s">
        <v>3516</v>
      </c>
      <c r="E1022" t="s">
        <v>767</v>
      </c>
      <c r="F1022" t="s">
        <v>768</v>
      </c>
      <c r="G1022" t="s">
        <v>3517</v>
      </c>
      <c r="H1022" t="s">
        <v>750</v>
      </c>
      <c r="I1022" t="s">
        <v>676</v>
      </c>
    </row>
    <row r="1023" spans="1:9" x14ac:dyDescent="0.25">
      <c r="A1023" t="s">
        <v>698</v>
      </c>
      <c r="B1023" t="s">
        <v>770</v>
      </c>
      <c r="C1023" t="s">
        <v>3518</v>
      </c>
      <c r="E1023" t="s">
        <v>767</v>
      </c>
      <c r="F1023" t="s">
        <v>772</v>
      </c>
      <c r="G1023" t="s">
        <v>3519</v>
      </c>
      <c r="H1023" t="s">
        <v>750</v>
      </c>
      <c r="I1023" t="s">
        <v>676</v>
      </c>
    </row>
    <row r="1024" spans="1:9" x14ac:dyDescent="0.25">
      <c r="A1024" t="s">
        <v>702</v>
      </c>
      <c r="B1024" t="s">
        <v>705</v>
      </c>
      <c r="C1024" t="s">
        <v>3520</v>
      </c>
      <c r="D1024">
        <v>1</v>
      </c>
      <c r="E1024" t="s">
        <v>747</v>
      </c>
      <c r="F1024" t="s">
        <v>3521</v>
      </c>
      <c r="G1024" t="s">
        <v>3522</v>
      </c>
      <c r="H1024" t="s">
        <v>750</v>
      </c>
      <c r="I1024" t="s">
        <v>676</v>
      </c>
    </row>
    <row r="1025" spans="1:9" x14ac:dyDescent="0.25">
      <c r="A1025" t="s">
        <v>702</v>
      </c>
      <c r="B1025" t="s">
        <v>3523</v>
      </c>
      <c r="C1025" t="s">
        <v>3524</v>
      </c>
      <c r="D1025">
        <v>2</v>
      </c>
      <c r="E1025" t="s">
        <v>747</v>
      </c>
      <c r="F1025" t="s">
        <v>3525</v>
      </c>
      <c r="G1025" t="s">
        <v>3522</v>
      </c>
      <c r="H1025" t="s">
        <v>750</v>
      </c>
      <c r="I1025" t="s">
        <v>676</v>
      </c>
    </row>
    <row r="1026" spans="1:9" x14ac:dyDescent="0.25">
      <c r="A1026" t="s">
        <v>702</v>
      </c>
      <c r="B1026" t="s">
        <v>3526</v>
      </c>
      <c r="C1026" t="s">
        <v>3527</v>
      </c>
      <c r="D1026">
        <v>3</v>
      </c>
      <c r="E1026" t="s">
        <v>747</v>
      </c>
      <c r="F1026" t="s">
        <v>755</v>
      </c>
      <c r="G1026" t="s">
        <v>3528</v>
      </c>
      <c r="H1026" t="s">
        <v>750</v>
      </c>
      <c r="I1026" t="s">
        <v>676</v>
      </c>
    </row>
    <row r="1027" spans="1:9" x14ac:dyDescent="0.25">
      <c r="A1027" t="s">
        <v>702</v>
      </c>
      <c r="B1027" t="s">
        <v>3529</v>
      </c>
      <c r="C1027" t="s">
        <v>3530</v>
      </c>
      <c r="D1027">
        <v>4</v>
      </c>
      <c r="E1027" t="s">
        <v>747</v>
      </c>
      <c r="F1027" t="s">
        <v>758</v>
      </c>
      <c r="G1027" t="s">
        <v>3531</v>
      </c>
      <c r="H1027" t="s">
        <v>760</v>
      </c>
      <c r="I1027" t="s">
        <v>676</v>
      </c>
    </row>
    <row r="1028" spans="1:9" x14ac:dyDescent="0.25">
      <c r="A1028" t="s">
        <v>702</v>
      </c>
      <c r="B1028" t="s">
        <v>3532</v>
      </c>
      <c r="C1028" t="s">
        <v>3533</v>
      </c>
      <c r="D1028">
        <v>5</v>
      </c>
      <c r="E1028" t="s">
        <v>747</v>
      </c>
      <c r="F1028" t="s">
        <v>763</v>
      </c>
      <c r="G1028" t="s">
        <v>3534</v>
      </c>
      <c r="H1028" t="s">
        <v>760</v>
      </c>
      <c r="I1028" t="s">
        <v>676</v>
      </c>
    </row>
    <row r="1029" spans="1:9" x14ac:dyDescent="0.25">
      <c r="A1029" t="s">
        <v>702</v>
      </c>
      <c r="B1029" t="s">
        <v>765</v>
      </c>
      <c r="C1029" t="s">
        <v>3535</v>
      </c>
      <c r="E1029" t="s">
        <v>767</v>
      </c>
      <c r="F1029" t="s">
        <v>768</v>
      </c>
      <c r="G1029" t="s">
        <v>3536</v>
      </c>
      <c r="H1029" t="s">
        <v>750</v>
      </c>
      <c r="I1029" t="s">
        <v>676</v>
      </c>
    </row>
    <row r="1030" spans="1:9" x14ac:dyDescent="0.25">
      <c r="A1030" t="s">
        <v>702</v>
      </c>
      <c r="B1030" t="s">
        <v>770</v>
      </c>
      <c r="C1030" t="s">
        <v>3537</v>
      </c>
      <c r="E1030" t="s">
        <v>767</v>
      </c>
      <c r="F1030" t="s">
        <v>772</v>
      </c>
      <c r="G1030" t="s">
        <v>3538</v>
      </c>
      <c r="H1030" t="s">
        <v>750</v>
      </c>
      <c r="I1030" t="s">
        <v>676</v>
      </c>
    </row>
    <row r="1031" spans="1:9" x14ac:dyDescent="0.25">
      <c r="A1031" t="s">
        <v>706</v>
      </c>
      <c r="B1031" t="s">
        <v>709</v>
      </c>
      <c r="C1031" t="s">
        <v>3539</v>
      </c>
      <c r="D1031">
        <v>1</v>
      </c>
      <c r="E1031" t="s">
        <v>747</v>
      </c>
      <c r="F1031" t="s">
        <v>3540</v>
      </c>
      <c r="G1031" t="s">
        <v>3541</v>
      </c>
      <c r="H1031" t="s">
        <v>750</v>
      </c>
      <c r="I1031" t="s">
        <v>676</v>
      </c>
    </row>
    <row r="1032" spans="1:9" x14ac:dyDescent="0.25">
      <c r="A1032" t="s">
        <v>706</v>
      </c>
      <c r="B1032" t="s">
        <v>3542</v>
      </c>
      <c r="C1032" t="s">
        <v>3543</v>
      </c>
      <c r="D1032">
        <v>2</v>
      </c>
      <c r="E1032" t="s">
        <v>747</v>
      </c>
      <c r="F1032" t="s">
        <v>3544</v>
      </c>
      <c r="G1032" t="s">
        <v>3541</v>
      </c>
      <c r="H1032" t="s">
        <v>750</v>
      </c>
      <c r="I1032" t="s">
        <v>676</v>
      </c>
    </row>
    <row r="1033" spans="1:9" x14ac:dyDescent="0.25">
      <c r="A1033" t="s">
        <v>706</v>
      </c>
      <c r="B1033" t="s">
        <v>3545</v>
      </c>
      <c r="C1033" t="s">
        <v>3546</v>
      </c>
      <c r="D1033">
        <v>3</v>
      </c>
      <c r="E1033" t="s">
        <v>747</v>
      </c>
      <c r="F1033" t="s">
        <v>755</v>
      </c>
      <c r="G1033" t="s">
        <v>3547</v>
      </c>
      <c r="H1033" t="s">
        <v>750</v>
      </c>
      <c r="I1033" t="s">
        <v>676</v>
      </c>
    </row>
    <row r="1034" spans="1:9" x14ac:dyDescent="0.25">
      <c r="A1034" t="s">
        <v>706</v>
      </c>
      <c r="B1034" t="s">
        <v>3548</v>
      </c>
      <c r="C1034" t="s">
        <v>3549</v>
      </c>
      <c r="D1034">
        <v>4</v>
      </c>
      <c r="E1034" t="s">
        <v>747</v>
      </c>
      <c r="F1034" t="s">
        <v>758</v>
      </c>
      <c r="G1034" t="s">
        <v>3550</v>
      </c>
      <c r="H1034" t="s">
        <v>760</v>
      </c>
      <c r="I1034" t="s">
        <v>676</v>
      </c>
    </row>
    <row r="1035" spans="1:9" x14ac:dyDescent="0.25">
      <c r="A1035" t="s">
        <v>706</v>
      </c>
      <c r="B1035" t="s">
        <v>3551</v>
      </c>
      <c r="C1035" t="s">
        <v>3552</v>
      </c>
      <c r="D1035">
        <v>5</v>
      </c>
      <c r="E1035" t="s">
        <v>747</v>
      </c>
      <c r="F1035" t="s">
        <v>763</v>
      </c>
      <c r="G1035" t="s">
        <v>3553</v>
      </c>
      <c r="H1035" t="s">
        <v>760</v>
      </c>
      <c r="I1035" t="s">
        <v>676</v>
      </c>
    </row>
    <row r="1036" spans="1:9" x14ac:dyDescent="0.25">
      <c r="A1036" t="s">
        <v>706</v>
      </c>
      <c r="B1036" t="s">
        <v>765</v>
      </c>
      <c r="C1036" t="s">
        <v>3554</v>
      </c>
      <c r="E1036" t="s">
        <v>767</v>
      </c>
      <c r="F1036" t="s">
        <v>768</v>
      </c>
      <c r="G1036" t="s">
        <v>3555</v>
      </c>
      <c r="H1036" t="s">
        <v>750</v>
      </c>
      <c r="I1036" t="s">
        <v>676</v>
      </c>
    </row>
    <row r="1037" spans="1:9" x14ac:dyDescent="0.25">
      <c r="A1037" t="s">
        <v>706</v>
      </c>
      <c r="B1037" t="s">
        <v>770</v>
      </c>
      <c r="C1037" t="s">
        <v>3556</v>
      </c>
      <c r="E1037" t="s">
        <v>767</v>
      </c>
      <c r="F1037" t="s">
        <v>772</v>
      </c>
      <c r="G1037" t="s">
        <v>3557</v>
      </c>
      <c r="H1037" t="s">
        <v>750</v>
      </c>
      <c r="I1037" t="s">
        <v>676</v>
      </c>
    </row>
    <row r="1038" spans="1:9" x14ac:dyDescent="0.25">
      <c r="A1038" t="s">
        <v>710</v>
      </c>
      <c r="B1038" t="s">
        <v>714</v>
      </c>
      <c r="C1038" t="s">
        <v>3558</v>
      </c>
      <c r="D1038">
        <v>1</v>
      </c>
      <c r="E1038" t="s">
        <v>747</v>
      </c>
      <c r="F1038" t="s">
        <v>3559</v>
      </c>
      <c r="G1038" t="s">
        <v>3560</v>
      </c>
      <c r="H1038" t="s">
        <v>750</v>
      </c>
      <c r="I1038" t="s">
        <v>676</v>
      </c>
    </row>
    <row r="1039" spans="1:9" x14ac:dyDescent="0.25">
      <c r="A1039" t="s">
        <v>710</v>
      </c>
      <c r="B1039" t="s">
        <v>3561</v>
      </c>
      <c r="C1039" t="s">
        <v>3562</v>
      </c>
      <c r="D1039">
        <v>2</v>
      </c>
      <c r="E1039" t="s">
        <v>747</v>
      </c>
      <c r="F1039" t="s">
        <v>3563</v>
      </c>
      <c r="G1039" t="s">
        <v>3560</v>
      </c>
      <c r="H1039" t="s">
        <v>750</v>
      </c>
      <c r="I1039" t="s">
        <v>676</v>
      </c>
    </row>
    <row r="1040" spans="1:9" x14ac:dyDescent="0.25">
      <c r="A1040" t="s">
        <v>710</v>
      </c>
      <c r="B1040" t="s">
        <v>3564</v>
      </c>
      <c r="C1040" t="s">
        <v>3565</v>
      </c>
      <c r="D1040">
        <v>3</v>
      </c>
      <c r="E1040" t="s">
        <v>747</v>
      </c>
      <c r="F1040" t="s">
        <v>755</v>
      </c>
      <c r="G1040" t="s">
        <v>3566</v>
      </c>
      <c r="H1040" t="s">
        <v>750</v>
      </c>
      <c r="I1040" t="s">
        <v>676</v>
      </c>
    </row>
    <row r="1041" spans="1:9" x14ac:dyDescent="0.25">
      <c r="A1041" t="s">
        <v>710</v>
      </c>
      <c r="B1041" t="s">
        <v>3567</v>
      </c>
      <c r="C1041" t="s">
        <v>3568</v>
      </c>
      <c r="D1041">
        <v>4</v>
      </c>
      <c r="E1041" t="s">
        <v>747</v>
      </c>
      <c r="F1041" t="s">
        <v>758</v>
      </c>
      <c r="G1041" t="s">
        <v>3569</v>
      </c>
      <c r="H1041" t="s">
        <v>760</v>
      </c>
      <c r="I1041" t="s">
        <v>676</v>
      </c>
    </row>
    <row r="1042" spans="1:9" x14ac:dyDescent="0.25">
      <c r="A1042" t="s">
        <v>710</v>
      </c>
      <c r="B1042" t="s">
        <v>3570</v>
      </c>
      <c r="C1042" t="s">
        <v>3571</v>
      </c>
      <c r="D1042">
        <v>5</v>
      </c>
      <c r="E1042" t="s">
        <v>747</v>
      </c>
      <c r="F1042" t="s">
        <v>763</v>
      </c>
      <c r="G1042" t="s">
        <v>3572</v>
      </c>
      <c r="H1042" t="s">
        <v>760</v>
      </c>
      <c r="I1042" t="s">
        <v>676</v>
      </c>
    </row>
    <row r="1043" spans="1:9" x14ac:dyDescent="0.25">
      <c r="A1043" t="s">
        <v>710</v>
      </c>
      <c r="B1043" t="s">
        <v>765</v>
      </c>
      <c r="C1043" t="s">
        <v>3573</v>
      </c>
      <c r="E1043" t="s">
        <v>767</v>
      </c>
      <c r="F1043" t="s">
        <v>768</v>
      </c>
      <c r="G1043" t="s">
        <v>3574</v>
      </c>
      <c r="H1043" t="s">
        <v>750</v>
      </c>
      <c r="I1043" t="s">
        <v>676</v>
      </c>
    </row>
    <row r="1044" spans="1:9" x14ac:dyDescent="0.25">
      <c r="A1044" t="s">
        <v>710</v>
      </c>
      <c r="B1044" t="s">
        <v>770</v>
      </c>
      <c r="C1044" t="s">
        <v>3575</v>
      </c>
      <c r="E1044" t="s">
        <v>767</v>
      </c>
      <c r="F1044" t="s">
        <v>772</v>
      </c>
      <c r="G1044" t="s">
        <v>3576</v>
      </c>
      <c r="H1044" t="s">
        <v>750</v>
      </c>
      <c r="I1044" t="s">
        <v>676</v>
      </c>
    </row>
    <row r="1045" spans="1:9" x14ac:dyDescent="0.25">
      <c r="A1045" t="s">
        <v>715</v>
      </c>
      <c r="B1045" t="s">
        <v>718</v>
      </c>
      <c r="C1045" t="s">
        <v>3577</v>
      </c>
      <c r="D1045">
        <v>1</v>
      </c>
      <c r="E1045" t="s">
        <v>747</v>
      </c>
      <c r="F1045" t="s">
        <v>3578</v>
      </c>
      <c r="G1045" t="s">
        <v>3579</v>
      </c>
      <c r="H1045" t="s">
        <v>750</v>
      </c>
      <c r="I1045" t="s">
        <v>676</v>
      </c>
    </row>
    <row r="1046" spans="1:9" x14ac:dyDescent="0.25">
      <c r="A1046" t="s">
        <v>715</v>
      </c>
      <c r="B1046" t="s">
        <v>3580</v>
      </c>
      <c r="C1046" t="s">
        <v>3581</v>
      </c>
      <c r="D1046">
        <v>2</v>
      </c>
      <c r="E1046" t="s">
        <v>747</v>
      </c>
      <c r="F1046" t="s">
        <v>3582</v>
      </c>
      <c r="G1046" t="s">
        <v>3579</v>
      </c>
      <c r="H1046" t="s">
        <v>750</v>
      </c>
      <c r="I1046" t="s">
        <v>676</v>
      </c>
    </row>
    <row r="1047" spans="1:9" x14ac:dyDescent="0.25">
      <c r="A1047" t="s">
        <v>715</v>
      </c>
      <c r="B1047" t="s">
        <v>3583</v>
      </c>
      <c r="C1047" t="s">
        <v>3584</v>
      </c>
      <c r="D1047">
        <v>3</v>
      </c>
      <c r="E1047" t="s">
        <v>747</v>
      </c>
      <c r="F1047" t="s">
        <v>755</v>
      </c>
      <c r="G1047" t="s">
        <v>3585</v>
      </c>
      <c r="H1047" t="s">
        <v>750</v>
      </c>
      <c r="I1047" t="s">
        <v>676</v>
      </c>
    </row>
    <row r="1048" spans="1:9" x14ac:dyDescent="0.25">
      <c r="A1048" t="s">
        <v>715</v>
      </c>
      <c r="B1048" t="s">
        <v>3586</v>
      </c>
      <c r="C1048" t="s">
        <v>3587</v>
      </c>
      <c r="D1048">
        <v>4</v>
      </c>
      <c r="E1048" t="s">
        <v>747</v>
      </c>
      <c r="F1048" t="s">
        <v>758</v>
      </c>
      <c r="G1048" t="s">
        <v>3588</v>
      </c>
      <c r="H1048" t="s">
        <v>760</v>
      </c>
      <c r="I1048" t="s">
        <v>676</v>
      </c>
    </row>
    <row r="1049" spans="1:9" x14ac:dyDescent="0.25">
      <c r="A1049" t="s">
        <v>715</v>
      </c>
      <c r="B1049" t="s">
        <v>3589</v>
      </c>
      <c r="C1049" t="s">
        <v>3590</v>
      </c>
      <c r="D1049">
        <v>5</v>
      </c>
      <c r="E1049" t="s">
        <v>747</v>
      </c>
      <c r="F1049" t="s">
        <v>763</v>
      </c>
      <c r="G1049" t="s">
        <v>3591</v>
      </c>
      <c r="H1049" t="s">
        <v>760</v>
      </c>
      <c r="I1049" t="s">
        <v>676</v>
      </c>
    </row>
    <row r="1050" spans="1:9" x14ac:dyDescent="0.25">
      <c r="A1050" t="s">
        <v>715</v>
      </c>
      <c r="B1050" t="s">
        <v>765</v>
      </c>
      <c r="C1050" t="s">
        <v>3592</v>
      </c>
      <c r="E1050" t="s">
        <v>767</v>
      </c>
      <c r="F1050" t="s">
        <v>768</v>
      </c>
      <c r="G1050" t="s">
        <v>3593</v>
      </c>
      <c r="H1050" t="s">
        <v>750</v>
      </c>
      <c r="I1050" t="s">
        <v>676</v>
      </c>
    </row>
    <row r="1051" spans="1:9" x14ac:dyDescent="0.25">
      <c r="A1051" t="s">
        <v>715</v>
      </c>
      <c r="B1051" t="s">
        <v>770</v>
      </c>
      <c r="C1051" t="s">
        <v>3594</v>
      </c>
      <c r="E1051" t="s">
        <v>767</v>
      </c>
      <c r="F1051" t="s">
        <v>772</v>
      </c>
      <c r="G1051" t="s">
        <v>3595</v>
      </c>
      <c r="H1051" t="s">
        <v>750</v>
      </c>
      <c r="I1051" t="s">
        <v>676</v>
      </c>
    </row>
    <row r="1052" spans="1:9" x14ac:dyDescent="0.25">
      <c r="A1052" t="s">
        <v>719</v>
      </c>
      <c r="B1052" t="s">
        <v>722</v>
      </c>
      <c r="C1052" t="s">
        <v>3596</v>
      </c>
      <c r="D1052">
        <v>1</v>
      </c>
      <c r="E1052" t="s">
        <v>747</v>
      </c>
      <c r="F1052" t="s">
        <v>3597</v>
      </c>
      <c r="G1052" t="s">
        <v>3598</v>
      </c>
      <c r="H1052" t="s">
        <v>750</v>
      </c>
      <c r="I1052" t="s">
        <v>676</v>
      </c>
    </row>
    <row r="1053" spans="1:9" x14ac:dyDescent="0.25">
      <c r="A1053" t="s">
        <v>719</v>
      </c>
      <c r="B1053" t="s">
        <v>3599</v>
      </c>
      <c r="C1053" t="s">
        <v>3600</v>
      </c>
      <c r="D1053">
        <v>2</v>
      </c>
      <c r="E1053" t="s">
        <v>747</v>
      </c>
      <c r="F1053" t="s">
        <v>3601</v>
      </c>
      <c r="G1053" t="s">
        <v>3598</v>
      </c>
      <c r="H1053" t="s">
        <v>750</v>
      </c>
      <c r="I1053" t="s">
        <v>676</v>
      </c>
    </row>
    <row r="1054" spans="1:9" x14ac:dyDescent="0.25">
      <c r="A1054" t="s">
        <v>719</v>
      </c>
      <c r="B1054" t="s">
        <v>3602</v>
      </c>
      <c r="C1054" t="s">
        <v>3603</v>
      </c>
      <c r="D1054">
        <v>3</v>
      </c>
      <c r="E1054" t="s">
        <v>747</v>
      </c>
      <c r="F1054" t="s">
        <v>755</v>
      </c>
      <c r="G1054" t="s">
        <v>3604</v>
      </c>
      <c r="H1054" t="s">
        <v>750</v>
      </c>
      <c r="I1054" t="s">
        <v>676</v>
      </c>
    </row>
    <row r="1055" spans="1:9" x14ac:dyDescent="0.25">
      <c r="A1055" t="s">
        <v>719</v>
      </c>
      <c r="B1055" t="s">
        <v>3605</v>
      </c>
      <c r="C1055" t="s">
        <v>3606</v>
      </c>
      <c r="D1055">
        <v>4</v>
      </c>
      <c r="E1055" t="s">
        <v>747</v>
      </c>
      <c r="F1055" t="s">
        <v>758</v>
      </c>
      <c r="G1055" t="s">
        <v>3607</v>
      </c>
      <c r="H1055" t="s">
        <v>760</v>
      </c>
      <c r="I1055" t="s">
        <v>676</v>
      </c>
    </row>
    <row r="1056" spans="1:9" x14ac:dyDescent="0.25">
      <c r="A1056" t="s">
        <v>719</v>
      </c>
      <c r="B1056" t="s">
        <v>3608</v>
      </c>
      <c r="C1056" t="s">
        <v>3609</v>
      </c>
      <c r="D1056">
        <v>5</v>
      </c>
      <c r="E1056" t="s">
        <v>747</v>
      </c>
      <c r="F1056" t="s">
        <v>763</v>
      </c>
      <c r="G1056" t="s">
        <v>3610</v>
      </c>
      <c r="H1056" t="s">
        <v>760</v>
      </c>
      <c r="I1056" t="s">
        <v>676</v>
      </c>
    </row>
    <row r="1057" spans="1:9" x14ac:dyDescent="0.25">
      <c r="A1057" t="s">
        <v>719</v>
      </c>
      <c r="B1057" t="s">
        <v>765</v>
      </c>
      <c r="C1057" t="s">
        <v>3611</v>
      </c>
      <c r="E1057" t="s">
        <v>767</v>
      </c>
      <c r="F1057" t="s">
        <v>768</v>
      </c>
      <c r="G1057" t="s">
        <v>3612</v>
      </c>
      <c r="H1057" t="s">
        <v>750</v>
      </c>
      <c r="I1057" t="s">
        <v>676</v>
      </c>
    </row>
    <row r="1058" spans="1:9" x14ac:dyDescent="0.25">
      <c r="A1058" t="s">
        <v>719</v>
      </c>
      <c r="B1058" t="s">
        <v>770</v>
      </c>
      <c r="C1058" t="s">
        <v>3613</v>
      </c>
      <c r="E1058" t="s">
        <v>767</v>
      </c>
      <c r="F1058" t="s">
        <v>772</v>
      </c>
      <c r="G1058" t="s">
        <v>3614</v>
      </c>
      <c r="H1058" t="s">
        <v>750</v>
      </c>
      <c r="I1058" t="s">
        <v>676</v>
      </c>
    </row>
    <row r="1059" spans="1:9" x14ac:dyDescent="0.25">
      <c r="A1059" t="s">
        <v>723</v>
      </c>
      <c r="B1059" t="s">
        <v>726</v>
      </c>
      <c r="C1059" t="s">
        <v>3615</v>
      </c>
      <c r="D1059">
        <v>1</v>
      </c>
      <c r="E1059" t="s">
        <v>747</v>
      </c>
      <c r="F1059" t="s">
        <v>3616</v>
      </c>
      <c r="G1059" t="s">
        <v>3617</v>
      </c>
      <c r="H1059" t="s">
        <v>750</v>
      </c>
      <c r="I1059" t="s">
        <v>676</v>
      </c>
    </row>
    <row r="1060" spans="1:9" x14ac:dyDescent="0.25">
      <c r="A1060" t="s">
        <v>723</v>
      </c>
      <c r="B1060" t="s">
        <v>3618</v>
      </c>
      <c r="C1060" t="s">
        <v>3619</v>
      </c>
      <c r="D1060">
        <v>2</v>
      </c>
      <c r="E1060" t="s">
        <v>747</v>
      </c>
      <c r="F1060" t="s">
        <v>3620</v>
      </c>
      <c r="G1060" t="s">
        <v>3617</v>
      </c>
      <c r="H1060" t="s">
        <v>750</v>
      </c>
      <c r="I1060" t="s">
        <v>676</v>
      </c>
    </row>
    <row r="1061" spans="1:9" x14ac:dyDescent="0.25">
      <c r="A1061" t="s">
        <v>723</v>
      </c>
      <c r="B1061" t="s">
        <v>3621</v>
      </c>
      <c r="C1061" t="s">
        <v>3622</v>
      </c>
      <c r="D1061">
        <v>3</v>
      </c>
      <c r="E1061" t="s">
        <v>747</v>
      </c>
      <c r="F1061" t="s">
        <v>755</v>
      </c>
      <c r="G1061" t="s">
        <v>3623</v>
      </c>
      <c r="H1061" t="s">
        <v>750</v>
      </c>
      <c r="I1061" t="s">
        <v>676</v>
      </c>
    </row>
    <row r="1062" spans="1:9" x14ac:dyDescent="0.25">
      <c r="A1062" t="s">
        <v>723</v>
      </c>
      <c r="B1062" t="s">
        <v>3624</v>
      </c>
      <c r="C1062" t="s">
        <v>3625</v>
      </c>
      <c r="D1062">
        <v>4</v>
      </c>
      <c r="E1062" t="s">
        <v>747</v>
      </c>
      <c r="F1062" t="s">
        <v>758</v>
      </c>
      <c r="G1062" t="s">
        <v>3626</v>
      </c>
      <c r="H1062" t="s">
        <v>760</v>
      </c>
      <c r="I1062" t="s">
        <v>676</v>
      </c>
    </row>
    <row r="1063" spans="1:9" x14ac:dyDescent="0.25">
      <c r="A1063" t="s">
        <v>723</v>
      </c>
      <c r="B1063" t="s">
        <v>3627</v>
      </c>
      <c r="C1063" t="s">
        <v>3628</v>
      </c>
      <c r="D1063">
        <v>5</v>
      </c>
      <c r="E1063" t="s">
        <v>747</v>
      </c>
      <c r="F1063" t="s">
        <v>763</v>
      </c>
      <c r="G1063" t="s">
        <v>3629</v>
      </c>
      <c r="H1063" t="s">
        <v>760</v>
      </c>
      <c r="I1063" t="s">
        <v>676</v>
      </c>
    </row>
    <row r="1064" spans="1:9" x14ac:dyDescent="0.25">
      <c r="A1064" t="s">
        <v>723</v>
      </c>
      <c r="B1064" t="s">
        <v>765</v>
      </c>
      <c r="C1064" t="s">
        <v>3630</v>
      </c>
      <c r="E1064" t="s">
        <v>767</v>
      </c>
      <c r="F1064" t="s">
        <v>768</v>
      </c>
      <c r="G1064" t="s">
        <v>3631</v>
      </c>
      <c r="H1064" t="s">
        <v>750</v>
      </c>
      <c r="I1064" t="s">
        <v>676</v>
      </c>
    </row>
    <row r="1065" spans="1:9" x14ac:dyDescent="0.25">
      <c r="A1065" t="s">
        <v>723</v>
      </c>
      <c r="B1065" t="s">
        <v>770</v>
      </c>
      <c r="C1065" t="s">
        <v>3632</v>
      </c>
      <c r="E1065" t="s">
        <v>767</v>
      </c>
      <c r="F1065" t="s">
        <v>772</v>
      </c>
      <c r="G1065" t="s">
        <v>3633</v>
      </c>
      <c r="H1065" t="s">
        <v>750</v>
      </c>
      <c r="I1065" t="s">
        <v>676</v>
      </c>
    </row>
    <row r="1066" spans="1:9" x14ac:dyDescent="0.25">
      <c r="A1066" t="s">
        <v>727</v>
      </c>
      <c r="B1066" t="s">
        <v>731</v>
      </c>
      <c r="C1066" t="s">
        <v>3634</v>
      </c>
      <c r="D1066">
        <v>1</v>
      </c>
      <c r="E1066" t="s">
        <v>747</v>
      </c>
      <c r="F1066" t="s">
        <v>3635</v>
      </c>
      <c r="G1066" t="s">
        <v>3636</v>
      </c>
      <c r="H1066" t="s">
        <v>750</v>
      </c>
      <c r="I1066" t="s">
        <v>676</v>
      </c>
    </row>
    <row r="1067" spans="1:9" x14ac:dyDescent="0.25">
      <c r="A1067" t="s">
        <v>727</v>
      </c>
      <c r="B1067" t="s">
        <v>3637</v>
      </c>
      <c r="C1067" t="s">
        <v>3638</v>
      </c>
      <c r="D1067">
        <v>2</v>
      </c>
      <c r="E1067" t="s">
        <v>747</v>
      </c>
      <c r="F1067" t="s">
        <v>3639</v>
      </c>
      <c r="G1067" t="s">
        <v>3636</v>
      </c>
      <c r="H1067" t="s">
        <v>750</v>
      </c>
      <c r="I1067" t="s">
        <v>676</v>
      </c>
    </row>
    <row r="1068" spans="1:9" x14ac:dyDescent="0.25">
      <c r="A1068" t="s">
        <v>727</v>
      </c>
      <c r="B1068" t="s">
        <v>3640</v>
      </c>
      <c r="C1068" t="s">
        <v>3641</v>
      </c>
      <c r="D1068">
        <v>3</v>
      </c>
      <c r="E1068" t="s">
        <v>747</v>
      </c>
      <c r="F1068" t="s">
        <v>755</v>
      </c>
      <c r="G1068" t="s">
        <v>3642</v>
      </c>
      <c r="H1068" t="s">
        <v>750</v>
      </c>
      <c r="I1068" t="s">
        <v>676</v>
      </c>
    </row>
    <row r="1069" spans="1:9" x14ac:dyDescent="0.25">
      <c r="A1069" t="s">
        <v>727</v>
      </c>
      <c r="B1069" t="s">
        <v>3643</v>
      </c>
      <c r="C1069" t="s">
        <v>3644</v>
      </c>
      <c r="D1069">
        <v>4</v>
      </c>
      <c r="E1069" t="s">
        <v>747</v>
      </c>
      <c r="F1069" t="s">
        <v>758</v>
      </c>
      <c r="G1069" t="s">
        <v>3645</v>
      </c>
      <c r="H1069" t="s">
        <v>760</v>
      </c>
      <c r="I1069" t="s">
        <v>676</v>
      </c>
    </row>
    <row r="1070" spans="1:9" x14ac:dyDescent="0.25">
      <c r="A1070" t="s">
        <v>727</v>
      </c>
      <c r="B1070" t="s">
        <v>3646</v>
      </c>
      <c r="C1070" t="s">
        <v>3647</v>
      </c>
      <c r="D1070">
        <v>5</v>
      </c>
      <c r="E1070" t="s">
        <v>747</v>
      </c>
      <c r="F1070" t="s">
        <v>763</v>
      </c>
      <c r="G1070" t="s">
        <v>3648</v>
      </c>
      <c r="H1070" t="s">
        <v>760</v>
      </c>
      <c r="I1070" t="s">
        <v>676</v>
      </c>
    </row>
    <row r="1071" spans="1:9" x14ac:dyDescent="0.25">
      <c r="A1071" t="s">
        <v>727</v>
      </c>
      <c r="B1071" t="s">
        <v>765</v>
      </c>
      <c r="C1071" t="s">
        <v>3649</v>
      </c>
      <c r="E1071" t="s">
        <v>767</v>
      </c>
      <c r="F1071" t="s">
        <v>768</v>
      </c>
      <c r="G1071" t="s">
        <v>3650</v>
      </c>
      <c r="H1071" t="s">
        <v>750</v>
      </c>
      <c r="I1071" t="s">
        <v>676</v>
      </c>
    </row>
    <row r="1072" spans="1:9" x14ac:dyDescent="0.25">
      <c r="A1072" t="s">
        <v>727</v>
      </c>
      <c r="B1072" t="s">
        <v>770</v>
      </c>
      <c r="C1072" t="s">
        <v>3651</v>
      </c>
      <c r="E1072" t="s">
        <v>767</v>
      </c>
      <c r="F1072" t="s">
        <v>772</v>
      </c>
      <c r="G1072" t="s">
        <v>3652</v>
      </c>
      <c r="H1072" t="s">
        <v>750</v>
      </c>
      <c r="I1072" t="s">
        <v>676</v>
      </c>
    </row>
    <row r="1073" spans="1:9" x14ac:dyDescent="0.25">
      <c r="A1073" t="s">
        <v>732</v>
      </c>
      <c r="B1073" t="s">
        <v>735</v>
      </c>
      <c r="C1073" t="s">
        <v>3653</v>
      </c>
      <c r="D1073">
        <v>1</v>
      </c>
      <c r="E1073" t="s">
        <v>747</v>
      </c>
      <c r="F1073" t="s">
        <v>3654</v>
      </c>
      <c r="G1073" t="s">
        <v>3655</v>
      </c>
      <c r="H1073" t="s">
        <v>750</v>
      </c>
      <c r="I1073" t="s">
        <v>676</v>
      </c>
    </row>
    <row r="1074" spans="1:9" x14ac:dyDescent="0.25">
      <c r="A1074" t="s">
        <v>732</v>
      </c>
      <c r="B1074" t="s">
        <v>3656</v>
      </c>
      <c r="C1074" t="s">
        <v>3657</v>
      </c>
      <c r="D1074">
        <v>2</v>
      </c>
      <c r="E1074" t="s">
        <v>747</v>
      </c>
      <c r="F1074" t="s">
        <v>3658</v>
      </c>
      <c r="G1074" t="s">
        <v>3655</v>
      </c>
      <c r="H1074" t="s">
        <v>750</v>
      </c>
      <c r="I1074" t="s">
        <v>676</v>
      </c>
    </row>
    <row r="1075" spans="1:9" x14ac:dyDescent="0.25">
      <c r="A1075" t="s">
        <v>732</v>
      </c>
      <c r="B1075" t="s">
        <v>3659</v>
      </c>
      <c r="C1075" t="s">
        <v>3660</v>
      </c>
      <c r="D1075">
        <v>3</v>
      </c>
      <c r="E1075" t="s">
        <v>747</v>
      </c>
      <c r="F1075" t="s">
        <v>755</v>
      </c>
      <c r="G1075" t="s">
        <v>3661</v>
      </c>
      <c r="H1075" t="s">
        <v>750</v>
      </c>
      <c r="I1075" t="s">
        <v>676</v>
      </c>
    </row>
    <row r="1076" spans="1:9" x14ac:dyDescent="0.25">
      <c r="A1076" t="s">
        <v>732</v>
      </c>
      <c r="B1076" t="s">
        <v>3662</v>
      </c>
      <c r="C1076" t="s">
        <v>3663</v>
      </c>
      <c r="D1076">
        <v>4</v>
      </c>
      <c r="E1076" t="s">
        <v>747</v>
      </c>
      <c r="F1076" t="s">
        <v>758</v>
      </c>
      <c r="G1076" t="s">
        <v>3664</v>
      </c>
      <c r="H1076" t="s">
        <v>760</v>
      </c>
      <c r="I1076" t="s">
        <v>676</v>
      </c>
    </row>
    <row r="1077" spans="1:9" x14ac:dyDescent="0.25">
      <c r="A1077" t="s">
        <v>732</v>
      </c>
      <c r="B1077" t="s">
        <v>3665</v>
      </c>
      <c r="C1077" t="s">
        <v>3666</v>
      </c>
      <c r="D1077">
        <v>5</v>
      </c>
      <c r="E1077" t="s">
        <v>747</v>
      </c>
      <c r="F1077" t="s">
        <v>763</v>
      </c>
      <c r="G1077" t="s">
        <v>3667</v>
      </c>
      <c r="H1077" t="s">
        <v>760</v>
      </c>
      <c r="I1077" t="s">
        <v>676</v>
      </c>
    </row>
    <row r="1078" spans="1:9" x14ac:dyDescent="0.25">
      <c r="A1078" t="s">
        <v>732</v>
      </c>
      <c r="B1078" t="s">
        <v>765</v>
      </c>
      <c r="C1078" t="s">
        <v>3668</v>
      </c>
      <c r="E1078" t="s">
        <v>767</v>
      </c>
      <c r="F1078" t="s">
        <v>768</v>
      </c>
      <c r="G1078" t="s">
        <v>3669</v>
      </c>
      <c r="H1078" t="s">
        <v>750</v>
      </c>
      <c r="I1078" t="s">
        <v>676</v>
      </c>
    </row>
    <row r="1079" spans="1:9" x14ac:dyDescent="0.25">
      <c r="A1079" t="s">
        <v>732</v>
      </c>
      <c r="B1079" t="s">
        <v>770</v>
      </c>
      <c r="C1079" t="s">
        <v>3670</v>
      </c>
      <c r="E1079" t="s">
        <v>767</v>
      </c>
      <c r="F1079" t="s">
        <v>772</v>
      </c>
      <c r="G1079" t="s">
        <v>3671</v>
      </c>
      <c r="H1079" t="s">
        <v>750</v>
      </c>
      <c r="I1079" t="s">
        <v>676</v>
      </c>
    </row>
    <row r="1080" spans="1:9" x14ac:dyDescent="0.25">
      <c r="A1080" t="s">
        <v>736</v>
      </c>
      <c r="B1080" t="s">
        <v>3672</v>
      </c>
      <c r="C1080" t="s">
        <v>3673</v>
      </c>
      <c r="D1080">
        <v>1</v>
      </c>
      <c r="E1080" t="s">
        <v>747</v>
      </c>
      <c r="F1080" t="s">
        <v>3674</v>
      </c>
      <c r="G1080" t="s">
        <v>3675</v>
      </c>
      <c r="H1080" t="s">
        <v>750</v>
      </c>
      <c r="I1080" t="s">
        <v>676</v>
      </c>
    </row>
    <row r="1081" spans="1:9" x14ac:dyDescent="0.25">
      <c r="A1081" t="s">
        <v>736</v>
      </c>
      <c r="B1081" t="s">
        <v>3676</v>
      </c>
      <c r="C1081" t="s">
        <v>3677</v>
      </c>
      <c r="D1081">
        <v>2</v>
      </c>
      <c r="E1081" t="s">
        <v>747</v>
      </c>
      <c r="F1081" t="s">
        <v>3678</v>
      </c>
      <c r="G1081" t="s">
        <v>3675</v>
      </c>
      <c r="H1081" t="s">
        <v>750</v>
      </c>
      <c r="I1081" t="s">
        <v>676</v>
      </c>
    </row>
    <row r="1082" spans="1:9" x14ac:dyDescent="0.25">
      <c r="A1082" t="s">
        <v>736</v>
      </c>
      <c r="B1082" t="s">
        <v>3679</v>
      </c>
      <c r="C1082" t="s">
        <v>3680</v>
      </c>
      <c r="D1082">
        <v>3</v>
      </c>
      <c r="E1082" t="s">
        <v>747</v>
      </c>
      <c r="F1082" t="s">
        <v>755</v>
      </c>
      <c r="G1082" t="s">
        <v>3681</v>
      </c>
      <c r="H1082" t="s">
        <v>750</v>
      </c>
      <c r="I1082" t="s">
        <v>676</v>
      </c>
    </row>
    <row r="1083" spans="1:9" x14ac:dyDescent="0.25">
      <c r="A1083" t="s">
        <v>736</v>
      </c>
      <c r="B1083" t="s">
        <v>3682</v>
      </c>
      <c r="C1083" t="s">
        <v>3683</v>
      </c>
      <c r="D1083">
        <v>4</v>
      </c>
      <c r="E1083" t="s">
        <v>747</v>
      </c>
      <c r="F1083" t="s">
        <v>758</v>
      </c>
      <c r="G1083" t="s">
        <v>3684</v>
      </c>
      <c r="H1083" t="s">
        <v>760</v>
      </c>
      <c r="I1083" t="s">
        <v>676</v>
      </c>
    </row>
    <row r="1084" spans="1:9" x14ac:dyDescent="0.25">
      <c r="A1084" t="s">
        <v>736</v>
      </c>
      <c r="B1084" t="s">
        <v>739</v>
      </c>
      <c r="C1084" t="s">
        <v>3685</v>
      </c>
      <c r="D1084">
        <v>5</v>
      </c>
      <c r="E1084" t="s">
        <v>747</v>
      </c>
      <c r="F1084" t="s">
        <v>763</v>
      </c>
      <c r="G1084" t="s">
        <v>3686</v>
      </c>
      <c r="H1084" t="s">
        <v>760</v>
      </c>
      <c r="I1084" t="s">
        <v>676</v>
      </c>
    </row>
    <row r="1085" spans="1:9" x14ac:dyDescent="0.25">
      <c r="A1085" t="s">
        <v>736</v>
      </c>
      <c r="B1085" t="s">
        <v>765</v>
      </c>
      <c r="C1085" t="s">
        <v>3687</v>
      </c>
      <c r="E1085" t="s">
        <v>767</v>
      </c>
      <c r="F1085" t="s">
        <v>768</v>
      </c>
      <c r="G1085" t="s">
        <v>3688</v>
      </c>
      <c r="H1085" t="s">
        <v>750</v>
      </c>
      <c r="I1085" t="s">
        <v>676</v>
      </c>
    </row>
    <row r="1086" spans="1:9" x14ac:dyDescent="0.25">
      <c r="A1086" t="s">
        <v>736</v>
      </c>
      <c r="B1086" t="s">
        <v>770</v>
      </c>
      <c r="C1086" t="s">
        <v>3689</v>
      </c>
      <c r="E1086" t="s">
        <v>767</v>
      </c>
      <c r="F1086" t="s">
        <v>772</v>
      </c>
      <c r="G1086" t="s">
        <v>3690</v>
      </c>
      <c r="H1086" t="s">
        <v>750</v>
      </c>
      <c r="I1086" t="s">
        <v>676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3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4" width="40" customWidth="1"/>
    <col min="5" max="5" width="30" customWidth="1"/>
    <col min="6" max="6" width="40" customWidth="1"/>
    <col min="7" max="7" width="70" customWidth="1"/>
    <col min="8" max="8" width="12" customWidth="1"/>
    <col min="9" max="9" width="18" customWidth="1"/>
  </cols>
  <sheetData>
    <row r="1" spans="1:9" x14ac:dyDescent="0.25">
      <c r="A1" s="10" t="s">
        <v>32</v>
      </c>
      <c r="B1" s="10" t="s">
        <v>19</v>
      </c>
      <c r="C1" s="10" t="s">
        <v>3691</v>
      </c>
      <c r="D1" s="10" t="s">
        <v>20</v>
      </c>
      <c r="E1" s="10" t="s">
        <v>22</v>
      </c>
      <c r="F1" s="10" t="s">
        <v>3692</v>
      </c>
      <c r="G1" s="10" t="s">
        <v>3693</v>
      </c>
      <c r="H1" s="10" t="s">
        <v>3694</v>
      </c>
      <c r="I1" s="10" t="s">
        <v>3695</v>
      </c>
    </row>
    <row r="2" spans="1:9" x14ac:dyDescent="0.25">
      <c r="A2" t="s">
        <v>749</v>
      </c>
      <c r="B2" t="s">
        <v>37</v>
      </c>
      <c r="C2" t="s">
        <v>3696</v>
      </c>
      <c r="D2" t="s">
        <v>38</v>
      </c>
      <c r="E2" t="s">
        <v>40</v>
      </c>
      <c r="F2" t="s">
        <v>3697</v>
      </c>
      <c r="G2" t="s">
        <v>3698</v>
      </c>
      <c r="H2" t="s">
        <v>3699</v>
      </c>
      <c r="I2" t="s">
        <v>3700</v>
      </c>
    </row>
    <row r="3" spans="1:9" x14ac:dyDescent="0.25">
      <c r="A3" t="s">
        <v>756</v>
      </c>
      <c r="B3" t="s">
        <v>37</v>
      </c>
      <c r="C3" t="s">
        <v>3701</v>
      </c>
      <c r="D3" t="s">
        <v>38</v>
      </c>
      <c r="E3" t="s">
        <v>40</v>
      </c>
      <c r="F3" t="s">
        <v>3702</v>
      </c>
      <c r="G3" t="s">
        <v>3703</v>
      </c>
      <c r="H3" t="s">
        <v>3704</v>
      </c>
      <c r="I3" t="s">
        <v>3705</v>
      </c>
    </row>
    <row r="4" spans="1:9" x14ac:dyDescent="0.25">
      <c r="A4" t="s">
        <v>759</v>
      </c>
      <c r="B4" t="s">
        <v>37</v>
      </c>
      <c r="C4" t="s">
        <v>3706</v>
      </c>
      <c r="D4" t="s">
        <v>38</v>
      </c>
      <c r="E4" t="s">
        <v>40</v>
      </c>
      <c r="F4" t="s">
        <v>3707</v>
      </c>
      <c r="G4" t="s">
        <v>3708</v>
      </c>
      <c r="H4" t="s">
        <v>3704</v>
      </c>
      <c r="I4" t="s">
        <v>3709</v>
      </c>
    </row>
    <row r="5" spans="1:9" x14ac:dyDescent="0.25">
      <c r="A5" t="s">
        <v>764</v>
      </c>
      <c r="B5" t="s">
        <v>37</v>
      </c>
      <c r="C5" t="s">
        <v>3710</v>
      </c>
      <c r="D5" t="s">
        <v>38</v>
      </c>
      <c r="E5" t="s">
        <v>40</v>
      </c>
      <c r="F5" t="s">
        <v>3711</v>
      </c>
      <c r="G5" t="s">
        <v>3712</v>
      </c>
      <c r="H5" t="s">
        <v>3713</v>
      </c>
      <c r="I5" t="s">
        <v>3714</v>
      </c>
    </row>
    <row r="6" spans="1:9" x14ac:dyDescent="0.25">
      <c r="A6" t="s">
        <v>769</v>
      </c>
      <c r="B6" t="s">
        <v>37</v>
      </c>
      <c r="C6" t="s">
        <v>3715</v>
      </c>
      <c r="D6" t="s">
        <v>38</v>
      </c>
      <c r="E6" t="s">
        <v>40</v>
      </c>
      <c r="F6" t="s">
        <v>3716</v>
      </c>
      <c r="G6" t="s">
        <v>3717</v>
      </c>
      <c r="H6" t="s">
        <v>3704</v>
      </c>
      <c r="I6" t="s">
        <v>3700</v>
      </c>
    </row>
    <row r="7" spans="1:9" x14ac:dyDescent="0.25">
      <c r="A7" t="s">
        <v>773</v>
      </c>
      <c r="B7" t="s">
        <v>37</v>
      </c>
      <c r="C7" t="s">
        <v>3718</v>
      </c>
      <c r="D7" t="s">
        <v>38</v>
      </c>
      <c r="E7" t="s">
        <v>40</v>
      </c>
      <c r="F7" t="s">
        <v>3719</v>
      </c>
      <c r="G7" t="s">
        <v>3720</v>
      </c>
      <c r="H7" t="s">
        <v>3713</v>
      </c>
      <c r="I7" t="s">
        <v>3721</v>
      </c>
    </row>
    <row r="8" spans="1:9" x14ac:dyDescent="0.25">
      <c r="A8" t="s">
        <v>776</v>
      </c>
      <c r="B8" t="s">
        <v>48</v>
      </c>
      <c r="C8" t="s">
        <v>3696</v>
      </c>
      <c r="D8" t="s">
        <v>38</v>
      </c>
      <c r="E8" t="s">
        <v>49</v>
      </c>
      <c r="F8" t="s">
        <v>3722</v>
      </c>
      <c r="G8" t="s">
        <v>3723</v>
      </c>
      <c r="H8" t="s">
        <v>3699</v>
      </c>
      <c r="I8" t="s">
        <v>3700</v>
      </c>
    </row>
    <row r="9" spans="1:9" x14ac:dyDescent="0.25">
      <c r="A9" t="s">
        <v>782</v>
      </c>
      <c r="B9" t="s">
        <v>48</v>
      </c>
      <c r="C9" t="s">
        <v>3701</v>
      </c>
      <c r="D9" t="s">
        <v>38</v>
      </c>
      <c r="E9" t="s">
        <v>49</v>
      </c>
      <c r="F9" t="s">
        <v>3724</v>
      </c>
      <c r="G9" t="s">
        <v>3725</v>
      </c>
      <c r="H9" t="s">
        <v>3704</v>
      </c>
      <c r="I9" t="s">
        <v>3705</v>
      </c>
    </row>
    <row r="10" spans="1:9" x14ac:dyDescent="0.25">
      <c r="A10" t="s">
        <v>784</v>
      </c>
      <c r="B10" t="s">
        <v>48</v>
      </c>
      <c r="C10" t="s">
        <v>3706</v>
      </c>
      <c r="D10" t="s">
        <v>38</v>
      </c>
      <c r="E10" t="s">
        <v>49</v>
      </c>
      <c r="F10" t="s">
        <v>3726</v>
      </c>
      <c r="G10" t="s">
        <v>3727</v>
      </c>
      <c r="H10" t="s">
        <v>3704</v>
      </c>
      <c r="I10" t="s">
        <v>3709</v>
      </c>
    </row>
    <row r="11" spans="1:9" x14ac:dyDescent="0.25">
      <c r="A11" t="s">
        <v>787</v>
      </c>
      <c r="B11" t="s">
        <v>48</v>
      </c>
      <c r="C11" t="s">
        <v>3710</v>
      </c>
      <c r="D11" t="s">
        <v>38</v>
      </c>
      <c r="E11" t="s">
        <v>49</v>
      </c>
      <c r="F11" t="s">
        <v>3728</v>
      </c>
      <c r="G11" t="s">
        <v>3729</v>
      </c>
      <c r="H11" t="s">
        <v>3713</v>
      </c>
      <c r="I11" t="s">
        <v>3714</v>
      </c>
    </row>
    <row r="12" spans="1:9" x14ac:dyDescent="0.25">
      <c r="A12" t="s">
        <v>789</v>
      </c>
      <c r="B12" t="s">
        <v>48</v>
      </c>
      <c r="C12" t="s">
        <v>3715</v>
      </c>
      <c r="D12" t="s">
        <v>38</v>
      </c>
      <c r="E12" t="s">
        <v>49</v>
      </c>
      <c r="F12" t="s">
        <v>3730</v>
      </c>
      <c r="G12" t="s">
        <v>3731</v>
      </c>
      <c r="H12" t="s">
        <v>3704</v>
      </c>
      <c r="I12" t="s">
        <v>3700</v>
      </c>
    </row>
    <row r="13" spans="1:9" x14ac:dyDescent="0.25">
      <c r="A13" t="s">
        <v>791</v>
      </c>
      <c r="B13" t="s">
        <v>48</v>
      </c>
      <c r="C13" t="s">
        <v>3718</v>
      </c>
      <c r="D13" t="s">
        <v>38</v>
      </c>
      <c r="E13" t="s">
        <v>49</v>
      </c>
      <c r="F13" t="s">
        <v>3732</v>
      </c>
      <c r="G13" t="s">
        <v>3733</v>
      </c>
      <c r="H13" t="s">
        <v>3713</v>
      </c>
      <c r="I13" t="s">
        <v>3721</v>
      </c>
    </row>
    <row r="14" spans="1:9" x14ac:dyDescent="0.25">
      <c r="A14" t="s">
        <v>795</v>
      </c>
      <c r="B14" t="s">
        <v>52</v>
      </c>
      <c r="C14" t="s">
        <v>3696</v>
      </c>
      <c r="D14" t="s">
        <v>38</v>
      </c>
      <c r="E14" t="s">
        <v>53</v>
      </c>
      <c r="F14" t="s">
        <v>3734</v>
      </c>
      <c r="G14" t="s">
        <v>3735</v>
      </c>
      <c r="H14" t="s">
        <v>3699</v>
      </c>
      <c r="I14" t="s">
        <v>3700</v>
      </c>
    </row>
    <row r="15" spans="1:9" x14ac:dyDescent="0.25">
      <c r="A15" t="s">
        <v>800</v>
      </c>
      <c r="B15" t="s">
        <v>52</v>
      </c>
      <c r="C15" t="s">
        <v>3701</v>
      </c>
      <c r="D15" t="s">
        <v>38</v>
      </c>
      <c r="E15" t="s">
        <v>53</v>
      </c>
      <c r="F15" t="s">
        <v>3736</v>
      </c>
      <c r="G15" t="s">
        <v>3737</v>
      </c>
      <c r="H15" t="s">
        <v>3704</v>
      </c>
      <c r="I15" t="s">
        <v>3705</v>
      </c>
    </row>
    <row r="16" spans="1:9" x14ac:dyDescent="0.25">
      <c r="A16" t="s">
        <v>803</v>
      </c>
      <c r="B16" t="s">
        <v>52</v>
      </c>
      <c r="C16" t="s">
        <v>3706</v>
      </c>
      <c r="D16" t="s">
        <v>38</v>
      </c>
      <c r="E16" t="s">
        <v>53</v>
      </c>
      <c r="F16" t="s">
        <v>3738</v>
      </c>
      <c r="G16" t="s">
        <v>3739</v>
      </c>
      <c r="H16" t="s">
        <v>3704</v>
      </c>
      <c r="I16" t="s">
        <v>3709</v>
      </c>
    </row>
    <row r="17" spans="1:9" x14ac:dyDescent="0.25">
      <c r="A17" t="s">
        <v>806</v>
      </c>
      <c r="B17" t="s">
        <v>52</v>
      </c>
      <c r="C17" t="s">
        <v>3710</v>
      </c>
      <c r="D17" t="s">
        <v>38</v>
      </c>
      <c r="E17" t="s">
        <v>53</v>
      </c>
      <c r="F17" t="s">
        <v>3740</v>
      </c>
      <c r="G17" t="s">
        <v>3741</v>
      </c>
      <c r="H17" t="s">
        <v>3713</v>
      </c>
      <c r="I17" t="s">
        <v>3714</v>
      </c>
    </row>
    <row r="18" spans="1:9" x14ac:dyDescent="0.25">
      <c r="A18" t="s">
        <v>808</v>
      </c>
      <c r="B18" t="s">
        <v>52</v>
      </c>
      <c r="C18" t="s">
        <v>3715</v>
      </c>
      <c r="D18" t="s">
        <v>38</v>
      </c>
      <c r="E18" t="s">
        <v>53</v>
      </c>
      <c r="F18" t="s">
        <v>3742</v>
      </c>
      <c r="G18" t="s">
        <v>3743</v>
      </c>
      <c r="H18" t="s">
        <v>3704</v>
      </c>
      <c r="I18" t="s">
        <v>3700</v>
      </c>
    </row>
    <row r="19" spans="1:9" x14ac:dyDescent="0.25">
      <c r="A19" t="s">
        <v>810</v>
      </c>
      <c r="B19" t="s">
        <v>52</v>
      </c>
      <c r="C19" t="s">
        <v>3718</v>
      </c>
      <c r="D19" t="s">
        <v>38</v>
      </c>
      <c r="E19" t="s">
        <v>53</v>
      </c>
      <c r="F19" t="s">
        <v>3744</v>
      </c>
      <c r="G19" t="s">
        <v>3745</v>
      </c>
      <c r="H19" t="s">
        <v>3713</v>
      </c>
      <c r="I19" t="s">
        <v>3721</v>
      </c>
    </row>
    <row r="20" spans="1:9" x14ac:dyDescent="0.25">
      <c r="A20" t="s">
        <v>813</v>
      </c>
      <c r="B20" t="s">
        <v>57</v>
      </c>
      <c r="C20" t="s">
        <v>3696</v>
      </c>
      <c r="D20" t="s">
        <v>38</v>
      </c>
      <c r="E20" t="s">
        <v>58</v>
      </c>
      <c r="F20" t="s">
        <v>3746</v>
      </c>
      <c r="G20" t="s">
        <v>3747</v>
      </c>
      <c r="H20" t="s">
        <v>3699</v>
      </c>
      <c r="I20" t="s">
        <v>3700</v>
      </c>
    </row>
    <row r="21" spans="1:9" x14ac:dyDescent="0.25">
      <c r="A21" t="s">
        <v>818</v>
      </c>
      <c r="B21" t="s">
        <v>57</v>
      </c>
      <c r="C21" t="s">
        <v>3701</v>
      </c>
      <c r="D21" t="s">
        <v>38</v>
      </c>
      <c r="E21" t="s">
        <v>58</v>
      </c>
      <c r="F21" t="s">
        <v>3748</v>
      </c>
      <c r="G21" t="s">
        <v>3749</v>
      </c>
      <c r="H21" t="s">
        <v>3704</v>
      </c>
      <c r="I21" t="s">
        <v>3705</v>
      </c>
    </row>
    <row r="22" spans="1:9" x14ac:dyDescent="0.25">
      <c r="A22" t="s">
        <v>821</v>
      </c>
      <c r="B22" t="s">
        <v>57</v>
      </c>
      <c r="C22" t="s">
        <v>3706</v>
      </c>
      <c r="D22" t="s">
        <v>38</v>
      </c>
      <c r="E22" t="s">
        <v>58</v>
      </c>
      <c r="F22" t="s">
        <v>3750</v>
      </c>
      <c r="G22" t="s">
        <v>3751</v>
      </c>
      <c r="H22" t="s">
        <v>3704</v>
      </c>
      <c r="I22" t="s">
        <v>3709</v>
      </c>
    </row>
    <row r="23" spans="1:9" x14ac:dyDescent="0.25">
      <c r="A23" t="s">
        <v>824</v>
      </c>
      <c r="B23" t="s">
        <v>57</v>
      </c>
      <c r="C23" t="s">
        <v>3710</v>
      </c>
      <c r="D23" t="s">
        <v>38</v>
      </c>
      <c r="E23" t="s">
        <v>58</v>
      </c>
      <c r="F23" t="s">
        <v>3752</v>
      </c>
      <c r="G23" t="s">
        <v>3753</v>
      </c>
      <c r="H23" t="s">
        <v>3713</v>
      </c>
      <c r="I23" t="s">
        <v>3714</v>
      </c>
    </row>
    <row r="24" spans="1:9" x14ac:dyDescent="0.25">
      <c r="A24" t="s">
        <v>826</v>
      </c>
      <c r="B24" t="s">
        <v>57</v>
      </c>
      <c r="C24" t="s">
        <v>3715</v>
      </c>
      <c r="D24" t="s">
        <v>38</v>
      </c>
      <c r="E24" t="s">
        <v>58</v>
      </c>
      <c r="F24" t="s">
        <v>3754</v>
      </c>
      <c r="G24" t="s">
        <v>3755</v>
      </c>
      <c r="H24" t="s">
        <v>3704</v>
      </c>
      <c r="I24" t="s">
        <v>3700</v>
      </c>
    </row>
    <row r="25" spans="1:9" x14ac:dyDescent="0.25">
      <c r="A25" t="s">
        <v>828</v>
      </c>
      <c r="B25" t="s">
        <v>57</v>
      </c>
      <c r="C25" t="s">
        <v>3718</v>
      </c>
      <c r="D25" t="s">
        <v>38</v>
      </c>
      <c r="E25" t="s">
        <v>58</v>
      </c>
      <c r="F25" t="s">
        <v>3756</v>
      </c>
      <c r="G25" t="s">
        <v>3757</v>
      </c>
      <c r="H25" t="s">
        <v>3713</v>
      </c>
      <c r="I25" t="s">
        <v>3721</v>
      </c>
    </row>
    <row r="26" spans="1:9" x14ac:dyDescent="0.25">
      <c r="A26" t="s">
        <v>832</v>
      </c>
      <c r="B26" t="s">
        <v>62</v>
      </c>
      <c r="C26" t="s">
        <v>3696</v>
      </c>
      <c r="D26" t="s">
        <v>38</v>
      </c>
      <c r="E26" t="s">
        <v>63</v>
      </c>
      <c r="F26" t="s">
        <v>3758</v>
      </c>
      <c r="G26" t="s">
        <v>3759</v>
      </c>
      <c r="H26" t="s">
        <v>3699</v>
      </c>
      <c r="I26" t="s">
        <v>3700</v>
      </c>
    </row>
    <row r="27" spans="1:9" x14ac:dyDescent="0.25">
      <c r="A27" t="s">
        <v>837</v>
      </c>
      <c r="B27" t="s">
        <v>62</v>
      </c>
      <c r="C27" t="s">
        <v>3701</v>
      </c>
      <c r="D27" t="s">
        <v>38</v>
      </c>
      <c r="E27" t="s">
        <v>63</v>
      </c>
      <c r="F27" t="s">
        <v>3760</v>
      </c>
      <c r="G27" t="s">
        <v>3761</v>
      </c>
      <c r="H27" t="s">
        <v>3704</v>
      </c>
      <c r="I27" t="s">
        <v>3705</v>
      </c>
    </row>
    <row r="28" spans="1:9" x14ac:dyDescent="0.25">
      <c r="A28" t="s">
        <v>840</v>
      </c>
      <c r="B28" t="s">
        <v>62</v>
      </c>
      <c r="C28" t="s">
        <v>3706</v>
      </c>
      <c r="D28" t="s">
        <v>38</v>
      </c>
      <c r="E28" t="s">
        <v>63</v>
      </c>
      <c r="F28" t="s">
        <v>3762</v>
      </c>
      <c r="G28" t="s">
        <v>3763</v>
      </c>
      <c r="H28" t="s">
        <v>3704</v>
      </c>
      <c r="I28" t="s">
        <v>3709</v>
      </c>
    </row>
    <row r="29" spans="1:9" x14ac:dyDescent="0.25">
      <c r="A29" t="s">
        <v>843</v>
      </c>
      <c r="B29" t="s">
        <v>62</v>
      </c>
      <c r="C29" t="s">
        <v>3710</v>
      </c>
      <c r="D29" t="s">
        <v>38</v>
      </c>
      <c r="E29" t="s">
        <v>63</v>
      </c>
      <c r="F29" t="s">
        <v>3764</v>
      </c>
      <c r="G29" t="s">
        <v>3765</v>
      </c>
      <c r="H29" t="s">
        <v>3713</v>
      </c>
      <c r="I29" t="s">
        <v>3714</v>
      </c>
    </row>
    <row r="30" spans="1:9" x14ac:dyDescent="0.25">
      <c r="A30" t="s">
        <v>845</v>
      </c>
      <c r="B30" t="s">
        <v>62</v>
      </c>
      <c r="C30" t="s">
        <v>3715</v>
      </c>
      <c r="D30" t="s">
        <v>38</v>
      </c>
      <c r="E30" t="s">
        <v>63</v>
      </c>
      <c r="F30" t="s">
        <v>3766</v>
      </c>
      <c r="G30" t="s">
        <v>3767</v>
      </c>
      <c r="H30" t="s">
        <v>3704</v>
      </c>
      <c r="I30" t="s">
        <v>3700</v>
      </c>
    </row>
    <row r="31" spans="1:9" x14ac:dyDescent="0.25">
      <c r="A31" t="s">
        <v>847</v>
      </c>
      <c r="B31" t="s">
        <v>62</v>
      </c>
      <c r="C31" t="s">
        <v>3718</v>
      </c>
      <c r="D31" t="s">
        <v>38</v>
      </c>
      <c r="E31" t="s">
        <v>63</v>
      </c>
      <c r="F31" t="s">
        <v>3768</v>
      </c>
      <c r="G31" t="s">
        <v>3769</v>
      </c>
      <c r="H31" t="s">
        <v>3713</v>
      </c>
      <c r="I31" t="s">
        <v>3721</v>
      </c>
    </row>
    <row r="32" spans="1:9" x14ac:dyDescent="0.25">
      <c r="A32" t="s">
        <v>851</v>
      </c>
      <c r="B32" t="s">
        <v>66</v>
      </c>
      <c r="C32" t="s">
        <v>3696</v>
      </c>
      <c r="D32" t="s">
        <v>38</v>
      </c>
      <c r="E32" t="s">
        <v>68</v>
      </c>
      <c r="F32" t="s">
        <v>3770</v>
      </c>
      <c r="G32" t="s">
        <v>3771</v>
      </c>
      <c r="H32" t="s">
        <v>3699</v>
      </c>
      <c r="I32" t="s">
        <v>3700</v>
      </c>
    </row>
    <row r="33" spans="1:9" x14ac:dyDescent="0.25">
      <c r="A33" t="s">
        <v>857</v>
      </c>
      <c r="B33" t="s">
        <v>66</v>
      </c>
      <c r="C33" t="s">
        <v>3701</v>
      </c>
      <c r="D33" t="s">
        <v>38</v>
      </c>
      <c r="E33" t="s">
        <v>68</v>
      </c>
      <c r="F33" t="s">
        <v>3772</v>
      </c>
      <c r="G33" t="s">
        <v>3773</v>
      </c>
      <c r="H33" t="s">
        <v>3704</v>
      </c>
      <c r="I33" t="s">
        <v>3705</v>
      </c>
    </row>
    <row r="34" spans="1:9" x14ac:dyDescent="0.25">
      <c r="A34" t="s">
        <v>859</v>
      </c>
      <c r="B34" t="s">
        <v>66</v>
      </c>
      <c r="C34" t="s">
        <v>3706</v>
      </c>
      <c r="D34" t="s">
        <v>38</v>
      </c>
      <c r="E34" t="s">
        <v>68</v>
      </c>
      <c r="F34" t="s">
        <v>3774</v>
      </c>
      <c r="G34" t="s">
        <v>3775</v>
      </c>
      <c r="H34" t="s">
        <v>3704</v>
      </c>
      <c r="I34" t="s">
        <v>3709</v>
      </c>
    </row>
    <row r="35" spans="1:9" x14ac:dyDescent="0.25">
      <c r="A35" t="s">
        <v>862</v>
      </c>
      <c r="B35" t="s">
        <v>66</v>
      </c>
      <c r="C35" t="s">
        <v>3710</v>
      </c>
      <c r="D35" t="s">
        <v>38</v>
      </c>
      <c r="E35" t="s">
        <v>68</v>
      </c>
      <c r="F35" t="s">
        <v>3776</v>
      </c>
      <c r="G35" t="s">
        <v>3777</v>
      </c>
      <c r="H35" t="s">
        <v>3713</v>
      </c>
      <c r="I35" t="s">
        <v>3714</v>
      </c>
    </row>
    <row r="36" spans="1:9" x14ac:dyDescent="0.25">
      <c r="A36" t="s">
        <v>864</v>
      </c>
      <c r="B36" t="s">
        <v>66</v>
      </c>
      <c r="C36" t="s">
        <v>3715</v>
      </c>
      <c r="D36" t="s">
        <v>38</v>
      </c>
      <c r="E36" t="s">
        <v>68</v>
      </c>
      <c r="F36" t="s">
        <v>3778</v>
      </c>
      <c r="G36" t="s">
        <v>3779</v>
      </c>
      <c r="H36" t="s">
        <v>3704</v>
      </c>
      <c r="I36" t="s">
        <v>3700</v>
      </c>
    </row>
    <row r="37" spans="1:9" x14ac:dyDescent="0.25">
      <c r="A37" t="s">
        <v>866</v>
      </c>
      <c r="B37" t="s">
        <v>66</v>
      </c>
      <c r="C37" t="s">
        <v>3718</v>
      </c>
      <c r="D37" t="s">
        <v>38</v>
      </c>
      <c r="E37" t="s">
        <v>68</v>
      </c>
      <c r="F37" t="s">
        <v>3780</v>
      </c>
      <c r="G37" t="s">
        <v>3781</v>
      </c>
      <c r="H37" t="s">
        <v>3713</v>
      </c>
      <c r="I37" t="s">
        <v>3721</v>
      </c>
    </row>
    <row r="38" spans="1:9" x14ac:dyDescent="0.25">
      <c r="A38" t="s">
        <v>870</v>
      </c>
      <c r="B38" t="s">
        <v>74</v>
      </c>
      <c r="C38" t="s">
        <v>3696</v>
      </c>
      <c r="D38" t="s">
        <v>38</v>
      </c>
      <c r="E38" t="s">
        <v>75</v>
      </c>
      <c r="F38" t="s">
        <v>3782</v>
      </c>
      <c r="G38" t="s">
        <v>3783</v>
      </c>
      <c r="H38" t="s">
        <v>3699</v>
      </c>
      <c r="I38" t="s">
        <v>3700</v>
      </c>
    </row>
    <row r="39" spans="1:9" x14ac:dyDescent="0.25">
      <c r="A39" t="s">
        <v>875</v>
      </c>
      <c r="B39" t="s">
        <v>74</v>
      </c>
      <c r="C39" t="s">
        <v>3701</v>
      </c>
      <c r="D39" t="s">
        <v>38</v>
      </c>
      <c r="E39" t="s">
        <v>75</v>
      </c>
      <c r="F39" t="s">
        <v>3784</v>
      </c>
      <c r="G39" t="s">
        <v>3785</v>
      </c>
      <c r="H39" t="s">
        <v>3704</v>
      </c>
      <c r="I39" t="s">
        <v>3705</v>
      </c>
    </row>
    <row r="40" spans="1:9" x14ac:dyDescent="0.25">
      <c r="A40" t="s">
        <v>878</v>
      </c>
      <c r="B40" t="s">
        <v>74</v>
      </c>
      <c r="C40" t="s">
        <v>3706</v>
      </c>
      <c r="D40" t="s">
        <v>38</v>
      </c>
      <c r="E40" t="s">
        <v>75</v>
      </c>
      <c r="F40" t="s">
        <v>3786</v>
      </c>
      <c r="G40" t="s">
        <v>3787</v>
      </c>
      <c r="H40" t="s">
        <v>3704</v>
      </c>
      <c r="I40" t="s">
        <v>3709</v>
      </c>
    </row>
    <row r="41" spans="1:9" x14ac:dyDescent="0.25">
      <c r="A41" t="s">
        <v>881</v>
      </c>
      <c r="B41" t="s">
        <v>74</v>
      </c>
      <c r="C41" t="s">
        <v>3710</v>
      </c>
      <c r="D41" t="s">
        <v>38</v>
      </c>
      <c r="E41" t="s">
        <v>75</v>
      </c>
      <c r="F41" t="s">
        <v>3788</v>
      </c>
      <c r="G41" t="s">
        <v>3789</v>
      </c>
      <c r="H41" t="s">
        <v>3713</v>
      </c>
      <c r="I41" t="s">
        <v>3714</v>
      </c>
    </row>
    <row r="42" spans="1:9" x14ac:dyDescent="0.25">
      <c r="A42" t="s">
        <v>883</v>
      </c>
      <c r="B42" t="s">
        <v>74</v>
      </c>
      <c r="C42" t="s">
        <v>3715</v>
      </c>
      <c r="D42" t="s">
        <v>38</v>
      </c>
      <c r="E42" t="s">
        <v>75</v>
      </c>
      <c r="F42" t="s">
        <v>3790</v>
      </c>
      <c r="G42" t="s">
        <v>3791</v>
      </c>
      <c r="H42" t="s">
        <v>3704</v>
      </c>
      <c r="I42" t="s">
        <v>3700</v>
      </c>
    </row>
    <row r="43" spans="1:9" x14ac:dyDescent="0.25">
      <c r="A43" t="s">
        <v>885</v>
      </c>
      <c r="B43" t="s">
        <v>74</v>
      </c>
      <c r="C43" t="s">
        <v>3718</v>
      </c>
      <c r="D43" t="s">
        <v>38</v>
      </c>
      <c r="E43" t="s">
        <v>75</v>
      </c>
      <c r="F43" t="s">
        <v>3792</v>
      </c>
      <c r="G43" t="s">
        <v>3793</v>
      </c>
      <c r="H43" t="s">
        <v>3713</v>
      </c>
      <c r="I43" t="s">
        <v>3721</v>
      </c>
    </row>
    <row r="44" spans="1:9" x14ac:dyDescent="0.25">
      <c r="A44" t="s">
        <v>889</v>
      </c>
      <c r="B44" t="s">
        <v>81</v>
      </c>
      <c r="C44" t="s">
        <v>3696</v>
      </c>
      <c r="D44" t="s">
        <v>38</v>
      </c>
      <c r="E44" t="s">
        <v>82</v>
      </c>
      <c r="F44" t="s">
        <v>3794</v>
      </c>
      <c r="G44" t="s">
        <v>3795</v>
      </c>
      <c r="H44" t="s">
        <v>3699</v>
      </c>
      <c r="I44" t="s">
        <v>3700</v>
      </c>
    </row>
    <row r="45" spans="1:9" x14ac:dyDescent="0.25">
      <c r="A45" t="s">
        <v>895</v>
      </c>
      <c r="B45" t="s">
        <v>81</v>
      </c>
      <c r="C45" t="s">
        <v>3701</v>
      </c>
      <c r="D45" t="s">
        <v>38</v>
      </c>
      <c r="E45" t="s">
        <v>82</v>
      </c>
      <c r="F45" t="s">
        <v>3796</v>
      </c>
      <c r="G45" t="s">
        <v>3797</v>
      </c>
      <c r="H45" t="s">
        <v>3704</v>
      </c>
      <c r="I45" t="s">
        <v>3705</v>
      </c>
    </row>
    <row r="46" spans="1:9" x14ac:dyDescent="0.25">
      <c r="A46" t="s">
        <v>898</v>
      </c>
      <c r="B46" t="s">
        <v>81</v>
      </c>
      <c r="C46" t="s">
        <v>3706</v>
      </c>
      <c r="D46" t="s">
        <v>38</v>
      </c>
      <c r="E46" t="s">
        <v>82</v>
      </c>
      <c r="F46" t="s">
        <v>3798</v>
      </c>
      <c r="G46" t="s">
        <v>3799</v>
      </c>
      <c r="H46" t="s">
        <v>3704</v>
      </c>
      <c r="I46" t="s">
        <v>3709</v>
      </c>
    </row>
    <row r="47" spans="1:9" x14ac:dyDescent="0.25">
      <c r="A47" t="s">
        <v>900</v>
      </c>
      <c r="B47" t="s">
        <v>81</v>
      </c>
      <c r="C47" t="s">
        <v>3710</v>
      </c>
      <c r="D47" t="s">
        <v>38</v>
      </c>
      <c r="E47" t="s">
        <v>82</v>
      </c>
      <c r="F47" t="s">
        <v>3800</v>
      </c>
      <c r="G47" t="s">
        <v>3801</v>
      </c>
      <c r="H47" t="s">
        <v>3713</v>
      </c>
      <c r="I47" t="s">
        <v>3714</v>
      </c>
    </row>
    <row r="48" spans="1:9" x14ac:dyDescent="0.25">
      <c r="A48" t="s">
        <v>902</v>
      </c>
      <c r="B48" t="s">
        <v>81</v>
      </c>
      <c r="C48" t="s">
        <v>3715</v>
      </c>
      <c r="D48" t="s">
        <v>38</v>
      </c>
      <c r="E48" t="s">
        <v>82</v>
      </c>
      <c r="F48" t="s">
        <v>3802</v>
      </c>
      <c r="G48" t="s">
        <v>3803</v>
      </c>
      <c r="H48" t="s">
        <v>3704</v>
      </c>
      <c r="I48" t="s">
        <v>3700</v>
      </c>
    </row>
    <row r="49" spans="1:9" x14ac:dyDescent="0.25">
      <c r="A49" t="s">
        <v>904</v>
      </c>
      <c r="B49" t="s">
        <v>81</v>
      </c>
      <c r="C49" t="s">
        <v>3718</v>
      </c>
      <c r="D49" t="s">
        <v>38</v>
      </c>
      <c r="E49" t="s">
        <v>82</v>
      </c>
      <c r="F49" t="s">
        <v>3804</v>
      </c>
      <c r="G49" t="s">
        <v>3805</v>
      </c>
      <c r="H49" t="s">
        <v>3713</v>
      </c>
      <c r="I49" t="s">
        <v>3721</v>
      </c>
    </row>
    <row r="50" spans="1:9" x14ac:dyDescent="0.25">
      <c r="A50" t="s">
        <v>908</v>
      </c>
      <c r="B50" t="s">
        <v>87</v>
      </c>
      <c r="C50" t="s">
        <v>3696</v>
      </c>
      <c r="D50" t="s">
        <v>38</v>
      </c>
      <c r="E50" t="s">
        <v>88</v>
      </c>
      <c r="F50" t="s">
        <v>3806</v>
      </c>
      <c r="G50" t="s">
        <v>3807</v>
      </c>
      <c r="H50" t="s">
        <v>3699</v>
      </c>
      <c r="I50" t="s">
        <v>3700</v>
      </c>
    </row>
    <row r="51" spans="1:9" x14ac:dyDescent="0.25">
      <c r="A51" t="s">
        <v>913</v>
      </c>
      <c r="B51" t="s">
        <v>87</v>
      </c>
      <c r="C51" t="s">
        <v>3701</v>
      </c>
      <c r="D51" t="s">
        <v>38</v>
      </c>
      <c r="E51" t="s">
        <v>88</v>
      </c>
      <c r="F51" t="s">
        <v>3808</v>
      </c>
      <c r="G51" t="s">
        <v>3809</v>
      </c>
      <c r="H51" t="s">
        <v>3704</v>
      </c>
      <c r="I51" t="s">
        <v>3705</v>
      </c>
    </row>
    <row r="52" spans="1:9" x14ac:dyDescent="0.25">
      <c r="A52" t="s">
        <v>916</v>
      </c>
      <c r="B52" t="s">
        <v>87</v>
      </c>
      <c r="C52" t="s">
        <v>3706</v>
      </c>
      <c r="D52" t="s">
        <v>38</v>
      </c>
      <c r="E52" t="s">
        <v>88</v>
      </c>
      <c r="F52" t="s">
        <v>3810</v>
      </c>
      <c r="G52" t="s">
        <v>3811</v>
      </c>
      <c r="H52" t="s">
        <v>3704</v>
      </c>
      <c r="I52" t="s">
        <v>3709</v>
      </c>
    </row>
    <row r="53" spans="1:9" x14ac:dyDescent="0.25">
      <c r="A53" t="s">
        <v>919</v>
      </c>
      <c r="B53" t="s">
        <v>87</v>
      </c>
      <c r="C53" t="s">
        <v>3710</v>
      </c>
      <c r="D53" t="s">
        <v>38</v>
      </c>
      <c r="E53" t="s">
        <v>88</v>
      </c>
      <c r="F53" t="s">
        <v>3812</v>
      </c>
      <c r="G53" t="s">
        <v>3813</v>
      </c>
      <c r="H53" t="s">
        <v>3713</v>
      </c>
      <c r="I53" t="s">
        <v>3714</v>
      </c>
    </row>
    <row r="54" spans="1:9" x14ac:dyDescent="0.25">
      <c r="A54" t="s">
        <v>921</v>
      </c>
      <c r="B54" t="s">
        <v>87</v>
      </c>
      <c r="C54" t="s">
        <v>3715</v>
      </c>
      <c r="D54" t="s">
        <v>38</v>
      </c>
      <c r="E54" t="s">
        <v>88</v>
      </c>
      <c r="F54" t="s">
        <v>3814</v>
      </c>
      <c r="G54" t="s">
        <v>3815</v>
      </c>
      <c r="H54" t="s">
        <v>3704</v>
      </c>
      <c r="I54" t="s">
        <v>3700</v>
      </c>
    </row>
    <row r="55" spans="1:9" x14ac:dyDescent="0.25">
      <c r="A55" t="s">
        <v>923</v>
      </c>
      <c r="B55" t="s">
        <v>87</v>
      </c>
      <c r="C55" t="s">
        <v>3718</v>
      </c>
      <c r="D55" t="s">
        <v>38</v>
      </c>
      <c r="E55" t="s">
        <v>88</v>
      </c>
      <c r="F55" t="s">
        <v>3816</v>
      </c>
      <c r="G55" t="s">
        <v>3817</v>
      </c>
      <c r="H55" t="s">
        <v>3713</v>
      </c>
      <c r="I55" t="s">
        <v>3721</v>
      </c>
    </row>
    <row r="56" spans="1:9" x14ac:dyDescent="0.25">
      <c r="A56" t="s">
        <v>927</v>
      </c>
      <c r="B56" t="s">
        <v>93</v>
      </c>
      <c r="C56" t="s">
        <v>3696</v>
      </c>
      <c r="D56" t="s">
        <v>38</v>
      </c>
      <c r="E56" t="s">
        <v>94</v>
      </c>
      <c r="F56" t="s">
        <v>3818</v>
      </c>
      <c r="G56" t="s">
        <v>3819</v>
      </c>
      <c r="H56" t="s">
        <v>3699</v>
      </c>
      <c r="I56" t="s">
        <v>3700</v>
      </c>
    </row>
    <row r="57" spans="1:9" x14ac:dyDescent="0.25">
      <c r="A57" t="s">
        <v>932</v>
      </c>
      <c r="B57" t="s">
        <v>93</v>
      </c>
      <c r="C57" t="s">
        <v>3701</v>
      </c>
      <c r="D57" t="s">
        <v>38</v>
      </c>
      <c r="E57" t="s">
        <v>94</v>
      </c>
      <c r="F57" t="s">
        <v>3820</v>
      </c>
      <c r="G57" t="s">
        <v>3821</v>
      </c>
      <c r="H57" t="s">
        <v>3704</v>
      </c>
      <c r="I57" t="s">
        <v>3705</v>
      </c>
    </row>
    <row r="58" spans="1:9" x14ac:dyDescent="0.25">
      <c r="A58" t="s">
        <v>935</v>
      </c>
      <c r="B58" t="s">
        <v>93</v>
      </c>
      <c r="C58" t="s">
        <v>3706</v>
      </c>
      <c r="D58" t="s">
        <v>38</v>
      </c>
      <c r="E58" t="s">
        <v>94</v>
      </c>
      <c r="F58" t="s">
        <v>3822</v>
      </c>
      <c r="G58" t="s">
        <v>3823</v>
      </c>
      <c r="H58" t="s">
        <v>3704</v>
      </c>
      <c r="I58" t="s">
        <v>3709</v>
      </c>
    </row>
    <row r="59" spans="1:9" x14ac:dyDescent="0.25">
      <c r="A59" t="s">
        <v>938</v>
      </c>
      <c r="B59" t="s">
        <v>93</v>
      </c>
      <c r="C59" t="s">
        <v>3710</v>
      </c>
      <c r="D59" t="s">
        <v>38</v>
      </c>
      <c r="E59" t="s">
        <v>94</v>
      </c>
      <c r="F59" t="s">
        <v>3824</v>
      </c>
      <c r="G59" t="s">
        <v>3825</v>
      </c>
      <c r="H59" t="s">
        <v>3713</v>
      </c>
      <c r="I59" t="s">
        <v>3714</v>
      </c>
    </row>
    <row r="60" spans="1:9" x14ac:dyDescent="0.25">
      <c r="A60" t="s">
        <v>940</v>
      </c>
      <c r="B60" t="s">
        <v>93</v>
      </c>
      <c r="C60" t="s">
        <v>3715</v>
      </c>
      <c r="D60" t="s">
        <v>38</v>
      </c>
      <c r="E60" t="s">
        <v>94</v>
      </c>
      <c r="F60" t="s">
        <v>3826</v>
      </c>
      <c r="G60" t="s">
        <v>3827</v>
      </c>
      <c r="H60" t="s">
        <v>3704</v>
      </c>
      <c r="I60" t="s">
        <v>3700</v>
      </c>
    </row>
    <row r="61" spans="1:9" x14ac:dyDescent="0.25">
      <c r="A61" t="s">
        <v>942</v>
      </c>
      <c r="B61" t="s">
        <v>93</v>
      </c>
      <c r="C61" t="s">
        <v>3718</v>
      </c>
      <c r="D61" t="s">
        <v>38</v>
      </c>
      <c r="E61" t="s">
        <v>94</v>
      </c>
      <c r="F61" t="s">
        <v>3828</v>
      </c>
      <c r="G61" t="s">
        <v>3829</v>
      </c>
      <c r="H61" t="s">
        <v>3713</v>
      </c>
      <c r="I61" t="s">
        <v>3721</v>
      </c>
    </row>
    <row r="62" spans="1:9" x14ac:dyDescent="0.25">
      <c r="A62" t="s">
        <v>946</v>
      </c>
      <c r="B62" t="s">
        <v>98</v>
      </c>
      <c r="C62" t="s">
        <v>3696</v>
      </c>
      <c r="D62" t="s">
        <v>38</v>
      </c>
      <c r="E62" t="s">
        <v>100</v>
      </c>
      <c r="F62" t="s">
        <v>3830</v>
      </c>
      <c r="G62" t="s">
        <v>3831</v>
      </c>
      <c r="H62" t="s">
        <v>3699</v>
      </c>
      <c r="I62" t="s">
        <v>3700</v>
      </c>
    </row>
    <row r="63" spans="1:9" x14ac:dyDescent="0.25">
      <c r="A63" t="s">
        <v>951</v>
      </c>
      <c r="B63" t="s">
        <v>98</v>
      </c>
      <c r="C63" t="s">
        <v>3701</v>
      </c>
      <c r="D63" t="s">
        <v>38</v>
      </c>
      <c r="E63" t="s">
        <v>100</v>
      </c>
      <c r="F63" t="s">
        <v>3832</v>
      </c>
      <c r="G63" t="s">
        <v>3833</v>
      </c>
      <c r="H63" t="s">
        <v>3704</v>
      </c>
      <c r="I63" t="s">
        <v>3705</v>
      </c>
    </row>
    <row r="64" spans="1:9" x14ac:dyDescent="0.25">
      <c r="A64" t="s">
        <v>954</v>
      </c>
      <c r="B64" t="s">
        <v>98</v>
      </c>
      <c r="C64" t="s">
        <v>3706</v>
      </c>
      <c r="D64" t="s">
        <v>38</v>
      </c>
      <c r="E64" t="s">
        <v>100</v>
      </c>
      <c r="F64" t="s">
        <v>3834</v>
      </c>
      <c r="G64" t="s">
        <v>3835</v>
      </c>
      <c r="H64" t="s">
        <v>3704</v>
      </c>
      <c r="I64" t="s">
        <v>3709</v>
      </c>
    </row>
    <row r="65" spans="1:9" x14ac:dyDescent="0.25">
      <c r="A65" t="s">
        <v>957</v>
      </c>
      <c r="B65" t="s">
        <v>98</v>
      </c>
      <c r="C65" t="s">
        <v>3710</v>
      </c>
      <c r="D65" t="s">
        <v>38</v>
      </c>
      <c r="E65" t="s">
        <v>100</v>
      </c>
      <c r="F65" t="s">
        <v>3836</v>
      </c>
      <c r="G65" t="s">
        <v>3837</v>
      </c>
      <c r="H65" t="s">
        <v>3713</v>
      </c>
      <c r="I65" t="s">
        <v>3714</v>
      </c>
    </row>
    <row r="66" spans="1:9" x14ac:dyDescent="0.25">
      <c r="A66" t="s">
        <v>959</v>
      </c>
      <c r="B66" t="s">
        <v>98</v>
      </c>
      <c r="C66" t="s">
        <v>3715</v>
      </c>
      <c r="D66" t="s">
        <v>38</v>
      </c>
      <c r="E66" t="s">
        <v>100</v>
      </c>
      <c r="F66" t="s">
        <v>3838</v>
      </c>
      <c r="G66" t="s">
        <v>3839</v>
      </c>
      <c r="H66" t="s">
        <v>3704</v>
      </c>
      <c r="I66" t="s">
        <v>3700</v>
      </c>
    </row>
    <row r="67" spans="1:9" x14ac:dyDescent="0.25">
      <c r="A67" t="s">
        <v>961</v>
      </c>
      <c r="B67" t="s">
        <v>98</v>
      </c>
      <c r="C67" t="s">
        <v>3718</v>
      </c>
      <c r="D67" t="s">
        <v>38</v>
      </c>
      <c r="E67" t="s">
        <v>100</v>
      </c>
      <c r="F67" t="s">
        <v>3840</v>
      </c>
      <c r="G67" t="s">
        <v>3841</v>
      </c>
      <c r="H67" t="s">
        <v>3713</v>
      </c>
      <c r="I67" t="s">
        <v>3721</v>
      </c>
    </row>
    <row r="68" spans="1:9" x14ac:dyDescent="0.25">
      <c r="A68" t="s">
        <v>965</v>
      </c>
      <c r="B68" t="s">
        <v>103</v>
      </c>
      <c r="C68" t="s">
        <v>3696</v>
      </c>
      <c r="D68" t="s">
        <v>38</v>
      </c>
      <c r="E68" t="s">
        <v>104</v>
      </c>
      <c r="F68" t="s">
        <v>3842</v>
      </c>
      <c r="G68" t="s">
        <v>3843</v>
      </c>
      <c r="H68" t="s">
        <v>3699</v>
      </c>
      <c r="I68" t="s">
        <v>3700</v>
      </c>
    </row>
    <row r="69" spans="1:9" x14ac:dyDescent="0.25">
      <c r="A69" t="s">
        <v>970</v>
      </c>
      <c r="B69" t="s">
        <v>103</v>
      </c>
      <c r="C69" t="s">
        <v>3701</v>
      </c>
      <c r="D69" t="s">
        <v>38</v>
      </c>
      <c r="E69" t="s">
        <v>104</v>
      </c>
      <c r="F69" t="s">
        <v>3844</v>
      </c>
      <c r="G69" t="s">
        <v>3845</v>
      </c>
      <c r="H69" t="s">
        <v>3704</v>
      </c>
      <c r="I69" t="s">
        <v>3705</v>
      </c>
    </row>
    <row r="70" spans="1:9" x14ac:dyDescent="0.25">
      <c r="A70" t="s">
        <v>973</v>
      </c>
      <c r="B70" t="s">
        <v>103</v>
      </c>
      <c r="C70" t="s">
        <v>3706</v>
      </c>
      <c r="D70" t="s">
        <v>38</v>
      </c>
      <c r="E70" t="s">
        <v>104</v>
      </c>
      <c r="F70" t="s">
        <v>3846</v>
      </c>
      <c r="G70" t="s">
        <v>3847</v>
      </c>
      <c r="H70" t="s">
        <v>3704</v>
      </c>
      <c r="I70" t="s">
        <v>3709</v>
      </c>
    </row>
    <row r="71" spans="1:9" x14ac:dyDescent="0.25">
      <c r="A71" t="s">
        <v>976</v>
      </c>
      <c r="B71" t="s">
        <v>103</v>
      </c>
      <c r="C71" t="s">
        <v>3710</v>
      </c>
      <c r="D71" t="s">
        <v>38</v>
      </c>
      <c r="E71" t="s">
        <v>104</v>
      </c>
      <c r="F71" t="s">
        <v>3848</v>
      </c>
      <c r="G71" t="s">
        <v>3849</v>
      </c>
      <c r="H71" t="s">
        <v>3713</v>
      </c>
      <c r="I71" t="s">
        <v>3714</v>
      </c>
    </row>
    <row r="72" spans="1:9" x14ac:dyDescent="0.25">
      <c r="A72" t="s">
        <v>978</v>
      </c>
      <c r="B72" t="s">
        <v>103</v>
      </c>
      <c r="C72" t="s">
        <v>3715</v>
      </c>
      <c r="D72" t="s">
        <v>38</v>
      </c>
      <c r="E72" t="s">
        <v>104</v>
      </c>
      <c r="F72" t="s">
        <v>3850</v>
      </c>
      <c r="G72" t="s">
        <v>3851</v>
      </c>
      <c r="H72" t="s">
        <v>3704</v>
      </c>
      <c r="I72" t="s">
        <v>3700</v>
      </c>
    </row>
    <row r="73" spans="1:9" x14ac:dyDescent="0.25">
      <c r="A73" t="s">
        <v>980</v>
      </c>
      <c r="B73" t="s">
        <v>103</v>
      </c>
      <c r="C73" t="s">
        <v>3718</v>
      </c>
      <c r="D73" t="s">
        <v>38</v>
      </c>
      <c r="E73" t="s">
        <v>104</v>
      </c>
      <c r="F73" t="s">
        <v>3852</v>
      </c>
      <c r="G73" t="s">
        <v>3853</v>
      </c>
      <c r="H73" t="s">
        <v>3713</v>
      </c>
      <c r="I73" t="s">
        <v>3721</v>
      </c>
    </row>
    <row r="74" spans="1:9" x14ac:dyDescent="0.25">
      <c r="A74" t="s">
        <v>984</v>
      </c>
      <c r="B74" t="s">
        <v>108</v>
      </c>
      <c r="C74" t="s">
        <v>3696</v>
      </c>
      <c r="D74" t="s">
        <v>38</v>
      </c>
      <c r="E74" t="s">
        <v>109</v>
      </c>
      <c r="F74" t="s">
        <v>3854</v>
      </c>
      <c r="G74" t="s">
        <v>3855</v>
      </c>
      <c r="H74" t="s">
        <v>3699</v>
      </c>
      <c r="I74" t="s">
        <v>3700</v>
      </c>
    </row>
    <row r="75" spans="1:9" x14ac:dyDescent="0.25">
      <c r="A75" t="s">
        <v>990</v>
      </c>
      <c r="B75" t="s">
        <v>108</v>
      </c>
      <c r="C75" t="s">
        <v>3701</v>
      </c>
      <c r="D75" t="s">
        <v>38</v>
      </c>
      <c r="E75" t="s">
        <v>109</v>
      </c>
      <c r="F75" t="s">
        <v>3856</v>
      </c>
      <c r="G75" t="s">
        <v>3857</v>
      </c>
      <c r="H75" t="s">
        <v>3704</v>
      </c>
      <c r="I75" t="s">
        <v>3705</v>
      </c>
    </row>
    <row r="76" spans="1:9" x14ac:dyDescent="0.25">
      <c r="A76" t="s">
        <v>992</v>
      </c>
      <c r="B76" t="s">
        <v>108</v>
      </c>
      <c r="C76" t="s">
        <v>3706</v>
      </c>
      <c r="D76" t="s">
        <v>38</v>
      </c>
      <c r="E76" t="s">
        <v>109</v>
      </c>
      <c r="F76" t="s">
        <v>3858</v>
      </c>
      <c r="G76" t="s">
        <v>3859</v>
      </c>
      <c r="H76" t="s">
        <v>3704</v>
      </c>
      <c r="I76" t="s">
        <v>3709</v>
      </c>
    </row>
    <row r="77" spans="1:9" x14ac:dyDescent="0.25">
      <c r="A77" t="s">
        <v>995</v>
      </c>
      <c r="B77" t="s">
        <v>108</v>
      </c>
      <c r="C77" t="s">
        <v>3710</v>
      </c>
      <c r="D77" t="s">
        <v>38</v>
      </c>
      <c r="E77" t="s">
        <v>109</v>
      </c>
      <c r="F77" t="s">
        <v>3860</v>
      </c>
      <c r="G77" t="s">
        <v>3861</v>
      </c>
      <c r="H77" t="s">
        <v>3713</v>
      </c>
      <c r="I77" t="s">
        <v>3714</v>
      </c>
    </row>
    <row r="78" spans="1:9" x14ac:dyDescent="0.25">
      <c r="A78" t="s">
        <v>997</v>
      </c>
      <c r="B78" t="s">
        <v>108</v>
      </c>
      <c r="C78" t="s">
        <v>3715</v>
      </c>
      <c r="D78" t="s">
        <v>38</v>
      </c>
      <c r="E78" t="s">
        <v>109</v>
      </c>
      <c r="F78" t="s">
        <v>3862</v>
      </c>
      <c r="G78" t="s">
        <v>3863</v>
      </c>
      <c r="H78" t="s">
        <v>3704</v>
      </c>
      <c r="I78" t="s">
        <v>3700</v>
      </c>
    </row>
    <row r="79" spans="1:9" x14ac:dyDescent="0.25">
      <c r="A79" t="s">
        <v>999</v>
      </c>
      <c r="B79" t="s">
        <v>108</v>
      </c>
      <c r="C79" t="s">
        <v>3718</v>
      </c>
      <c r="D79" t="s">
        <v>38</v>
      </c>
      <c r="E79" t="s">
        <v>109</v>
      </c>
      <c r="F79" t="s">
        <v>3864</v>
      </c>
      <c r="G79" t="s">
        <v>3865</v>
      </c>
      <c r="H79" t="s">
        <v>3713</v>
      </c>
      <c r="I79" t="s">
        <v>3721</v>
      </c>
    </row>
    <row r="80" spans="1:9" x14ac:dyDescent="0.25">
      <c r="A80" t="s">
        <v>1003</v>
      </c>
      <c r="B80" t="s">
        <v>113</v>
      </c>
      <c r="C80" t="s">
        <v>3696</v>
      </c>
      <c r="D80" t="s">
        <v>38</v>
      </c>
      <c r="E80" t="s">
        <v>114</v>
      </c>
      <c r="F80" t="s">
        <v>3866</v>
      </c>
      <c r="G80" t="s">
        <v>3867</v>
      </c>
      <c r="H80" t="s">
        <v>3699</v>
      </c>
      <c r="I80" t="s">
        <v>3700</v>
      </c>
    </row>
    <row r="81" spans="1:9" x14ac:dyDescent="0.25">
      <c r="A81" t="s">
        <v>1008</v>
      </c>
      <c r="B81" t="s">
        <v>113</v>
      </c>
      <c r="C81" t="s">
        <v>3701</v>
      </c>
      <c r="D81" t="s">
        <v>38</v>
      </c>
      <c r="E81" t="s">
        <v>114</v>
      </c>
      <c r="F81" t="s">
        <v>3868</v>
      </c>
      <c r="G81" t="s">
        <v>3869</v>
      </c>
      <c r="H81" t="s">
        <v>3704</v>
      </c>
      <c r="I81" t="s">
        <v>3705</v>
      </c>
    </row>
    <row r="82" spans="1:9" x14ac:dyDescent="0.25">
      <c r="A82" t="s">
        <v>1011</v>
      </c>
      <c r="B82" t="s">
        <v>113</v>
      </c>
      <c r="C82" t="s">
        <v>3706</v>
      </c>
      <c r="D82" t="s">
        <v>38</v>
      </c>
      <c r="E82" t="s">
        <v>114</v>
      </c>
      <c r="F82" t="s">
        <v>3870</v>
      </c>
      <c r="G82" t="s">
        <v>3871</v>
      </c>
      <c r="H82" t="s">
        <v>3704</v>
      </c>
      <c r="I82" t="s">
        <v>3709</v>
      </c>
    </row>
    <row r="83" spans="1:9" x14ac:dyDescent="0.25">
      <c r="A83" t="s">
        <v>1014</v>
      </c>
      <c r="B83" t="s">
        <v>113</v>
      </c>
      <c r="C83" t="s">
        <v>3710</v>
      </c>
      <c r="D83" t="s">
        <v>38</v>
      </c>
      <c r="E83" t="s">
        <v>114</v>
      </c>
      <c r="F83" t="s">
        <v>3872</v>
      </c>
      <c r="G83" t="s">
        <v>3873</v>
      </c>
      <c r="H83" t="s">
        <v>3713</v>
      </c>
      <c r="I83" t="s">
        <v>3714</v>
      </c>
    </row>
    <row r="84" spans="1:9" x14ac:dyDescent="0.25">
      <c r="A84" t="s">
        <v>1016</v>
      </c>
      <c r="B84" t="s">
        <v>113</v>
      </c>
      <c r="C84" t="s">
        <v>3715</v>
      </c>
      <c r="D84" t="s">
        <v>38</v>
      </c>
      <c r="E84" t="s">
        <v>114</v>
      </c>
      <c r="F84" t="s">
        <v>3874</v>
      </c>
      <c r="G84" t="s">
        <v>3875</v>
      </c>
      <c r="H84" t="s">
        <v>3704</v>
      </c>
      <c r="I84" t="s">
        <v>3700</v>
      </c>
    </row>
    <row r="85" spans="1:9" x14ac:dyDescent="0.25">
      <c r="A85" t="s">
        <v>1018</v>
      </c>
      <c r="B85" t="s">
        <v>113</v>
      </c>
      <c r="C85" t="s">
        <v>3718</v>
      </c>
      <c r="D85" t="s">
        <v>38</v>
      </c>
      <c r="E85" t="s">
        <v>114</v>
      </c>
      <c r="F85" t="s">
        <v>3876</v>
      </c>
      <c r="G85" t="s">
        <v>3877</v>
      </c>
      <c r="H85" t="s">
        <v>3713</v>
      </c>
      <c r="I85" t="s">
        <v>3721</v>
      </c>
    </row>
    <row r="86" spans="1:9" x14ac:dyDescent="0.25">
      <c r="A86" t="s">
        <v>1022</v>
      </c>
      <c r="B86" t="s">
        <v>117</v>
      </c>
      <c r="C86" t="s">
        <v>3696</v>
      </c>
      <c r="D86" t="s">
        <v>38</v>
      </c>
      <c r="E86" t="s">
        <v>118</v>
      </c>
      <c r="F86" t="s">
        <v>3878</v>
      </c>
      <c r="G86" t="s">
        <v>3879</v>
      </c>
      <c r="H86" t="s">
        <v>3699</v>
      </c>
      <c r="I86" t="s">
        <v>3700</v>
      </c>
    </row>
    <row r="87" spans="1:9" x14ac:dyDescent="0.25">
      <c r="A87" t="s">
        <v>1028</v>
      </c>
      <c r="B87" t="s">
        <v>117</v>
      </c>
      <c r="C87" t="s">
        <v>3701</v>
      </c>
      <c r="D87" t="s">
        <v>38</v>
      </c>
      <c r="E87" t="s">
        <v>118</v>
      </c>
      <c r="F87" t="s">
        <v>3880</v>
      </c>
      <c r="G87" t="s">
        <v>3881</v>
      </c>
      <c r="H87" t="s">
        <v>3704</v>
      </c>
      <c r="I87" t="s">
        <v>3705</v>
      </c>
    </row>
    <row r="88" spans="1:9" x14ac:dyDescent="0.25">
      <c r="A88" t="s">
        <v>1030</v>
      </c>
      <c r="B88" t="s">
        <v>117</v>
      </c>
      <c r="C88" t="s">
        <v>3706</v>
      </c>
      <c r="D88" t="s">
        <v>38</v>
      </c>
      <c r="E88" t="s">
        <v>118</v>
      </c>
      <c r="F88" t="s">
        <v>3882</v>
      </c>
      <c r="G88" t="s">
        <v>3883</v>
      </c>
      <c r="H88" t="s">
        <v>3704</v>
      </c>
      <c r="I88" t="s">
        <v>3709</v>
      </c>
    </row>
    <row r="89" spans="1:9" x14ac:dyDescent="0.25">
      <c r="A89" t="s">
        <v>1033</v>
      </c>
      <c r="B89" t="s">
        <v>117</v>
      </c>
      <c r="C89" t="s">
        <v>3710</v>
      </c>
      <c r="D89" t="s">
        <v>38</v>
      </c>
      <c r="E89" t="s">
        <v>118</v>
      </c>
      <c r="F89" t="s">
        <v>3884</v>
      </c>
      <c r="G89" t="s">
        <v>3885</v>
      </c>
      <c r="H89" t="s">
        <v>3713</v>
      </c>
      <c r="I89" t="s">
        <v>3714</v>
      </c>
    </row>
    <row r="90" spans="1:9" x14ac:dyDescent="0.25">
      <c r="A90" t="s">
        <v>1035</v>
      </c>
      <c r="B90" t="s">
        <v>117</v>
      </c>
      <c r="C90" t="s">
        <v>3715</v>
      </c>
      <c r="D90" t="s">
        <v>38</v>
      </c>
      <c r="E90" t="s">
        <v>118</v>
      </c>
      <c r="F90" t="s">
        <v>3886</v>
      </c>
      <c r="G90" t="s">
        <v>3887</v>
      </c>
      <c r="H90" t="s">
        <v>3704</v>
      </c>
      <c r="I90" t="s">
        <v>3700</v>
      </c>
    </row>
    <row r="91" spans="1:9" x14ac:dyDescent="0.25">
      <c r="A91" t="s">
        <v>1037</v>
      </c>
      <c r="B91" t="s">
        <v>117</v>
      </c>
      <c r="C91" t="s">
        <v>3718</v>
      </c>
      <c r="D91" t="s">
        <v>38</v>
      </c>
      <c r="E91" t="s">
        <v>118</v>
      </c>
      <c r="F91" t="s">
        <v>3888</v>
      </c>
      <c r="G91" t="s">
        <v>3889</v>
      </c>
      <c r="H91" t="s">
        <v>3713</v>
      </c>
      <c r="I91" t="s">
        <v>3721</v>
      </c>
    </row>
    <row r="92" spans="1:9" x14ac:dyDescent="0.25">
      <c r="A92" t="s">
        <v>1041</v>
      </c>
      <c r="B92" t="s">
        <v>122</v>
      </c>
      <c r="C92" t="s">
        <v>3696</v>
      </c>
      <c r="D92" t="s">
        <v>38</v>
      </c>
      <c r="E92" t="s">
        <v>124</v>
      </c>
      <c r="F92" t="s">
        <v>3890</v>
      </c>
      <c r="G92" t="s">
        <v>3891</v>
      </c>
      <c r="H92" t="s">
        <v>3699</v>
      </c>
      <c r="I92" t="s">
        <v>3700</v>
      </c>
    </row>
    <row r="93" spans="1:9" x14ac:dyDescent="0.25">
      <c r="A93" t="s">
        <v>1046</v>
      </c>
      <c r="B93" t="s">
        <v>122</v>
      </c>
      <c r="C93" t="s">
        <v>3701</v>
      </c>
      <c r="D93" t="s">
        <v>38</v>
      </c>
      <c r="E93" t="s">
        <v>124</v>
      </c>
      <c r="F93" t="s">
        <v>3892</v>
      </c>
      <c r="G93" t="s">
        <v>3893</v>
      </c>
      <c r="H93" t="s">
        <v>3704</v>
      </c>
      <c r="I93" t="s">
        <v>3705</v>
      </c>
    </row>
    <row r="94" spans="1:9" x14ac:dyDescent="0.25">
      <c r="A94" t="s">
        <v>1049</v>
      </c>
      <c r="B94" t="s">
        <v>122</v>
      </c>
      <c r="C94" t="s">
        <v>3706</v>
      </c>
      <c r="D94" t="s">
        <v>38</v>
      </c>
      <c r="E94" t="s">
        <v>124</v>
      </c>
      <c r="F94" t="s">
        <v>3894</v>
      </c>
      <c r="G94" t="s">
        <v>3895</v>
      </c>
      <c r="H94" t="s">
        <v>3704</v>
      </c>
      <c r="I94" t="s">
        <v>3709</v>
      </c>
    </row>
    <row r="95" spans="1:9" x14ac:dyDescent="0.25">
      <c r="A95" t="s">
        <v>1052</v>
      </c>
      <c r="B95" t="s">
        <v>122</v>
      </c>
      <c r="C95" t="s">
        <v>3710</v>
      </c>
      <c r="D95" t="s">
        <v>38</v>
      </c>
      <c r="E95" t="s">
        <v>124</v>
      </c>
      <c r="F95" t="s">
        <v>3896</v>
      </c>
      <c r="G95" t="s">
        <v>3897</v>
      </c>
      <c r="H95" t="s">
        <v>3713</v>
      </c>
      <c r="I95" t="s">
        <v>3714</v>
      </c>
    </row>
    <row r="96" spans="1:9" x14ac:dyDescent="0.25">
      <c r="A96" t="s">
        <v>1054</v>
      </c>
      <c r="B96" t="s">
        <v>122</v>
      </c>
      <c r="C96" t="s">
        <v>3715</v>
      </c>
      <c r="D96" t="s">
        <v>38</v>
      </c>
      <c r="E96" t="s">
        <v>124</v>
      </c>
      <c r="F96" t="s">
        <v>3898</v>
      </c>
      <c r="G96" t="s">
        <v>3899</v>
      </c>
      <c r="H96" t="s">
        <v>3704</v>
      </c>
      <c r="I96" t="s">
        <v>3700</v>
      </c>
    </row>
    <row r="97" spans="1:9" x14ac:dyDescent="0.25">
      <c r="A97" t="s">
        <v>1056</v>
      </c>
      <c r="B97" t="s">
        <v>122</v>
      </c>
      <c r="C97" t="s">
        <v>3718</v>
      </c>
      <c r="D97" t="s">
        <v>38</v>
      </c>
      <c r="E97" t="s">
        <v>124</v>
      </c>
      <c r="F97" t="s">
        <v>3900</v>
      </c>
      <c r="G97" t="s">
        <v>3901</v>
      </c>
      <c r="H97" t="s">
        <v>3713</v>
      </c>
      <c r="I97" t="s">
        <v>3721</v>
      </c>
    </row>
    <row r="98" spans="1:9" x14ac:dyDescent="0.25">
      <c r="A98" t="s">
        <v>1060</v>
      </c>
      <c r="B98" t="s">
        <v>128</v>
      </c>
      <c r="C98" t="s">
        <v>3696</v>
      </c>
      <c r="D98" t="s">
        <v>38</v>
      </c>
      <c r="E98" t="s">
        <v>129</v>
      </c>
      <c r="F98" t="s">
        <v>3902</v>
      </c>
      <c r="G98" t="s">
        <v>3903</v>
      </c>
      <c r="H98" t="s">
        <v>3699</v>
      </c>
      <c r="I98" t="s">
        <v>3700</v>
      </c>
    </row>
    <row r="99" spans="1:9" x14ac:dyDescent="0.25">
      <c r="A99" t="s">
        <v>1065</v>
      </c>
      <c r="B99" t="s">
        <v>128</v>
      </c>
      <c r="C99" t="s">
        <v>3701</v>
      </c>
      <c r="D99" t="s">
        <v>38</v>
      </c>
      <c r="E99" t="s">
        <v>129</v>
      </c>
      <c r="F99" t="s">
        <v>3904</v>
      </c>
      <c r="G99" t="s">
        <v>3905</v>
      </c>
      <c r="H99" t="s">
        <v>3704</v>
      </c>
      <c r="I99" t="s">
        <v>3705</v>
      </c>
    </row>
    <row r="100" spans="1:9" x14ac:dyDescent="0.25">
      <c r="A100" t="s">
        <v>1068</v>
      </c>
      <c r="B100" t="s">
        <v>128</v>
      </c>
      <c r="C100" t="s">
        <v>3706</v>
      </c>
      <c r="D100" t="s">
        <v>38</v>
      </c>
      <c r="E100" t="s">
        <v>129</v>
      </c>
      <c r="F100" t="s">
        <v>3906</v>
      </c>
      <c r="G100" t="s">
        <v>3907</v>
      </c>
      <c r="H100" t="s">
        <v>3704</v>
      </c>
      <c r="I100" t="s">
        <v>3709</v>
      </c>
    </row>
    <row r="101" spans="1:9" x14ac:dyDescent="0.25">
      <c r="A101" t="s">
        <v>1071</v>
      </c>
      <c r="B101" t="s">
        <v>128</v>
      </c>
      <c r="C101" t="s">
        <v>3710</v>
      </c>
      <c r="D101" t="s">
        <v>38</v>
      </c>
      <c r="E101" t="s">
        <v>129</v>
      </c>
      <c r="F101" t="s">
        <v>3908</v>
      </c>
      <c r="G101" t="s">
        <v>3909</v>
      </c>
      <c r="H101" t="s">
        <v>3713</v>
      </c>
      <c r="I101" t="s">
        <v>3714</v>
      </c>
    </row>
    <row r="102" spans="1:9" x14ac:dyDescent="0.25">
      <c r="A102" t="s">
        <v>1073</v>
      </c>
      <c r="B102" t="s">
        <v>128</v>
      </c>
      <c r="C102" t="s">
        <v>3715</v>
      </c>
      <c r="D102" t="s">
        <v>38</v>
      </c>
      <c r="E102" t="s">
        <v>129</v>
      </c>
      <c r="F102" t="s">
        <v>3910</v>
      </c>
      <c r="G102" t="s">
        <v>3911</v>
      </c>
      <c r="H102" t="s">
        <v>3704</v>
      </c>
      <c r="I102" t="s">
        <v>3700</v>
      </c>
    </row>
    <row r="103" spans="1:9" x14ac:dyDescent="0.25">
      <c r="A103" t="s">
        <v>1075</v>
      </c>
      <c r="B103" t="s">
        <v>128</v>
      </c>
      <c r="C103" t="s">
        <v>3718</v>
      </c>
      <c r="D103" t="s">
        <v>38</v>
      </c>
      <c r="E103" t="s">
        <v>129</v>
      </c>
      <c r="F103" t="s">
        <v>3912</v>
      </c>
      <c r="G103" t="s">
        <v>3913</v>
      </c>
      <c r="H103" t="s">
        <v>3713</v>
      </c>
      <c r="I103" t="s">
        <v>3721</v>
      </c>
    </row>
    <row r="104" spans="1:9" x14ac:dyDescent="0.25">
      <c r="A104" t="s">
        <v>1079</v>
      </c>
      <c r="B104" t="s">
        <v>134</v>
      </c>
      <c r="C104" t="s">
        <v>3696</v>
      </c>
      <c r="D104" t="s">
        <v>38</v>
      </c>
      <c r="E104" t="s">
        <v>135</v>
      </c>
      <c r="F104" t="s">
        <v>3914</v>
      </c>
      <c r="G104" t="s">
        <v>3915</v>
      </c>
      <c r="H104" t="s">
        <v>3699</v>
      </c>
      <c r="I104" t="s">
        <v>3700</v>
      </c>
    </row>
    <row r="105" spans="1:9" x14ac:dyDescent="0.25">
      <c r="A105" t="s">
        <v>1085</v>
      </c>
      <c r="B105" t="s">
        <v>134</v>
      </c>
      <c r="C105" t="s">
        <v>3701</v>
      </c>
      <c r="D105" t="s">
        <v>38</v>
      </c>
      <c r="E105" t="s">
        <v>135</v>
      </c>
      <c r="F105" t="s">
        <v>3916</v>
      </c>
      <c r="G105" t="s">
        <v>3917</v>
      </c>
      <c r="H105" t="s">
        <v>3704</v>
      </c>
      <c r="I105" t="s">
        <v>3705</v>
      </c>
    </row>
    <row r="106" spans="1:9" x14ac:dyDescent="0.25">
      <c r="A106" t="s">
        <v>1087</v>
      </c>
      <c r="B106" t="s">
        <v>134</v>
      </c>
      <c r="C106" t="s">
        <v>3706</v>
      </c>
      <c r="D106" t="s">
        <v>38</v>
      </c>
      <c r="E106" t="s">
        <v>135</v>
      </c>
      <c r="F106" t="s">
        <v>3918</v>
      </c>
      <c r="G106" t="s">
        <v>3919</v>
      </c>
      <c r="H106" t="s">
        <v>3704</v>
      </c>
      <c r="I106" t="s">
        <v>3709</v>
      </c>
    </row>
    <row r="107" spans="1:9" x14ac:dyDescent="0.25">
      <c r="A107" t="s">
        <v>1090</v>
      </c>
      <c r="B107" t="s">
        <v>134</v>
      </c>
      <c r="C107" t="s">
        <v>3710</v>
      </c>
      <c r="D107" t="s">
        <v>38</v>
      </c>
      <c r="E107" t="s">
        <v>135</v>
      </c>
      <c r="F107" t="s">
        <v>3920</v>
      </c>
      <c r="G107" t="s">
        <v>3921</v>
      </c>
      <c r="H107" t="s">
        <v>3713</v>
      </c>
      <c r="I107" t="s">
        <v>3714</v>
      </c>
    </row>
    <row r="108" spans="1:9" x14ac:dyDescent="0.25">
      <c r="A108" t="s">
        <v>1092</v>
      </c>
      <c r="B108" t="s">
        <v>134</v>
      </c>
      <c r="C108" t="s">
        <v>3715</v>
      </c>
      <c r="D108" t="s">
        <v>38</v>
      </c>
      <c r="E108" t="s">
        <v>135</v>
      </c>
      <c r="F108" t="s">
        <v>3922</v>
      </c>
      <c r="G108" t="s">
        <v>3923</v>
      </c>
      <c r="H108" t="s">
        <v>3704</v>
      </c>
      <c r="I108" t="s">
        <v>3700</v>
      </c>
    </row>
    <row r="109" spans="1:9" x14ac:dyDescent="0.25">
      <c r="A109" t="s">
        <v>1094</v>
      </c>
      <c r="B109" t="s">
        <v>134</v>
      </c>
      <c r="C109" t="s">
        <v>3718</v>
      </c>
      <c r="D109" t="s">
        <v>38</v>
      </c>
      <c r="E109" t="s">
        <v>135</v>
      </c>
      <c r="F109" t="s">
        <v>3924</v>
      </c>
      <c r="G109" t="s">
        <v>3925</v>
      </c>
      <c r="H109" t="s">
        <v>3713</v>
      </c>
      <c r="I109" t="s">
        <v>3721</v>
      </c>
    </row>
    <row r="110" spans="1:9" x14ac:dyDescent="0.25">
      <c r="A110" t="s">
        <v>1098</v>
      </c>
      <c r="B110" t="s">
        <v>140</v>
      </c>
      <c r="C110" t="s">
        <v>3696</v>
      </c>
      <c r="D110" t="s">
        <v>141</v>
      </c>
      <c r="E110" t="s">
        <v>143</v>
      </c>
      <c r="F110" t="s">
        <v>3926</v>
      </c>
      <c r="G110" t="s">
        <v>3927</v>
      </c>
      <c r="H110" t="s">
        <v>3699</v>
      </c>
      <c r="I110" t="s">
        <v>3700</v>
      </c>
    </row>
    <row r="111" spans="1:9" x14ac:dyDescent="0.25">
      <c r="A111" t="s">
        <v>1104</v>
      </c>
      <c r="B111" t="s">
        <v>140</v>
      </c>
      <c r="C111" t="s">
        <v>3701</v>
      </c>
      <c r="D111" t="s">
        <v>141</v>
      </c>
      <c r="E111" t="s">
        <v>143</v>
      </c>
      <c r="F111" t="s">
        <v>3928</v>
      </c>
      <c r="G111" t="s">
        <v>3929</v>
      </c>
      <c r="H111" t="s">
        <v>3704</v>
      </c>
      <c r="I111" t="s">
        <v>3705</v>
      </c>
    </row>
    <row r="112" spans="1:9" x14ac:dyDescent="0.25">
      <c r="A112" t="s">
        <v>1106</v>
      </c>
      <c r="B112" t="s">
        <v>140</v>
      </c>
      <c r="C112" t="s">
        <v>3706</v>
      </c>
      <c r="D112" t="s">
        <v>141</v>
      </c>
      <c r="E112" t="s">
        <v>143</v>
      </c>
      <c r="F112" t="s">
        <v>3930</v>
      </c>
      <c r="G112" t="s">
        <v>3931</v>
      </c>
      <c r="H112" t="s">
        <v>3704</v>
      </c>
      <c r="I112" t="s">
        <v>3709</v>
      </c>
    </row>
    <row r="113" spans="1:9" x14ac:dyDescent="0.25">
      <c r="A113" t="s">
        <v>1109</v>
      </c>
      <c r="B113" t="s">
        <v>140</v>
      </c>
      <c r="C113" t="s">
        <v>3710</v>
      </c>
      <c r="D113" t="s">
        <v>141</v>
      </c>
      <c r="E113" t="s">
        <v>143</v>
      </c>
      <c r="F113" t="s">
        <v>3932</v>
      </c>
      <c r="G113" t="s">
        <v>3933</v>
      </c>
      <c r="H113" t="s">
        <v>3713</v>
      </c>
      <c r="I113" t="s">
        <v>3714</v>
      </c>
    </row>
    <row r="114" spans="1:9" x14ac:dyDescent="0.25">
      <c r="A114" t="s">
        <v>1111</v>
      </c>
      <c r="B114" t="s">
        <v>140</v>
      </c>
      <c r="C114" t="s">
        <v>3715</v>
      </c>
      <c r="D114" t="s">
        <v>141</v>
      </c>
      <c r="E114" t="s">
        <v>143</v>
      </c>
      <c r="F114" t="s">
        <v>3934</v>
      </c>
      <c r="G114" t="s">
        <v>3935</v>
      </c>
      <c r="H114" t="s">
        <v>3704</v>
      </c>
      <c r="I114" t="s">
        <v>3700</v>
      </c>
    </row>
    <row r="115" spans="1:9" x14ac:dyDescent="0.25">
      <c r="A115" t="s">
        <v>1113</v>
      </c>
      <c r="B115" t="s">
        <v>140</v>
      </c>
      <c r="C115" t="s">
        <v>3718</v>
      </c>
      <c r="D115" t="s">
        <v>141</v>
      </c>
      <c r="E115" t="s">
        <v>143</v>
      </c>
      <c r="F115" t="s">
        <v>3936</v>
      </c>
      <c r="G115" t="s">
        <v>3937</v>
      </c>
      <c r="H115" t="s">
        <v>3713</v>
      </c>
      <c r="I115" t="s">
        <v>3721</v>
      </c>
    </row>
    <row r="116" spans="1:9" x14ac:dyDescent="0.25">
      <c r="A116" t="s">
        <v>1117</v>
      </c>
      <c r="B116" t="s">
        <v>147</v>
      </c>
      <c r="C116" t="s">
        <v>3696</v>
      </c>
      <c r="D116" t="s">
        <v>141</v>
      </c>
      <c r="E116" t="s">
        <v>148</v>
      </c>
      <c r="F116" t="s">
        <v>3938</v>
      </c>
      <c r="G116" t="s">
        <v>3939</v>
      </c>
      <c r="H116" t="s">
        <v>3699</v>
      </c>
      <c r="I116" t="s">
        <v>3700</v>
      </c>
    </row>
    <row r="117" spans="1:9" x14ac:dyDescent="0.25">
      <c r="A117" t="s">
        <v>1123</v>
      </c>
      <c r="B117" t="s">
        <v>147</v>
      </c>
      <c r="C117" t="s">
        <v>3701</v>
      </c>
      <c r="D117" t="s">
        <v>141</v>
      </c>
      <c r="E117" t="s">
        <v>148</v>
      </c>
      <c r="F117" t="s">
        <v>3940</v>
      </c>
      <c r="G117" t="s">
        <v>3941</v>
      </c>
      <c r="H117" t="s">
        <v>3704</v>
      </c>
      <c r="I117" t="s">
        <v>3705</v>
      </c>
    </row>
    <row r="118" spans="1:9" x14ac:dyDescent="0.25">
      <c r="A118" t="s">
        <v>1125</v>
      </c>
      <c r="B118" t="s">
        <v>147</v>
      </c>
      <c r="C118" t="s">
        <v>3706</v>
      </c>
      <c r="D118" t="s">
        <v>141</v>
      </c>
      <c r="E118" t="s">
        <v>148</v>
      </c>
      <c r="F118" t="s">
        <v>3942</v>
      </c>
      <c r="G118" t="s">
        <v>3943</v>
      </c>
      <c r="H118" t="s">
        <v>3704</v>
      </c>
      <c r="I118" t="s">
        <v>3709</v>
      </c>
    </row>
    <row r="119" spans="1:9" x14ac:dyDescent="0.25">
      <c r="A119" t="s">
        <v>1128</v>
      </c>
      <c r="B119" t="s">
        <v>147</v>
      </c>
      <c r="C119" t="s">
        <v>3710</v>
      </c>
      <c r="D119" t="s">
        <v>141</v>
      </c>
      <c r="E119" t="s">
        <v>148</v>
      </c>
      <c r="F119" t="s">
        <v>3944</v>
      </c>
      <c r="G119" t="s">
        <v>3945</v>
      </c>
      <c r="H119" t="s">
        <v>3713</v>
      </c>
      <c r="I119" t="s">
        <v>3714</v>
      </c>
    </row>
    <row r="120" spans="1:9" x14ac:dyDescent="0.25">
      <c r="A120" t="s">
        <v>1130</v>
      </c>
      <c r="B120" t="s">
        <v>147</v>
      </c>
      <c r="C120" t="s">
        <v>3715</v>
      </c>
      <c r="D120" t="s">
        <v>141</v>
      </c>
      <c r="E120" t="s">
        <v>148</v>
      </c>
      <c r="F120" t="s">
        <v>3946</v>
      </c>
      <c r="G120" t="s">
        <v>3947</v>
      </c>
      <c r="H120" t="s">
        <v>3704</v>
      </c>
      <c r="I120" t="s">
        <v>3700</v>
      </c>
    </row>
    <row r="121" spans="1:9" x14ac:dyDescent="0.25">
      <c r="A121" t="s">
        <v>1132</v>
      </c>
      <c r="B121" t="s">
        <v>147</v>
      </c>
      <c r="C121" t="s">
        <v>3718</v>
      </c>
      <c r="D121" t="s">
        <v>141</v>
      </c>
      <c r="E121" t="s">
        <v>148</v>
      </c>
      <c r="F121" t="s">
        <v>3948</v>
      </c>
      <c r="G121" t="s">
        <v>3949</v>
      </c>
      <c r="H121" t="s">
        <v>3713</v>
      </c>
      <c r="I121" t="s">
        <v>3721</v>
      </c>
    </row>
    <row r="122" spans="1:9" x14ac:dyDescent="0.25">
      <c r="A122" t="s">
        <v>1136</v>
      </c>
      <c r="B122" t="s">
        <v>151</v>
      </c>
      <c r="C122" t="s">
        <v>3696</v>
      </c>
      <c r="D122" t="s">
        <v>141</v>
      </c>
      <c r="E122" t="s">
        <v>152</v>
      </c>
      <c r="F122" t="s">
        <v>3950</v>
      </c>
      <c r="G122" t="s">
        <v>3951</v>
      </c>
      <c r="H122" t="s">
        <v>3699</v>
      </c>
      <c r="I122" t="s">
        <v>3700</v>
      </c>
    </row>
    <row r="123" spans="1:9" x14ac:dyDescent="0.25">
      <c r="A123" t="s">
        <v>1141</v>
      </c>
      <c r="B123" t="s">
        <v>151</v>
      </c>
      <c r="C123" t="s">
        <v>3701</v>
      </c>
      <c r="D123" t="s">
        <v>141</v>
      </c>
      <c r="E123" t="s">
        <v>152</v>
      </c>
      <c r="F123" t="s">
        <v>3952</v>
      </c>
      <c r="G123" t="s">
        <v>3953</v>
      </c>
      <c r="H123" t="s">
        <v>3704</v>
      </c>
      <c r="I123" t="s">
        <v>3705</v>
      </c>
    </row>
    <row r="124" spans="1:9" x14ac:dyDescent="0.25">
      <c r="A124" t="s">
        <v>1144</v>
      </c>
      <c r="B124" t="s">
        <v>151</v>
      </c>
      <c r="C124" t="s">
        <v>3706</v>
      </c>
      <c r="D124" t="s">
        <v>141</v>
      </c>
      <c r="E124" t="s">
        <v>152</v>
      </c>
      <c r="F124" t="s">
        <v>3954</v>
      </c>
      <c r="G124" t="s">
        <v>3955</v>
      </c>
      <c r="H124" t="s">
        <v>3704</v>
      </c>
      <c r="I124" t="s">
        <v>3709</v>
      </c>
    </row>
    <row r="125" spans="1:9" x14ac:dyDescent="0.25">
      <c r="A125" t="s">
        <v>1147</v>
      </c>
      <c r="B125" t="s">
        <v>151</v>
      </c>
      <c r="C125" t="s">
        <v>3710</v>
      </c>
      <c r="D125" t="s">
        <v>141</v>
      </c>
      <c r="E125" t="s">
        <v>152</v>
      </c>
      <c r="F125" t="s">
        <v>3956</v>
      </c>
      <c r="G125" t="s">
        <v>3957</v>
      </c>
      <c r="H125" t="s">
        <v>3713</v>
      </c>
      <c r="I125" t="s">
        <v>3714</v>
      </c>
    </row>
    <row r="126" spans="1:9" x14ac:dyDescent="0.25">
      <c r="A126" t="s">
        <v>1149</v>
      </c>
      <c r="B126" t="s">
        <v>151</v>
      </c>
      <c r="C126" t="s">
        <v>3715</v>
      </c>
      <c r="D126" t="s">
        <v>141</v>
      </c>
      <c r="E126" t="s">
        <v>152</v>
      </c>
      <c r="F126" t="s">
        <v>3958</v>
      </c>
      <c r="G126" t="s">
        <v>3959</v>
      </c>
      <c r="H126" t="s">
        <v>3704</v>
      </c>
      <c r="I126" t="s">
        <v>3700</v>
      </c>
    </row>
    <row r="127" spans="1:9" x14ac:dyDescent="0.25">
      <c r="A127" t="s">
        <v>1151</v>
      </c>
      <c r="B127" t="s">
        <v>151</v>
      </c>
      <c r="C127" t="s">
        <v>3718</v>
      </c>
      <c r="D127" t="s">
        <v>141</v>
      </c>
      <c r="E127" t="s">
        <v>152</v>
      </c>
      <c r="F127" t="s">
        <v>3960</v>
      </c>
      <c r="G127" t="s">
        <v>3961</v>
      </c>
      <c r="H127" t="s">
        <v>3713</v>
      </c>
      <c r="I127" t="s">
        <v>3721</v>
      </c>
    </row>
    <row r="128" spans="1:9" x14ac:dyDescent="0.25">
      <c r="A128" t="s">
        <v>1155</v>
      </c>
      <c r="B128" t="s">
        <v>155</v>
      </c>
      <c r="C128" t="s">
        <v>3696</v>
      </c>
      <c r="D128" t="s">
        <v>141</v>
      </c>
      <c r="E128" t="s">
        <v>156</v>
      </c>
      <c r="F128" t="s">
        <v>3962</v>
      </c>
      <c r="G128" t="s">
        <v>3963</v>
      </c>
      <c r="H128" t="s">
        <v>3699</v>
      </c>
      <c r="I128" t="s">
        <v>3700</v>
      </c>
    </row>
    <row r="129" spans="1:9" x14ac:dyDescent="0.25">
      <c r="A129" t="s">
        <v>1160</v>
      </c>
      <c r="B129" t="s">
        <v>155</v>
      </c>
      <c r="C129" t="s">
        <v>3701</v>
      </c>
      <c r="D129" t="s">
        <v>141</v>
      </c>
      <c r="E129" t="s">
        <v>156</v>
      </c>
      <c r="F129" t="s">
        <v>3964</v>
      </c>
      <c r="G129" t="s">
        <v>3965</v>
      </c>
      <c r="H129" t="s">
        <v>3704</v>
      </c>
      <c r="I129" t="s">
        <v>3705</v>
      </c>
    </row>
    <row r="130" spans="1:9" x14ac:dyDescent="0.25">
      <c r="A130" t="s">
        <v>1163</v>
      </c>
      <c r="B130" t="s">
        <v>155</v>
      </c>
      <c r="C130" t="s">
        <v>3706</v>
      </c>
      <c r="D130" t="s">
        <v>141</v>
      </c>
      <c r="E130" t="s">
        <v>156</v>
      </c>
      <c r="F130" t="s">
        <v>3966</v>
      </c>
      <c r="G130" t="s">
        <v>3967</v>
      </c>
      <c r="H130" t="s">
        <v>3704</v>
      </c>
      <c r="I130" t="s">
        <v>3709</v>
      </c>
    </row>
    <row r="131" spans="1:9" x14ac:dyDescent="0.25">
      <c r="A131" t="s">
        <v>1166</v>
      </c>
      <c r="B131" t="s">
        <v>155</v>
      </c>
      <c r="C131" t="s">
        <v>3710</v>
      </c>
      <c r="D131" t="s">
        <v>141</v>
      </c>
      <c r="E131" t="s">
        <v>156</v>
      </c>
      <c r="F131" t="s">
        <v>3968</v>
      </c>
      <c r="G131" t="s">
        <v>3969</v>
      </c>
      <c r="H131" t="s">
        <v>3713</v>
      </c>
      <c r="I131" t="s">
        <v>3714</v>
      </c>
    </row>
    <row r="132" spans="1:9" x14ac:dyDescent="0.25">
      <c r="A132" t="s">
        <v>1168</v>
      </c>
      <c r="B132" t="s">
        <v>155</v>
      </c>
      <c r="C132" t="s">
        <v>3715</v>
      </c>
      <c r="D132" t="s">
        <v>141</v>
      </c>
      <c r="E132" t="s">
        <v>156</v>
      </c>
      <c r="F132" t="s">
        <v>3970</v>
      </c>
      <c r="G132" t="s">
        <v>3971</v>
      </c>
      <c r="H132" t="s">
        <v>3704</v>
      </c>
      <c r="I132" t="s">
        <v>3700</v>
      </c>
    </row>
    <row r="133" spans="1:9" x14ac:dyDescent="0.25">
      <c r="A133" t="s">
        <v>1170</v>
      </c>
      <c r="B133" t="s">
        <v>155</v>
      </c>
      <c r="C133" t="s">
        <v>3718</v>
      </c>
      <c r="D133" t="s">
        <v>141</v>
      </c>
      <c r="E133" t="s">
        <v>156</v>
      </c>
      <c r="F133" t="s">
        <v>3972</v>
      </c>
      <c r="G133" t="s">
        <v>3973</v>
      </c>
      <c r="H133" t="s">
        <v>3713</v>
      </c>
      <c r="I133" t="s">
        <v>3721</v>
      </c>
    </row>
    <row r="134" spans="1:9" x14ac:dyDescent="0.25">
      <c r="A134" t="s">
        <v>1174</v>
      </c>
      <c r="B134" t="s">
        <v>159</v>
      </c>
      <c r="C134" t="s">
        <v>3696</v>
      </c>
      <c r="D134" t="s">
        <v>141</v>
      </c>
      <c r="E134" t="s">
        <v>161</v>
      </c>
      <c r="F134" t="s">
        <v>3974</v>
      </c>
      <c r="G134" t="s">
        <v>3975</v>
      </c>
      <c r="H134" t="s">
        <v>3699</v>
      </c>
      <c r="I134" t="s">
        <v>3700</v>
      </c>
    </row>
    <row r="135" spans="1:9" x14ac:dyDescent="0.25">
      <c r="A135" t="s">
        <v>1179</v>
      </c>
      <c r="B135" t="s">
        <v>159</v>
      </c>
      <c r="C135" t="s">
        <v>3701</v>
      </c>
      <c r="D135" t="s">
        <v>141</v>
      </c>
      <c r="E135" t="s">
        <v>161</v>
      </c>
      <c r="F135" t="s">
        <v>3976</v>
      </c>
      <c r="G135" t="s">
        <v>3977</v>
      </c>
      <c r="H135" t="s">
        <v>3704</v>
      </c>
      <c r="I135" t="s">
        <v>3705</v>
      </c>
    </row>
    <row r="136" spans="1:9" x14ac:dyDescent="0.25">
      <c r="A136" t="s">
        <v>1182</v>
      </c>
      <c r="B136" t="s">
        <v>159</v>
      </c>
      <c r="C136" t="s">
        <v>3706</v>
      </c>
      <c r="D136" t="s">
        <v>141</v>
      </c>
      <c r="E136" t="s">
        <v>161</v>
      </c>
      <c r="F136" t="s">
        <v>3978</v>
      </c>
      <c r="G136" t="s">
        <v>3979</v>
      </c>
      <c r="H136" t="s">
        <v>3704</v>
      </c>
      <c r="I136" t="s">
        <v>3709</v>
      </c>
    </row>
    <row r="137" spans="1:9" x14ac:dyDescent="0.25">
      <c r="A137" t="s">
        <v>1185</v>
      </c>
      <c r="B137" t="s">
        <v>159</v>
      </c>
      <c r="C137" t="s">
        <v>3710</v>
      </c>
      <c r="D137" t="s">
        <v>141</v>
      </c>
      <c r="E137" t="s">
        <v>161</v>
      </c>
      <c r="F137" t="s">
        <v>3980</v>
      </c>
      <c r="G137" t="s">
        <v>3981</v>
      </c>
      <c r="H137" t="s">
        <v>3713</v>
      </c>
      <c r="I137" t="s">
        <v>3714</v>
      </c>
    </row>
    <row r="138" spans="1:9" x14ac:dyDescent="0.25">
      <c r="A138" t="s">
        <v>1187</v>
      </c>
      <c r="B138" t="s">
        <v>159</v>
      </c>
      <c r="C138" t="s">
        <v>3715</v>
      </c>
      <c r="D138" t="s">
        <v>141</v>
      </c>
      <c r="E138" t="s">
        <v>161</v>
      </c>
      <c r="F138" t="s">
        <v>3982</v>
      </c>
      <c r="G138" t="s">
        <v>3983</v>
      </c>
      <c r="H138" t="s">
        <v>3704</v>
      </c>
      <c r="I138" t="s">
        <v>3700</v>
      </c>
    </row>
    <row r="139" spans="1:9" x14ac:dyDescent="0.25">
      <c r="A139" t="s">
        <v>1189</v>
      </c>
      <c r="B139" t="s">
        <v>159</v>
      </c>
      <c r="C139" t="s">
        <v>3718</v>
      </c>
      <c r="D139" t="s">
        <v>141</v>
      </c>
      <c r="E139" t="s">
        <v>161</v>
      </c>
      <c r="F139" t="s">
        <v>3984</v>
      </c>
      <c r="G139" t="s">
        <v>3985</v>
      </c>
      <c r="H139" t="s">
        <v>3713</v>
      </c>
      <c r="I139" t="s">
        <v>3721</v>
      </c>
    </row>
    <row r="140" spans="1:9" x14ac:dyDescent="0.25">
      <c r="A140" t="s">
        <v>1193</v>
      </c>
      <c r="B140" t="s">
        <v>165</v>
      </c>
      <c r="C140" t="s">
        <v>3696</v>
      </c>
      <c r="D140" t="s">
        <v>141</v>
      </c>
      <c r="E140" t="s">
        <v>166</v>
      </c>
      <c r="F140" t="s">
        <v>3986</v>
      </c>
      <c r="G140" t="s">
        <v>3987</v>
      </c>
      <c r="H140" t="s">
        <v>3699</v>
      </c>
      <c r="I140" t="s">
        <v>3700</v>
      </c>
    </row>
    <row r="141" spans="1:9" x14ac:dyDescent="0.25">
      <c r="A141" t="s">
        <v>1198</v>
      </c>
      <c r="B141" t="s">
        <v>165</v>
      </c>
      <c r="C141" t="s">
        <v>3701</v>
      </c>
      <c r="D141" t="s">
        <v>141</v>
      </c>
      <c r="E141" t="s">
        <v>166</v>
      </c>
      <c r="F141" t="s">
        <v>3988</v>
      </c>
      <c r="G141" t="s">
        <v>3989</v>
      </c>
      <c r="H141" t="s">
        <v>3704</v>
      </c>
      <c r="I141" t="s">
        <v>3705</v>
      </c>
    </row>
    <row r="142" spans="1:9" x14ac:dyDescent="0.25">
      <c r="A142" t="s">
        <v>1201</v>
      </c>
      <c r="B142" t="s">
        <v>165</v>
      </c>
      <c r="C142" t="s">
        <v>3706</v>
      </c>
      <c r="D142" t="s">
        <v>141</v>
      </c>
      <c r="E142" t="s">
        <v>166</v>
      </c>
      <c r="F142" t="s">
        <v>3990</v>
      </c>
      <c r="G142" t="s">
        <v>3991</v>
      </c>
      <c r="H142" t="s">
        <v>3704</v>
      </c>
      <c r="I142" t="s">
        <v>3709</v>
      </c>
    </row>
    <row r="143" spans="1:9" x14ac:dyDescent="0.25">
      <c r="A143" t="s">
        <v>1204</v>
      </c>
      <c r="B143" t="s">
        <v>165</v>
      </c>
      <c r="C143" t="s">
        <v>3710</v>
      </c>
      <c r="D143" t="s">
        <v>141</v>
      </c>
      <c r="E143" t="s">
        <v>166</v>
      </c>
      <c r="F143" t="s">
        <v>3992</v>
      </c>
      <c r="G143" t="s">
        <v>3993</v>
      </c>
      <c r="H143" t="s">
        <v>3713</v>
      </c>
      <c r="I143" t="s">
        <v>3714</v>
      </c>
    </row>
    <row r="144" spans="1:9" x14ac:dyDescent="0.25">
      <c r="A144" t="s">
        <v>1206</v>
      </c>
      <c r="B144" t="s">
        <v>165</v>
      </c>
      <c r="C144" t="s">
        <v>3715</v>
      </c>
      <c r="D144" t="s">
        <v>141</v>
      </c>
      <c r="E144" t="s">
        <v>166</v>
      </c>
      <c r="F144" t="s">
        <v>3994</v>
      </c>
      <c r="G144" t="s">
        <v>3995</v>
      </c>
      <c r="H144" t="s">
        <v>3704</v>
      </c>
      <c r="I144" t="s">
        <v>3700</v>
      </c>
    </row>
    <row r="145" spans="1:9" x14ac:dyDescent="0.25">
      <c r="A145" t="s">
        <v>1208</v>
      </c>
      <c r="B145" t="s">
        <v>165</v>
      </c>
      <c r="C145" t="s">
        <v>3718</v>
      </c>
      <c r="D145" t="s">
        <v>141</v>
      </c>
      <c r="E145" t="s">
        <v>166</v>
      </c>
      <c r="F145" t="s">
        <v>3996</v>
      </c>
      <c r="G145" t="s">
        <v>3997</v>
      </c>
      <c r="H145" t="s">
        <v>3713</v>
      </c>
      <c r="I145" t="s">
        <v>3721</v>
      </c>
    </row>
    <row r="146" spans="1:9" x14ac:dyDescent="0.25">
      <c r="A146" t="s">
        <v>1212</v>
      </c>
      <c r="B146" t="s">
        <v>169</v>
      </c>
      <c r="C146" t="s">
        <v>3696</v>
      </c>
      <c r="D146" t="s">
        <v>141</v>
      </c>
      <c r="E146" t="s">
        <v>170</v>
      </c>
      <c r="F146" t="s">
        <v>3998</v>
      </c>
      <c r="G146" t="s">
        <v>3999</v>
      </c>
      <c r="H146" t="s">
        <v>3699</v>
      </c>
      <c r="I146" t="s">
        <v>3700</v>
      </c>
    </row>
    <row r="147" spans="1:9" x14ac:dyDescent="0.25">
      <c r="A147" t="s">
        <v>1217</v>
      </c>
      <c r="B147" t="s">
        <v>169</v>
      </c>
      <c r="C147" t="s">
        <v>3701</v>
      </c>
      <c r="D147" t="s">
        <v>141</v>
      </c>
      <c r="E147" t="s">
        <v>170</v>
      </c>
      <c r="F147" t="s">
        <v>4000</v>
      </c>
      <c r="G147" t="s">
        <v>4001</v>
      </c>
      <c r="H147" t="s">
        <v>3704</v>
      </c>
      <c r="I147" t="s">
        <v>3705</v>
      </c>
    </row>
    <row r="148" spans="1:9" x14ac:dyDescent="0.25">
      <c r="A148" t="s">
        <v>1220</v>
      </c>
      <c r="B148" t="s">
        <v>169</v>
      </c>
      <c r="C148" t="s">
        <v>3706</v>
      </c>
      <c r="D148" t="s">
        <v>141</v>
      </c>
      <c r="E148" t="s">
        <v>170</v>
      </c>
      <c r="F148" t="s">
        <v>4002</v>
      </c>
      <c r="G148" t="s">
        <v>4003</v>
      </c>
      <c r="H148" t="s">
        <v>3704</v>
      </c>
      <c r="I148" t="s">
        <v>3709</v>
      </c>
    </row>
    <row r="149" spans="1:9" x14ac:dyDescent="0.25">
      <c r="A149" t="s">
        <v>1223</v>
      </c>
      <c r="B149" t="s">
        <v>169</v>
      </c>
      <c r="C149" t="s">
        <v>3710</v>
      </c>
      <c r="D149" t="s">
        <v>141</v>
      </c>
      <c r="E149" t="s">
        <v>170</v>
      </c>
      <c r="F149" t="s">
        <v>4004</v>
      </c>
      <c r="G149" t="s">
        <v>4005</v>
      </c>
      <c r="H149" t="s">
        <v>3713</v>
      </c>
      <c r="I149" t="s">
        <v>3714</v>
      </c>
    </row>
    <row r="150" spans="1:9" x14ac:dyDescent="0.25">
      <c r="A150" t="s">
        <v>1225</v>
      </c>
      <c r="B150" t="s">
        <v>169</v>
      </c>
      <c r="C150" t="s">
        <v>3715</v>
      </c>
      <c r="D150" t="s">
        <v>141</v>
      </c>
      <c r="E150" t="s">
        <v>170</v>
      </c>
      <c r="F150" t="s">
        <v>4006</v>
      </c>
      <c r="G150" t="s">
        <v>4007</v>
      </c>
      <c r="H150" t="s">
        <v>3704</v>
      </c>
      <c r="I150" t="s">
        <v>3700</v>
      </c>
    </row>
    <row r="151" spans="1:9" x14ac:dyDescent="0.25">
      <c r="A151" t="s">
        <v>1227</v>
      </c>
      <c r="B151" t="s">
        <v>169</v>
      </c>
      <c r="C151" t="s">
        <v>3718</v>
      </c>
      <c r="D151" t="s">
        <v>141</v>
      </c>
      <c r="E151" t="s">
        <v>170</v>
      </c>
      <c r="F151" t="s">
        <v>4008</v>
      </c>
      <c r="G151" t="s">
        <v>4009</v>
      </c>
      <c r="H151" t="s">
        <v>3713</v>
      </c>
      <c r="I151" t="s">
        <v>3721</v>
      </c>
    </row>
    <row r="152" spans="1:9" x14ac:dyDescent="0.25">
      <c r="A152" t="s">
        <v>1231</v>
      </c>
      <c r="B152" t="s">
        <v>173</v>
      </c>
      <c r="C152" t="s">
        <v>3696</v>
      </c>
      <c r="D152" t="s">
        <v>141</v>
      </c>
      <c r="E152" t="s">
        <v>174</v>
      </c>
      <c r="F152" t="s">
        <v>4010</v>
      </c>
      <c r="G152" t="s">
        <v>4011</v>
      </c>
      <c r="H152" t="s">
        <v>3699</v>
      </c>
      <c r="I152" t="s">
        <v>3700</v>
      </c>
    </row>
    <row r="153" spans="1:9" x14ac:dyDescent="0.25">
      <c r="A153" t="s">
        <v>1236</v>
      </c>
      <c r="B153" t="s">
        <v>173</v>
      </c>
      <c r="C153" t="s">
        <v>3701</v>
      </c>
      <c r="D153" t="s">
        <v>141</v>
      </c>
      <c r="E153" t="s">
        <v>174</v>
      </c>
      <c r="F153" t="s">
        <v>4012</v>
      </c>
      <c r="G153" t="s">
        <v>4013</v>
      </c>
      <c r="H153" t="s">
        <v>3704</v>
      </c>
      <c r="I153" t="s">
        <v>3705</v>
      </c>
    </row>
    <row r="154" spans="1:9" x14ac:dyDescent="0.25">
      <c r="A154" t="s">
        <v>1239</v>
      </c>
      <c r="B154" t="s">
        <v>173</v>
      </c>
      <c r="C154" t="s">
        <v>3706</v>
      </c>
      <c r="D154" t="s">
        <v>141</v>
      </c>
      <c r="E154" t="s">
        <v>174</v>
      </c>
      <c r="F154" t="s">
        <v>4014</v>
      </c>
      <c r="G154" t="s">
        <v>4015</v>
      </c>
      <c r="H154" t="s">
        <v>3704</v>
      </c>
      <c r="I154" t="s">
        <v>3709</v>
      </c>
    </row>
    <row r="155" spans="1:9" x14ac:dyDescent="0.25">
      <c r="A155" t="s">
        <v>1242</v>
      </c>
      <c r="B155" t="s">
        <v>173</v>
      </c>
      <c r="C155" t="s">
        <v>3710</v>
      </c>
      <c r="D155" t="s">
        <v>141</v>
      </c>
      <c r="E155" t="s">
        <v>174</v>
      </c>
      <c r="F155" t="s">
        <v>4016</v>
      </c>
      <c r="G155" t="s">
        <v>4017</v>
      </c>
      <c r="H155" t="s">
        <v>3713</v>
      </c>
      <c r="I155" t="s">
        <v>3714</v>
      </c>
    </row>
    <row r="156" spans="1:9" x14ac:dyDescent="0.25">
      <c r="A156" t="s">
        <v>1244</v>
      </c>
      <c r="B156" t="s">
        <v>173</v>
      </c>
      <c r="C156" t="s">
        <v>3715</v>
      </c>
      <c r="D156" t="s">
        <v>141</v>
      </c>
      <c r="E156" t="s">
        <v>174</v>
      </c>
      <c r="F156" t="s">
        <v>4018</v>
      </c>
      <c r="G156" t="s">
        <v>4019</v>
      </c>
      <c r="H156" t="s">
        <v>3704</v>
      </c>
      <c r="I156" t="s">
        <v>3700</v>
      </c>
    </row>
    <row r="157" spans="1:9" x14ac:dyDescent="0.25">
      <c r="A157" t="s">
        <v>1246</v>
      </c>
      <c r="B157" t="s">
        <v>173</v>
      </c>
      <c r="C157" t="s">
        <v>3718</v>
      </c>
      <c r="D157" t="s">
        <v>141</v>
      </c>
      <c r="E157" t="s">
        <v>174</v>
      </c>
      <c r="F157" t="s">
        <v>4020</v>
      </c>
      <c r="G157" t="s">
        <v>4021</v>
      </c>
      <c r="H157" t="s">
        <v>3713</v>
      </c>
      <c r="I157" t="s">
        <v>3721</v>
      </c>
    </row>
    <row r="158" spans="1:9" x14ac:dyDescent="0.25">
      <c r="A158" t="s">
        <v>1250</v>
      </c>
      <c r="B158" t="s">
        <v>177</v>
      </c>
      <c r="C158" t="s">
        <v>3696</v>
      </c>
      <c r="D158" t="s">
        <v>141</v>
      </c>
      <c r="E158" t="s">
        <v>179</v>
      </c>
      <c r="F158" t="s">
        <v>4022</v>
      </c>
      <c r="G158" t="s">
        <v>4023</v>
      </c>
      <c r="H158" t="s">
        <v>3699</v>
      </c>
      <c r="I158" t="s">
        <v>3700</v>
      </c>
    </row>
    <row r="159" spans="1:9" x14ac:dyDescent="0.25">
      <c r="A159" t="s">
        <v>1255</v>
      </c>
      <c r="B159" t="s">
        <v>177</v>
      </c>
      <c r="C159" t="s">
        <v>3701</v>
      </c>
      <c r="D159" t="s">
        <v>141</v>
      </c>
      <c r="E159" t="s">
        <v>179</v>
      </c>
      <c r="F159" t="s">
        <v>4024</v>
      </c>
      <c r="G159" t="s">
        <v>4025</v>
      </c>
      <c r="H159" t="s">
        <v>3704</v>
      </c>
      <c r="I159" t="s">
        <v>3705</v>
      </c>
    </row>
    <row r="160" spans="1:9" x14ac:dyDescent="0.25">
      <c r="A160" t="s">
        <v>1258</v>
      </c>
      <c r="B160" t="s">
        <v>177</v>
      </c>
      <c r="C160" t="s">
        <v>3706</v>
      </c>
      <c r="D160" t="s">
        <v>141</v>
      </c>
      <c r="E160" t="s">
        <v>179</v>
      </c>
      <c r="F160" t="s">
        <v>4026</v>
      </c>
      <c r="G160" t="s">
        <v>4027</v>
      </c>
      <c r="H160" t="s">
        <v>3704</v>
      </c>
      <c r="I160" t="s">
        <v>3709</v>
      </c>
    </row>
    <row r="161" spans="1:9" x14ac:dyDescent="0.25">
      <c r="A161" t="s">
        <v>1261</v>
      </c>
      <c r="B161" t="s">
        <v>177</v>
      </c>
      <c r="C161" t="s">
        <v>3710</v>
      </c>
      <c r="D161" t="s">
        <v>141</v>
      </c>
      <c r="E161" t="s">
        <v>179</v>
      </c>
      <c r="F161" t="s">
        <v>4028</v>
      </c>
      <c r="G161" t="s">
        <v>4029</v>
      </c>
      <c r="H161" t="s">
        <v>3713</v>
      </c>
      <c r="I161" t="s">
        <v>3714</v>
      </c>
    </row>
    <row r="162" spans="1:9" x14ac:dyDescent="0.25">
      <c r="A162" t="s">
        <v>1263</v>
      </c>
      <c r="B162" t="s">
        <v>177</v>
      </c>
      <c r="C162" t="s">
        <v>3715</v>
      </c>
      <c r="D162" t="s">
        <v>141</v>
      </c>
      <c r="E162" t="s">
        <v>179</v>
      </c>
      <c r="F162" t="s">
        <v>4030</v>
      </c>
      <c r="G162" t="s">
        <v>4031</v>
      </c>
      <c r="H162" t="s">
        <v>3704</v>
      </c>
      <c r="I162" t="s">
        <v>3700</v>
      </c>
    </row>
    <row r="163" spans="1:9" x14ac:dyDescent="0.25">
      <c r="A163" t="s">
        <v>1265</v>
      </c>
      <c r="B163" t="s">
        <v>177</v>
      </c>
      <c r="C163" t="s">
        <v>3718</v>
      </c>
      <c r="D163" t="s">
        <v>141</v>
      </c>
      <c r="E163" t="s">
        <v>179</v>
      </c>
      <c r="F163" t="s">
        <v>4032</v>
      </c>
      <c r="G163" t="s">
        <v>4033</v>
      </c>
      <c r="H163" t="s">
        <v>3713</v>
      </c>
      <c r="I163" t="s">
        <v>3721</v>
      </c>
    </row>
    <row r="164" spans="1:9" x14ac:dyDescent="0.25">
      <c r="A164" t="s">
        <v>1269</v>
      </c>
      <c r="B164" t="s">
        <v>182</v>
      </c>
      <c r="C164" t="s">
        <v>3696</v>
      </c>
      <c r="D164" t="s">
        <v>141</v>
      </c>
      <c r="E164" t="s">
        <v>183</v>
      </c>
      <c r="F164" t="s">
        <v>4034</v>
      </c>
      <c r="G164" t="s">
        <v>4035</v>
      </c>
      <c r="H164" t="s">
        <v>3699</v>
      </c>
      <c r="I164" t="s">
        <v>3700</v>
      </c>
    </row>
    <row r="165" spans="1:9" x14ac:dyDescent="0.25">
      <c r="A165" t="s">
        <v>1275</v>
      </c>
      <c r="B165" t="s">
        <v>182</v>
      </c>
      <c r="C165" t="s">
        <v>3701</v>
      </c>
      <c r="D165" t="s">
        <v>141</v>
      </c>
      <c r="E165" t="s">
        <v>183</v>
      </c>
      <c r="F165" t="s">
        <v>4036</v>
      </c>
      <c r="G165" t="s">
        <v>4037</v>
      </c>
      <c r="H165" t="s">
        <v>3704</v>
      </c>
      <c r="I165" t="s">
        <v>3705</v>
      </c>
    </row>
    <row r="166" spans="1:9" x14ac:dyDescent="0.25">
      <c r="A166" t="s">
        <v>1278</v>
      </c>
      <c r="B166" t="s">
        <v>182</v>
      </c>
      <c r="C166" t="s">
        <v>3706</v>
      </c>
      <c r="D166" t="s">
        <v>141</v>
      </c>
      <c r="E166" t="s">
        <v>183</v>
      </c>
      <c r="F166" t="s">
        <v>4038</v>
      </c>
      <c r="G166" t="s">
        <v>4039</v>
      </c>
      <c r="H166" t="s">
        <v>3704</v>
      </c>
      <c r="I166" t="s">
        <v>3709</v>
      </c>
    </row>
    <row r="167" spans="1:9" x14ac:dyDescent="0.25">
      <c r="A167" t="s">
        <v>1280</v>
      </c>
      <c r="B167" t="s">
        <v>182</v>
      </c>
      <c r="C167" t="s">
        <v>3710</v>
      </c>
      <c r="D167" t="s">
        <v>141</v>
      </c>
      <c r="E167" t="s">
        <v>183</v>
      </c>
      <c r="F167" t="s">
        <v>4040</v>
      </c>
      <c r="G167" t="s">
        <v>4041</v>
      </c>
      <c r="H167" t="s">
        <v>3713</v>
      </c>
      <c r="I167" t="s">
        <v>3714</v>
      </c>
    </row>
    <row r="168" spans="1:9" x14ac:dyDescent="0.25">
      <c r="A168" t="s">
        <v>1282</v>
      </c>
      <c r="B168" t="s">
        <v>182</v>
      </c>
      <c r="C168" t="s">
        <v>3715</v>
      </c>
      <c r="D168" t="s">
        <v>141</v>
      </c>
      <c r="E168" t="s">
        <v>183</v>
      </c>
      <c r="F168" t="s">
        <v>4042</v>
      </c>
      <c r="G168" t="s">
        <v>4043</v>
      </c>
      <c r="H168" t="s">
        <v>3704</v>
      </c>
      <c r="I168" t="s">
        <v>3700</v>
      </c>
    </row>
    <row r="169" spans="1:9" x14ac:dyDescent="0.25">
      <c r="A169" t="s">
        <v>1284</v>
      </c>
      <c r="B169" t="s">
        <v>182</v>
      </c>
      <c r="C169" t="s">
        <v>3718</v>
      </c>
      <c r="D169" t="s">
        <v>141</v>
      </c>
      <c r="E169" t="s">
        <v>183</v>
      </c>
      <c r="F169" t="s">
        <v>4044</v>
      </c>
      <c r="G169" t="s">
        <v>4045</v>
      </c>
      <c r="H169" t="s">
        <v>3713</v>
      </c>
      <c r="I169" t="s">
        <v>3721</v>
      </c>
    </row>
    <row r="170" spans="1:9" x14ac:dyDescent="0.25">
      <c r="A170" t="s">
        <v>1288</v>
      </c>
      <c r="B170" t="s">
        <v>186</v>
      </c>
      <c r="C170" t="s">
        <v>3696</v>
      </c>
      <c r="D170" t="s">
        <v>141</v>
      </c>
      <c r="E170" t="s">
        <v>187</v>
      </c>
      <c r="F170" t="s">
        <v>4046</v>
      </c>
      <c r="G170" t="s">
        <v>4047</v>
      </c>
      <c r="H170" t="s">
        <v>3699</v>
      </c>
      <c r="I170" t="s">
        <v>3700</v>
      </c>
    </row>
    <row r="171" spans="1:9" x14ac:dyDescent="0.25">
      <c r="A171" t="s">
        <v>1293</v>
      </c>
      <c r="B171" t="s">
        <v>186</v>
      </c>
      <c r="C171" t="s">
        <v>3701</v>
      </c>
      <c r="D171" t="s">
        <v>141</v>
      </c>
      <c r="E171" t="s">
        <v>187</v>
      </c>
      <c r="F171" t="s">
        <v>4048</v>
      </c>
      <c r="G171" t="s">
        <v>4049</v>
      </c>
      <c r="H171" t="s">
        <v>3704</v>
      </c>
      <c r="I171" t="s">
        <v>3705</v>
      </c>
    </row>
    <row r="172" spans="1:9" x14ac:dyDescent="0.25">
      <c r="A172" t="s">
        <v>1296</v>
      </c>
      <c r="B172" t="s">
        <v>186</v>
      </c>
      <c r="C172" t="s">
        <v>3706</v>
      </c>
      <c r="D172" t="s">
        <v>141</v>
      </c>
      <c r="E172" t="s">
        <v>187</v>
      </c>
      <c r="F172" t="s">
        <v>4050</v>
      </c>
      <c r="G172" t="s">
        <v>4051</v>
      </c>
      <c r="H172" t="s">
        <v>3704</v>
      </c>
      <c r="I172" t="s">
        <v>3709</v>
      </c>
    </row>
    <row r="173" spans="1:9" x14ac:dyDescent="0.25">
      <c r="A173" t="s">
        <v>1299</v>
      </c>
      <c r="B173" t="s">
        <v>186</v>
      </c>
      <c r="C173" t="s">
        <v>3710</v>
      </c>
      <c r="D173" t="s">
        <v>141</v>
      </c>
      <c r="E173" t="s">
        <v>187</v>
      </c>
      <c r="F173" t="s">
        <v>4052</v>
      </c>
      <c r="G173" t="s">
        <v>4053</v>
      </c>
      <c r="H173" t="s">
        <v>3713</v>
      </c>
      <c r="I173" t="s">
        <v>3714</v>
      </c>
    </row>
    <row r="174" spans="1:9" x14ac:dyDescent="0.25">
      <c r="A174" t="s">
        <v>1301</v>
      </c>
      <c r="B174" t="s">
        <v>186</v>
      </c>
      <c r="C174" t="s">
        <v>3715</v>
      </c>
      <c r="D174" t="s">
        <v>141</v>
      </c>
      <c r="E174" t="s">
        <v>187</v>
      </c>
      <c r="F174" t="s">
        <v>4054</v>
      </c>
      <c r="G174" t="s">
        <v>4055</v>
      </c>
      <c r="H174" t="s">
        <v>3704</v>
      </c>
      <c r="I174" t="s">
        <v>3700</v>
      </c>
    </row>
    <row r="175" spans="1:9" x14ac:dyDescent="0.25">
      <c r="A175" t="s">
        <v>1303</v>
      </c>
      <c r="B175" t="s">
        <v>186</v>
      </c>
      <c r="C175" t="s">
        <v>3718</v>
      </c>
      <c r="D175" t="s">
        <v>141</v>
      </c>
      <c r="E175" t="s">
        <v>187</v>
      </c>
      <c r="F175" t="s">
        <v>4056</v>
      </c>
      <c r="G175" t="s">
        <v>4057</v>
      </c>
      <c r="H175" t="s">
        <v>3713</v>
      </c>
      <c r="I175" t="s">
        <v>3721</v>
      </c>
    </row>
    <row r="176" spans="1:9" x14ac:dyDescent="0.25">
      <c r="A176" t="s">
        <v>1307</v>
      </c>
      <c r="B176" t="s">
        <v>190</v>
      </c>
      <c r="C176" t="s">
        <v>3696</v>
      </c>
      <c r="D176" t="s">
        <v>141</v>
      </c>
      <c r="E176" t="s">
        <v>191</v>
      </c>
      <c r="F176" t="s">
        <v>4058</v>
      </c>
      <c r="G176" t="s">
        <v>4059</v>
      </c>
      <c r="H176" t="s">
        <v>3699</v>
      </c>
      <c r="I176" t="s">
        <v>3700</v>
      </c>
    </row>
    <row r="177" spans="1:9" x14ac:dyDescent="0.25">
      <c r="A177" t="s">
        <v>1313</v>
      </c>
      <c r="B177" t="s">
        <v>190</v>
      </c>
      <c r="C177" t="s">
        <v>3701</v>
      </c>
      <c r="D177" t="s">
        <v>141</v>
      </c>
      <c r="E177" t="s">
        <v>191</v>
      </c>
      <c r="F177" t="s">
        <v>4060</v>
      </c>
      <c r="G177" t="s">
        <v>4061</v>
      </c>
      <c r="H177" t="s">
        <v>3704</v>
      </c>
      <c r="I177" t="s">
        <v>3705</v>
      </c>
    </row>
    <row r="178" spans="1:9" x14ac:dyDescent="0.25">
      <c r="A178" t="s">
        <v>1315</v>
      </c>
      <c r="B178" t="s">
        <v>190</v>
      </c>
      <c r="C178" t="s">
        <v>3706</v>
      </c>
      <c r="D178" t="s">
        <v>141</v>
      </c>
      <c r="E178" t="s">
        <v>191</v>
      </c>
      <c r="F178" t="s">
        <v>4062</v>
      </c>
      <c r="G178" t="s">
        <v>4063</v>
      </c>
      <c r="H178" t="s">
        <v>3704</v>
      </c>
      <c r="I178" t="s">
        <v>3709</v>
      </c>
    </row>
    <row r="179" spans="1:9" x14ac:dyDescent="0.25">
      <c r="A179" t="s">
        <v>1318</v>
      </c>
      <c r="B179" t="s">
        <v>190</v>
      </c>
      <c r="C179" t="s">
        <v>3710</v>
      </c>
      <c r="D179" t="s">
        <v>141</v>
      </c>
      <c r="E179" t="s">
        <v>191</v>
      </c>
      <c r="F179" t="s">
        <v>4064</v>
      </c>
      <c r="G179" t="s">
        <v>4065</v>
      </c>
      <c r="H179" t="s">
        <v>3713</v>
      </c>
      <c r="I179" t="s">
        <v>3714</v>
      </c>
    </row>
    <row r="180" spans="1:9" x14ac:dyDescent="0.25">
      <c r="A180" t="s">
        <v>1320</v>
      </c>
      <c r="B180" t="s">
        <v>190</v>
      </c>
      <c r="C180" t="s">
        <v>3715</v>
      </c>
      <c r="D180" t="s">
        <v>141</v>
      </c>
      <c r="E180" t="s">
        <v>191</v>
      </c>
      <c r="F180" t="s">
        <v>4066</v>
      </c>
      <c r="G180" t="s">
        <v>4067</v>
      </c>
      <c r="H180" t="s">
        <v>3704</v>
      </c>
      <c r="I180" t="s">
        <v>3700</v>
      </c>
    </row>
    <row r="181" spans="1:9" x14ac:dyDescent="0.25">
      <c r="A181" t="s">
        <v>1322</v>
      </c>
      <c r="B181" t="s">
        <v>190</v>
      </c>
      <c r="C181" t="s">
        <v>3718</v>
      </c>
      <c r="D181" t="s">
        <v>141</v>
      </c>
      <c r="E181" t="s">
        <v>191</v>
      </c>
      <c r="F181" t="s">
        <v>4068</v>
      </c>
      <c r="G181" t="s">
        <v>4069</v>
      </c>
      <c r="H181" t="s">
        <v>3713</v>
      </c>
      <c r="I181" t="s">
        <v>3721</v>
      </c>
    </row>
    <row r="182" spans="1:9" x14ac:dyDescent="0.25">
      <c r="A182" t="s">
        <v>1326</v>
      </c>
      <c r="B182" t="s">
        <v>194</v>
      </c>
      <c r="C182" t="s">
        <v>3696</v>
      </c>
      <c r="D182" t="s">
        <v>141</v>
      </c>
      <c r="E182" t="s">
        <v>196</v>
      </c>
      <c r="F182" t="s">
        <v>4070</v>
      </c>
      <c r="G182" t="s">
        <v>4071</v>
      </c>
      <c r="H182" t="s">
        <v>3699</v>
      </c>
      <c r="I182" t="s">
        <v>3700</v>
      </c>
    </row>
    <row r="183" spans="1:9" x14ac:dyDescent="0.25">
      <c r="A183" t="s">
        <v>1331</v>
      </c>
      <c r="B183" t="s">
        <v>194</v>
      </c>
      <c r="C183" t="s">
        <v>3701</v>
      </c>
      <c r="D183" t="s">
        <v>141</v>
      </c>
      <c r="E183" t="s">
        <v>196</v>
      </c>
      <c r="F183" t="s">
        <v>4072</v>
      </c>
      <c r="G183" t="s">
        <v>4073</v>
      </c>
      <c r="H183" t="s">
        <v>3704</v>
      </c>
      <c r="I183" t="s">
        <v>3705</v>
      </c>
    </row>
    <row r="184" spans="1:9" x14ac:dyDescent="0.25">
      <c r="A184" t="s">
        <v>1334</v>
      </c>
      <c r="B184" t="s">
        <v>194</v>
      </c>
      <c r="C184" t="s">
        <v>3706</v>
      </c>
      <c r="D184" t="s">
        <v>141</v>
      </c>
      <c r="E184" t="s">
        <v>196</v>
      </c>
      <c r="F184" t="s">
        <v>4074</v>
      </c>
      <c r="G184" t="s">
        <v>4075</v>
      </c>
      <c r="H184" t="s">
        <v>3704</v>
      </c>
      <c r="I184" t="s">
        <v>3709</v>
      </c>
    </row>
    <row r="185" spans="1:9" x14ac:dyDescent="0.25">
      <c r="A185" t="s">
        <v>1337</v>
      </c>
      <c r="B185" t="s">
        <v>194</v>
      </c>
      <c r="C185" t="s">
        <v>3710</v>
      </c>
      <c r="D185" t="s">
        <v>141</v>
      </c>
      <c r="E185" t="s">
        <v>196</v>
      </c>
      <c r="F185" t="s">
        <v>4076</v>
      </c>
      <c r="G185" t="s">
        <v>4077</v>
      </c>
      <c r="H185" t="s">
        <v>3713</v>
      </c>
      <c r="I185" t="s">
        <v>3714</v>
      </c>
    </row>
    <row r="186" spans="1:9" x14ac:dyDescent="0.25">
      <c r="A186" t="s">
        <v>1339</v>
      </c>
      <c r="B186" t="s">
        <v>194</v>
      </c>
      <c r="C186" t="s">
        <v>3715</v>
      </c>
      <c r="D186" t="s">
        <v>141</v>
      </c>
      <c r="E186" t="s">
        <v>196</v>
      </c>
      <c r="F186" t="s">
        <v>4078</v>
      </c>
      <c r="G186" t="s">
        <v>4079</v>
      </c>
      <c r="H186" t="s">
        <v>3704</v>
      </c>
      <c r="I186" t="s">
        <v>3700</v>
      </c>
    </row>
    <row r="187" spans="1:9" x14ac:dyDescent="0.25">
      <c r="A187" t="s">
        <v>1341</v>
      </c>
      <c r="B187" t="s">
        <v>194</v>
      </c>
      <c r="C187" t="s">
        <v>3718</v>
      </c>
      <c r="D187" t="s">
        <v>141</v>
      </c>
      <c r="E187" t="s">
        <v>196</v>
      </c>
      <c r="F187" t="s">
        <v>4080</v>
      </c>
      <c r="G187" t="s">
        <v>4081</v>
      </c>
      <c r="H187" t="s">
        <v>3713</v>
      </c>
      <c r="I187" t="s">
        <v>3721</v>
      </c>
    </row>
    <row r="188" spans="1:9" x14ac:dyDescent="0.25">
      <c r="A188" t="s">
        <v>1345</v>
      </c>
      <c r="B188" t="s">
        <v>200</v>
      </c>
      <c r="C188" t="s">
        <v>3696</v>
      </c>
      <c r="D188" t="s">
        <v>141</v>
      </c>
      <c r="E188" t="s">
        <v>201</v>
      </c>
      <c r="F188" t="s">
        <v>4082</v>
      </c>
      <c r="G188" t="s">
        <v>4083</v>
      </c>
      <c r="H188" t="s">
        <v>3699</v>
      </c>
      <c r="I188" t="s">
        <v>3700</v>
      </c>
    </row>
    <row r="189" spans="1:9" x14ac:dyDescent="0.25">
      <c r="A189" t="s">
        <v>1351</v>
      </c>
      <c r="B189" t="s">
        <v>200</v>
      </c>
      <c r="C189" t="s">
        <v>3701</v>
      </c>
      <c r="D189" t="s">
        <v>141</v>
      </c>
      <c r="E189" t="s">
        <v>201</v>
      </c>
      <c r="F189" t="s">
        <v>4084</v>
      </c>
      <c r="G189" t="s">
        <v>4085</v>
      </c>
      <c r="H189" t="s">
        <v>3704</v>
      </c>
      <c r="I189" t="s">
        <v>3705</v>
      </c>
    </row>
    <row r="190" spans="1:9" x14ac:dyDescent="0.25">
      <c r="A190" t="s">
        <v>1353</v>
      </c>
      <c r="B190" t="s">
        <v>200</v>
      </c>
      <c r="C190" t="s">
        <v>3706</v>
      </c>
      <c r="D190" t="s">
        <v>141</v>
      </c>
      <c r="E190" t="s">
        <v>201</v>
      </c>
      <c r="F190" t="s">
        <v>4086</v>
      </c>
      <c r="G190" t="s">
        <v>4087</v>
      </c>
      <c r="H190" t="s">
        <v>3704</v>
      </c>
      <c r="I190" t="s">
        <v>3709</v>
      </c>
    </row>
    <row r="191" spans="1:9" x14ac:dyDescent="0.25">
      <c r="A191" t="s">
        <v>1356</v>
      </c>
      <c r="B191" t="s">
        <v>200</v>
      </c>
      <c r="C191" t="s">
        <v>3710</v>
      </c>
      <c r="D191" t="s">
        <v>141</v>
      </c>
      <c r="E191" t="s">
        <v>201</v>
      </c>
      <c r="F191" t="s">
        <v>4088</v>
      </c>
      <c r="G191" t="s">
        <v>4089</v>
      </c>
      <c r="H191" t="s">
        <v>3713</v>
      </c>
      <c r="I191" t="s">
        <v>3714</v>
      </c>
    </row>
    <row r="192" spans="1:9" x14ac:dyDescent="0.25">
      <c r="A192" t="s">
        <v>1358</v>
      </c>
      <c r="B192" t="s">
        <v>200</v>
      </c>
      <c r="C192" t="s">
        <v>3715</v>
      </c>
      <c r="D192" t="s">
        <v>141</v>
      </c>
      <c r="E192" t="s">
        <v>201</v>
      </c>
      <c r="F192" t="s">
        <v>4090</v>
      </c>
      <c r="G192" t="s">
        <v>4091</v>
      </c>
      <c r="H192" t="s">
        <v>3704</v>
      </c>
      <c r="I192" t="s">
        <v>3700</v>
      </c>
    </row>
    <row r="193" spans="1:9" x14ac:dyDescent="0.25">
      <c r="A193" t="s">
        <v>1360</v>
      </c>
      <c r="B193" t="s">
        <v>200</v>
      </c>
      <c r="C193" t="s">
        <v>3718</v>
      </c>
      <c r="D193" t="s">
        <v>141</v>
      </c>
      <c r="E193" t="s">
        <v>201</v>
      </c>
      <c r="F193" t="s">
        <v>4092</v>
      </c>
      <c r="G193" t="s">
        <v>4093</v>
      </c>
      <c r="H193" t="s">
        <v>3713</v>
      </c>
      <c r="I193" t="s">
        <v>3721</v>
      </c>
    </row>
    <row r="194" spans="1:9" x14ac:dyDescent="0.25">
      <c r="A194" t="s">
        <v>1364</v>
      </c>
      <c r="B194" t="s">
        <v>204</v>
      </c>
      <c r="C194" t="s">
        <v>3696</v>
      </c>
      <c r="D194" t="s">
        <v>141</v>
      </c>
      <c r="E194" t="s">
        <v>205</v>
      </c>
      <c r="F194" t="s">
        <v>4094</v>
      </c>
      <c r="G194" t="s">
        <v>4095</v>
      </c>
      <c r="H194" t="s">
        <v>3699</v>
      </c>
      <c r="I194" t="s">
        <v>3700</v>
      </c>
    </row>
    <row r="195" spans="1:9" x14ac:dyDescent="0.25">
      <c r="A195" t="s">
        <v>1370</v>
      </c>
      <c r="B195" t="s">
        <v>204</v>
      </c>
      <c r="C195" t="s">
        <v>3701</v>
      </c>
      <c r="D195" t="s">
        <v>141</v>
      </c>
      <c r="E195" t="s">
        <v>205</v>
      </c>
      <c r="F195" t="s">
        <v>4096</v>
      </c>
      <c r="G195" t="s">
        <v>4097</v>
      </c>
      <c r="H195" t="s">
        <v>3704</v>
      </c>
      <c r="I195" t="s">
        <v>3705</v>
      </c>
    </row>
    <row r="196" spans="1:9" x14ac:dyDescent="0.25">
      <c r="A196" t="s">
        <v>1372</v>
      </c>
      <c r="B196" t="s">
        <v>204</v>
      </c>
      <c r="C196" t="s">
        <v>3706</v>
      </c>
      <c r="D196" t="s">
        <v>141</v>
      </c>
      <c r="E196" t="s">
        <v>205</v>
      </c>
      <c r="F196" t="s">
        <v>4098</v>
      </c>
      <c r="G196" t="s">
        <v>4099</v>
      </c>
      <c r="H196" t="s">
        <v>3704</v>
      </c>
      <c r="I196" t="s">
        <v>3709</v>
      </c>
    </row>
    <row r="197" spans="1:9" x14ac:dyDescent="0.25">
      <c r="A197" t="s">
        <v>1375</v>
      </c>
      <c r="B197" t="s">
        <v>204</v>
      </c>
      <c r="C197" t="s">
        <v>3710</v>
      </c>
      <c r="D197" t="s">
        <v>141</v>
      </c>
      <c r="E197" t="s">
        <v>205</v>
      </c>
      <c r="F197" t="s">
        <v>4100</v>
      </c>
      <c r="G197" t="s">
        <v>4101</v>
      </c>
      <c r="H197" t="s">
        <v>3713</v>
      </c>
      <c r="I197" t="s">
        <v>3714</v>
      </c>
    </row>
    <row r="198" spans="1:9" x14ac:dyDescent="0.25">
      <c r="A198" t="s">
        <v>1377</v>
      </c>
      <c r="B198" t="s">
        <v>204</v>
      </c>
      <c r="C198" t="s">
        <v>3715</v>
      </c>
      <c r="D198" t="s">
        <v>141</v>
      </c>
      <c r="E198" t="s">
        <v>205</v>
      </c>
      <c r="F198" t="s">
        <v>4102</v>
      </c>
      <c r="G198" t="s">
        <v>4103</v>
      </c>
      <c r="H198" t="s">
        <v>3704</v>
      </c>
      <c r="I198" t="s">
        <v>3700</v>
      </c>
    </row>
    <row r="199" spans="1:9" x14ac:dyDescent="0.25">
      <c r="A199" t="s">
        <v>1379</v>
      </c>
      <c r="B199" t="s">
        <v>204</v>
      </c>
      <c r="C199" t="s">
        <v>3718</v>
      </c>
      <c r="D199" t="s">
        <v>141</v>
      </c>
      <c r="E199" t="s">
        <v>205</v>
      </c>
      <c r="F199" t="s">
        <v>4104</v>
      </c>
      <c r="G199" t="s">
        <v>4105</v>
      </c>
      <c r="H199" t="s">
        <v>3713</v>
      </c>
      <c r="I199" t="s">
        <v>3721</v>
      </c>
    </row>
    <row r="200" spans="1:9" x14ac:dyDescent="0.25">
      <c r="A200" t="s">
        <v>1383</v>
      </c>
      <c r="B200" t="s">
        <v>208</v>
      </c>
      <c r="C200" t="s">
        <v>3696</v>
      </c>
      <c r="D200" t="s">
        <v>209</v>
      </c>
      <c r="E200" t="s">
        <v>211</v>
      </c>
      <c r="F200" t="s">
        <v>4106</v>
      </c>
      <c r="G200" t="s">
        <v>4107</v>
      </c>
      <c r="H200" t="s">
        <v>3699</v>
      </c>
      <c r="I200" t="s">
        <v>3700</v>
      </c>
    </row>
    <row r="201" spans="1:9" x14ac:dyDescent="0.25">
      <c r="A201" t="s">
        <v>1388</v>
      </c>
      <c r="B201" t="s">
        <v>208</v>
      </c>
      <c r="C201" t="s">
        <v>3701</v>
      </c>
      <c r="D201" t="s">
        <v>209</v>
      </c>
      <c r="E201" t="s">
        <v>211</v>
      </c>
      <c r="F201" t="s">
        <v>4108</v>
      </c>
      <c r="G201" t="s">
        <v>4109</v>
      </c>
      <c r="H201" t="s">
        <v>3704</v>
      </c>
      <c r="I201" t="s">
        <v>3705</v>
      </c>
    </row>
    <row r="202" spans="1:9" x14ac:dyDescent="0.25">
      <c r="A202" t="s">
        <v>1391</v>
      </c>
      <c r="B202" t="s">
        <v>208</v>
      </c>
      <c r="C202" t="s">
        <v>3706</v>
      </c>
      <c r="D202" t="s">
        <v>209</v>
      </c>
      <c r="E202" t="s">
        <v>211</v>
      </c>
      <c r="F202" t="s">
        <v>4110</v>
      </c>
      <c r="G202" t="s">
        <v>4111</v>
      </c>
      <c r="H202" t="s">
        <v>3704</v>
      </c>
      <c r="I202" t="s">
        <v>3709</v>
      </c>
    </row>
    <row r="203" spans="1:9" x14ac:dyDescent="0.25">
      <c r="A203" t="s">
        <v>1394</v>
      </c>
      <c r="B203" t="s">
        <v>208</v>
      </c>
      <c r="C203" t="s">
        <v>3710</v>
      </c>
      <c r="D203" t="s">
        <v>209</v>
      </c>
      <c r="E203" t="s">
        <v>211</v>
      </c>
      <c r="F203" t="s">
        <v>4112</v>
      </c>
      <c r="G203" t="s">
        <v>4113</v>
      </c>
      <c r="H203" t="s">
        <v>3713</v>
      </c>
      <c r="I203" t="s">
        <v>3714</v>
      </c>
    </row>
    <row r="204" spans="1:9" x14ac:dyDescent="0.25">
      <c r="A204" t="s">
        <v>1396</v>
      </c>
      <c r="B204" t="s">
        <v>208</v>
      </c>
      <c r="C204" t="s">
        <v>3715</v>
      </c>
      <c r="D204" t="s">
        <v>209</v>
      </c>
      <c r="E204" t="s">
        <v>211</v>
      </c>
      <c r="F204" t="s">
        <v>4114</v>
      </c>
      <c r="G204" t="s">
        <v>4115</v>
      </c>
      <c r="H204" t="s">
        <v>3704</v>
      </c>
      <c r="I204" t="s">
        <v>3700</v>
      </c>
    </row>
    <row r="205" spans="1:9" x14ac:dyDescent="0.25">
      <c r="A205" t="s">
        <v>1398</v>
      </c>
      <c r="B205" t="s">
        <v>208</v>
      </c>
      <c r="C205" t="s">
        <v>3718</v>
      </c>
      <c r="D205" t="s">
        <v>209</v>
      </c>
      <c r="E205" t="s">
        <v>211</v>
      </c>
      <c r="F205" t="s">
        <v>4116</v>
      </c>
      <c r="G205" t="s">
        <v>4117</v>
      </c>
      <c r="H205" t="s">
        <v>3713</v>
      </c>
      <c r="I205" t="s">
        <v>3721</v>
      </c>
    </row>
    <row r="206" spans="1:9" x14ac:dyDescent="0.25">
      <c r="A206" t="s">
        <v>1402</v>
      </c>
      <c r="B206" t="s">
        <v>214</v>
      </c>
      <c r="C206" t="s">
        <v>3696</v>
      </c>
      <c r="D206" t="s">
        <v>209</v>
      </c>
      <c r="E206" t="s">
        <v>215</v>
      </c>
      <c r="F206" t="s">
        <v>4118</v>
      </c>
      <c r="G206" t="s">
        <v>4119</v>
      </c>
      <c r="H206" t="s">
        <v>3699</v>
      </c>
      <c r="I206" t="s">
        <v>3700</v>
      </c>
    </row>
    <row r="207" spans="1:9" x14ac:dyDescent="0.25">
      <c r="A207" t="s">
        <v>1408</v>
      </c>
      <c r="B207" t="s">
        <v>214</v>
      </c>
      <c r="C207" t="s">
        <v>3701</v>
      </c>
      <c r="D207" t="s">
        <v>209</v>
      </c>
      <c r="E207" t="s">
        <v>215</v>
      </c>
      <c r="F207" t="s">
        <v>4120</v>
      </c>
      <c r="G207" t="s">
        <v>4121</v>
      </c>
      <c r="H207" t="s">
        <v>3704</v>
      </c>
      <c r="I207" t="s">
        <v>3705</v>
      </c>
    </row>
    <row r="208" spans="1:9" x14ac:dyDescent="0.25">
      <c r="A208" t="s">
        <v>1410</v>
      </c>
      <c r="B208" t="s">
        <v>214</v>
      </c>
      <c r="C208" t="s">
        <v>3706</v>
      </c>
      <c r="D208" t="s">
        <v>209</v>
      </c>
      <c r="E208" t="s">
        <v>215</v>
      </c>
      <c r="F208" t="s">
        <v>4122</v>
      </c>
      <c r="G208" t="s">
        <v>4123</v>
      </c>
      <c r="H208" t="s">
        <v>3704</v>
      </c>
      <c r="I208" t="s">
        <v>3709</v>
      </c>
    </row>
    <row r="209" spans="1:9" x14ac:dyDescent="0.25">
      <c r="A209" t="s">
        <v>1413</v>
      </c>
      <c r="B209" t="s">
        <v>214</v>
      </c>
      <c r="C209" t="s">
        <v>3710</v>
      </c>
      <c r="D209" t="s">
        <v>209</v>
      </c>
      <c r="E209" t="s">
        <v>215</v>
      </c>
      <c r="F209" t="s">
        <v>4124</v>
      </c>
      <c r="G209" t="s">
        <v>4125</v>
      </c>
      <c r="H209" t="s">
        <v>3713</v>
      </c>
      <c r="I209" t="s">
        <v>3714</v>
      </c>
    </row>
    <row r="210" spans="1:9" x14ac:dyDescent="0.25">
      <c r="A210" t="s">
        <v>1415</v>
      </c>
      <c r="B210" t="s">
        <v>214</v>
      </c>
      <c r="C210" t="s">
        <v>3715</v>
      </c>
      <c r="D210" t="s">
        <v>209</v>
      </c>
      <c r="E210" t="s">
        <v>215</v>
      </c>
      <c r="F210" t="s">
        <v>4126</v>
      </c>
      <c r="G210" t="s">
        <v>4127</v>
      </c>
      <c r="H210" t="s">
        <v>3704</v>
      </c>
      <c r="I210" t="s">
        <v>3700</v>
      </c>
    </row>
    <row r="211" spans="1:9" x14ac:dyDescent="0.25">
      <c r="A211" t="s">
        <v>1417</v>
      </c>
      <c r="B211" t="s">
        <v>214</v>
      </c>
      <c r="C211" t="s">
        <v>3718</v>
      </c>
      <c r="D211" t="s">
        <v>209</v>
      </c>
      <c r="E211" t="s">
        <v>215</v>
      </c>
      <c r="F211" t="s">
        <v>4128</v>
      </c>
      <c r="G211" t="s">
        <v>4129</v>
      </c>
      <c r="H211" t="s">
        <v>3713</v>
      </c>
      <c r="I211" t="s">
        <v>3721</v>
      </c>
    </row>
    <row r="212" spans="1:9" x14ac:dyDescent="0.25">
      <c r="A212" t="s">
        <v>1421</v>
      </c>
      <c r="B212" t="s">
        <v>218</v>
      </c>
      <c r="C212" t="s">
        <v>3696</v>
      </c>
      <c r="D212" t="s">
        <v>209</v>
      </c>
      <c r="E212" t="s">
        <v>219</v>
      </c>
      <c r="F212" t="s">
        <v>4130</v>
      </c>
      <c r="G212" t="s">
        <v>4131</v>
      </c>
      <c r="H212" t="s">
        <v>3699</v>
      </c>
      <c r="I212" t="s">
        <v>3700</v>
      </c>
    </row>
    <row r="213" spans="1:9" x14ac:dyDescent="0.25">
      <c r="A213" t="s">
        <v>1427</v>
      </c>
      <c r="B213" t="s">
        <v>218</v>
      </c>
      <c r="C213" t="s">
        <v>3701</v>
      </c>
      <c r="D213" t="s">
        <v>209</v>
      </c>
      <c r="E213" t="s">
        <v>219</v>
      </c>
      <c r="F213" t="s">
        <v>4132</v>
      </c>
      <c r="G213" t="s">
        <v>4133</v>
      </c>
      <c r="H213" t="s">
        <v>3704</v>
      </c>
      <c r="I213" t="s">
        <v>3705</v>
      </c>
    </row>
    <row r="214" spans="1:9" x14ac:dyDescent="0.25">
      <c r="A214" t="s">
        <v>1429</v>
      </c>
      <c r="B214" t="s">
        <v>218</v>
      </c>
      <c r="C214" t="s">
        <v>3706</v>
      </c>
      <c r="D214" t="s">
        <v>209</v>
      </c>
      <c r="E214" t="s">
        <v>219</v>
      </c>
      <c r="F214" t="s">
        <v>4134</v>
      </c>
      <c r="G214" t="s">
        <v>4135</v>
      </c>
      <c r="H214" t="s">
        <v>3704</v>
      </c>
      <c r="I214" t="s">
        <v>3709</v>
      </c>
    </row>
    <row r="215" spans="1:9" x14ac:dyDescent="0.25">
      <c r="A215" t="s">
        <v>1432</v>
      </c>
      <c r="B215" t="s">
        <v>218</v>
      </c>
      <c r="C215" t="s">
        <v>3710</v>
      </c>
      <c r="D215" t="s">
        <v>209</v>
      </c>
      <c r="E215" t="s">
        <v>219</v>
      </c>
      <c r="F215" t="s">
        <v>4136</v>
      </c>
      <c r="G215" t="s">
        <v>4137</v>
      </c>
      <c r="H215" t="s">
        <v>3713</v>
      </c>
      <c r="I215" t="s">
        <v>3714</v>
      </c>
    </row>
    <row r="216" spans="1:9" x14ac:dyDescent="0.25">
      <c r="A216" t="s">
        <v>1434</v>
      </c>
      <c r="B216" t="s">
        <v>218</v>
      </c>
      <c r="C216" t="s">
        <v>3715</v>
      </c>
      <c r="D216" t="s">
        <v>209</v>
      </c>
      <c r="E216" t="s">
        <v>219</v>
      </c>
      <c r="F216" t="s">
        <v>4138</v>
      </c>
      <c r="G216" t="s">
        <v>4139</v>
      </c>
      <c r="H216" t="s">
        <v>3704</v>
      </c>
      <c r="I216" t="s">
        <v>3700</v>
      </c>
    </row>
    <row r="217" spans="1:9" x14ac:dyDescent="0.25">
      <c r="A217" t="s">
        <v>1436</v>
      </c>
      <c r="B217" t="s">
        <v>218</v>
      </c>
      <c r="C217" t="s">
        <v>3718</v>
      </c>
      <c r="D217" t="s">
        <v>209</v>
      </c>
      <c r="E217" t="s">
        <v>219</v>
      </c>
      <c r="F217" t="s">
        <v>4140</v>
      </c>
      <c r="G217" t="s">
        <v>4141</v>
      </c>
      <c r="H217" t="s">
        <v>3713</v>
      </c>
      <c r="I217" t="s">
        <v>3721</v>
      </c>
    </row>
    <row r="218" spans="1:9" x14ac:dyDescent="0.25">
      <c r="A218" t="s">
        <v>1440</v>
      </c>
      <c r="B218" t="s">
        <v>222</v>
      </c>
      <c r="C218" t="s">
        <v>3696</v>
      </c>
      <c r="D218" t="s">
        <v>209</v>
      </c>
      <c r="E218" t="s">
        <v>223</v>
      </c>
      <c r="F218" t="s">
        <v>4142</v>
      </c>
      <c r="G218" t="s">
        <v>4143</v>
      </c>
      <c r="H218" t="s">
        <v>3699</v>
      </c>
      <c r="I218" t="s">
        <v>3700</v>
      </c>
    </row>
    <row r="219" spans="1:9" x14ac:dyDescent="0.25">
      <c r="A219" t="s">
        <v>1445</v>
      </c>
      <c r="B219" t="s">
        <v>222</v>
      </c>
      <c r="C219" t="s">
        <v>3701</v>
      </c>
      <c r="D219" t="s">
        <v>209</v>
      </c>
      <c r="E219" t="s">
        <v>223</v>
      </c>
      <c r="F219" t="s">
        <v>4144</v>
      </c>
      <c r="G219" t="s">
        <v>4145</v>
      </c>
      <c r="H219" t="s">
        <v>3704</v>
      </c>
      <c r="I219" t="s">
        <v>3705</v>
      </c>
    </row>
    <row r="220" spans="1:9" x14ac:dyDescent="0.25">
      <c r="A220" t="s">
        <v>1448</v>
      </c>
      <c r="B220" t="s">
        <v>222</v>
      </c>
      <c r="C220" t="s">
        <v>3706</v>
      </c>
      <c r="D220" t="s">
        <v>209</v>
      </c>
      <c r="E220" t="s">
        <v>223</v>
      </c>
      <c r="F220" t="s">
        <v>4146</v>
      </c>
      <c r="G220" t="s">
        <v>4147</v>
      </c>
      <c r="H220" t="s">
        <v>3704</v>
      </c>
      <c r="I220" t="s">
        <v>3709</v>
      </c>
    </row>
    <row r="221" spans="1:9" x14ac:dyDescent="0.25">
      <c r="A221" t="s">
        <v>1451</v>
      </c>
      <c r="B221" t="s">
        <v>222</v>
      </c>
      <c r="C221" t="s">
        <v>3710</v>
      </c>
      <c r="D221" t="s">
        <v>209</v>
      </c>
      <c r="E221" t="s">
        <v>223</v>
      </c>
      <c r="F221" t="s">
        <v>4148</v>
      </c>
      <c r="G221" t="s">
        <v>4149</v>
      </c>
      <c r="H221" t="s">
        <v>3713</v>
      </c>
      <c r="I221" t="s">
        <v>3714</v>
      </c>
    </row>
    <row r="222" spans="1:9" x14ac:dyDescent="0.25">
      <c r="A222" t="s">
        <v>1453</v>
      </c>
      <c r="B222" t="s">
        <v>222</v>
      </c>
      <c r="C222" t="s">
        <v>3715</v>
      </c>
      <c r="D222" t="s">
        <v>209</v>
      </c>
      <c r="E222" t="s">
        <v>223</v>
      </c>
      <c r="F222" t="s">
        <v>4150</v>
      </c>
      <c r="G222" t="s">
        <v>4151</v>
      </c>
      <c r="H222" t="s">
        <v>3704</v>
      </c>
      <c r="I222" t="s">
        <v>3700</v>
      </c>
    </row>
    <row r="223" spans="1:9" x14ac:dyDescent="0.25">
      <c r="A223" t="s">
        <v>1455</v>
      </c>
      <c r="B223" t="s">
        <v>222</v>
      </c>
      <c r="C223" t="s">
        <v>3718</v>
      </c>
      <c r="D223" t="s">
        <v>209</v>
      </c>
      <c r="E223" t="s">
        <v>223</v>
      </c>
      <c r="F223" t="s">
        <v>4152</v>
      </c>
      <c r="G223" t="s">
        <v>4153</v>
      </c>
      <c r="H223" t="s">
        <v>3713</v>
      </c>
      <c r="I223" t="s">
        <v>3721</v>
      </c>
    </row>
    <row r="224" spans="1:9" x14ac:dyDescent="0.25">
      <c r="A224" t="s">
        <v>1459</v>
      </c>
      <c r="B224" t="s">
        <v>226</v>
      </c>
      <c r="C224" t="s">
        <v>3696</v>
      </c>
      <c r="D224" t="s">
        <v>209</v>
      </c>
      <c r="E224" t="s">
        <v>228</v>
      </c>
      <c r="F224" t="s">
        <v>4154</v>
      </c>
      <c r="G224" t="s">
        <v>4155</v>
      </c>
      <c r="H224" t="s">
        <v>3699</v>
      </c>
      <c r="I224" t="s">
        <v>3700</v>
      </c>
    </row>
    <row r="225" spans="1:9" x14ac:dyDescent="0.25">
      <c r="A225" t="s">
        <v>1464</v>
      </c>
      <c r="B225" t="s">
        <v>226</v>
      </c>
      <c r="C225" t="s">
        <v>3701</v>
      </c>
      <c r="D225" t="s">
        <v>209</v>
      </c>
      <c r="E225" t="s">
        <v>228</v>
      </c>
      <c r="F225" t="s">
        <v>4156</v>
      </c>
      <c r="G225" t="s">
        <v>4157</v>
      </c>
      <c r="H225" t="s">
        <v>3704</v>
      </c>
      <c r="I225" t="s">
        <v>3705</v>
      </c>
    </row>
    <row r="226" spans="1:9" x14ac:dyDescent="0.25">
      <c r="A226" t="s">
        <v>1467</v>
      </c>
      <c r="B226" t="s">
        <v>226</v>
      </c>
      <c r="C226" t="s">
        <v>3706</v>
      </c>
      <c r="D226" t="s">
        <v>209</v>
      </c>
      <c r="E226" t="s">
        <v>228</v>
      </c>
      <c r="F226" t="s">
        <v>4158</v>
      </c>
      <c r="G226" t="s">
        <v>4159</v>
      </c>
      <c r="H226" t="s">
        <v>3704</v>
      </c>
      <c r="I226" t="s">
        <v>3709</v>
      </c>
    </row>
    <row r="227" spans="1:9" x14ac:dyDescent="0.25">
      <c r="A227" t="s">
        <v>1470</v>
      </c>
      <c r="B227" t="s">
        <v>226</v>
      </c>
      <c r="C227" t="s">
        <v>3710</v>
      </c>
      <c r="D227" t="s">
        <v>209</v>
      </c>
      <c r="E227" t="s">
        <v>228</v>
      </c>
      <c r="F227" t="s">
        <v>4160</v>
      </c>
      <c r="G227" t="s">
        <v>4161</v>
      </c>
      <c r="H227" t="s">
        <v>3713</v>
      </c>
      <c r="I227" t="s">
        <v>3714</v>
      </c>
    </row>
    <row r="228" spans="1:9" x14ac:dyDescent="0.25">
      <c r="A228" t="s">
        <v>1472</v>
      </c>
      <c r="B228" t="s">
        <v>226</v>
      </c>
      <c r="C228" t="s">
        <v>3715</v>
      </c>
      <c r="D228" t="s">
        <v>209</v>
      </c>
      <c r="E228" t="s">
        <v>228</v>
      </c>
      <c r="F228" t="s">
        <v>4162</v>
      </c>
      <c r="G228" t="s">
        <v>4163</v>
      </c>
      <c r="H228" t="s">
        <v>3704</v>
      </c>
      <c r="I228" t="s">
        <v>3700</v>
      </c>
    </row>
    <row r="229" spans="1:9" x14ac:dyDescent="0.25">
      <c r="A229" t="s">
        <v>1474</v>
      </c>
      <c r="B229" t="s">
        <v>226</v>
      </c>
      <c r="C229" t="s">
        <v>3718</v>
      </c>
      <c r="D229" t="s">
        <v>209</v>
      </c>
      <c r="E229" t="s">
        <v>228</v>
      </c>
      <c r="F229" t="s">
        <v>4164</v>
      </c>
      <c r="G229" t="s">
        <v>4165</v>
      </c>
      <c r="H229" t="s">
        <v>3713</v>
      </c>
      <c r="I229" t="s">
        <v>3721</v>
      </c>
    </row>
    <row r="230" spans="1:9" x14ac:dyDescent="0.25">
      <c r="A230" t="s">
        <v>1478</v>
      </c>
      <c r="B230" t="s">
        <v>231</v>
      </c>
      <c r="C230" t="s">
        <v>3696</v>
      </c>
      <c r="D230" t="s">
        <v>209</v>
      </c>
      <c r="E230" t="s">
        <v>232</v>
      </c>
      <c r="F230" t="s">
        <v>4166</v>
      </c>
      <c r="G230" t="s">
        <v>4167</v>
      </c>
      <c r="H230" t="s">
        <v>3699</v>
      </c>
      <c r="I230" t="s">
        <v>3700</v>
      </c>
    </row>
    <row r="231" spans="1:9" x14ac:dyDescent="0.25">
      <c r="A231" t="s">
        <v>1484</v>
      </c>
      <c r="B231" t="s">
        <v>231</v>
      </c>
      <c r="C231" t="s">
        <v>3701</v>
      </c>
      <c r="D231" t="s">
        <v>209</v>
      </c>
      <c r="E231" t="s">
        <v>232</v>
      </c>
      <c r="F231" t="s">
        <v>4168</v>
      </c>
      <c r="G231" t="s">
        <v>4169</v>
      </c>
      <c r="H231" t="s">
        <v>3704</v>
      </c>
      <c r="I231" t="s">
        <v>3705</v>
      </c>
    </row>
    <row r="232" spans="1:9" x14ac:dyDescent="0.25">
      <c r="A232" t="s">
        <v>1486</v>
      </c>
      <c r="B232" t="s">
        <v>231</v>
      </c>
      <c r="C232" t="s">
        <v>3706</v>
      </c>
      <c r="D232" t="s">
        <v>209</v>
      </c>
      <c r="E232" t="s">
        <v>232</v>
      </c>
      <c r="F232" t="s">
        <v>4170</v>
      </c>
      <c r="G232" t="s">
        <v>4171</v>
      </c>
      <c r="H232" t="s">
        <v>3704</v>
      </c>
      <c r="I232" t="s">
        <v>3709</v>
      </c>
    </row>
    <row r="233" spans="1:9" x14ac:dyDescent="0.25">
      <c r="A233" t="s">
        <v>1489</v>
      </c>
      <c r="B233" t="s">
        <v>231</v>
      </c>
      <c r="C233" t="s">
        <v>3710</v>
      </c>
      <c r="D233" t="s">
        <v>209</v>
      </c>
      <c r="E233" t="s">
        <v>232</v>
      </c>
      <c r="F233" t="s">
        <v>4172</v>
      </c>
      <c r="G233" t="s">
        <v>4173</v>
      </c>
      <c r="H233" t="s">
        <v>3713</v>
      </c>
      <c r="I233" t="s">
        <v>3714</v>
      </c>
    </row>
    <row r="234" spans="1:9" x14ac:dyDescent="0.25">
      <c r="A234" t="s">
        <v>1491</v>
      </c>
      <c r="B234" t="s">
        <v>231</v>
      </c>
      <c r="C234" t="s">
        <v>3715</v>
      </c>
      <c r="D234" t="s">
        <v>209</v>
      </c>
      <c r="E234" t="s">
        <v>232</v>
      </c>
      <c r="F234" t="s">
        <v>4174</v>
      </c>
      <c r="G234" t="s">
        <v>4175</v>
      </c>
      <c r="H234" t="s">
        <v>3704</v>
      </c>
      <c r="I234" t="s">
        <v>3700</v>
      </c>
    </row>
    <row r="235" spans="1:9" x14ac:dyDescent="0.25">
      <c r="A235" t="s">
        <v>1493</v>
      </c>
      <c r="B235" t="s">
        <v>231</v>
      </c>
      <c r="C235" t="s">
        <v>3718</v>
      </c>
      <c r="D235" t="s">
        <v>209</v>
      </c>
      <c r="E235" t="s">
        <v>232</v>
      </c>
      <c r="F235" t="s">
        <v>4176</v>
      </c>
      <c r="G235" t="s">
        <v>4177</v>
      </c>
      <c r="H235" t="s">
        <v>3713</v>
      </c>
      <c r="I235" t="s">
        <v>3721</v>
      </c>
    </row>
    <row r="236" spans="1:9" x14ac:dyDescent="0.25">
      <c r="A236" t="s">
        <v>1497</v>
      </c>
      <c r="B236" t="s">
        <v>235</v>
      </c>
      <c r="C236" t="s">
        <v>3696</v>
      </c>
      <c r="D236" t="s">
        <v>209</v>
      </c>
      <c r="E236" t="s">
        <v>236</v>
      </c>
      <c r="F236" t="s">
        <v>4178</v>
      </c>
      <c r="G236" t="s">
        <v>4179</v>
      </c>
      <c r="H236" t="s">
        <v>3699</v>
      </c>
      <c r="I236" t="s">
        <v>3700</v>
      </c>
    </row>
    <row r="237" spans="1:9" x14ac:dyDescent="0.25">
      <c r="A237" t="s">
        <v>1502</v>
      </c>
      <c r="B237" t="s">
        <v>235</v>
      </c>
      <c r="C237" t="s">
        <v>3701</v>
      </c>
      <c r="D237" t="s">
        <v>209</v>
      </c>
      <c r="E237" t="s">
        <v>236</v>
      </c>
      <c r="F237" t="s">
        <v>4180</v>
      </c>
      <c r="G237" t="s">
        <v>4181</v>
      </c>
      <c r="H237" t="s">
        <v>3704</v>
      </c>
      <c r="I237" t="s">
        <v>3705</v>
      </c>
    </row>
    <row r="238" spans="1:9" x14ac:dyDescent="0.25">
      <c r="A238" t="s">
        <v>1505</v>
      </c>
      <c r="B238" t="s">
        <v>235</v>
      </c>
      <c r="C238" t="s">
        <v>3706</v>
      </c>
      <c r="D238" t="s">
        <v>209</v>
      </c>
      <c r="E238" t="s">
        <v>236</v>
      </c>
      <c r="F238" t="s">
        <v>4182</v>
      </c>
      <c r="G238" t="s">
        <v>4183</v>
      </c>
      <c r="H238" t="s">
        <v>3704</v>
      </c>
      <c r="I238" t="s">
        <v>3709</v>
      </c>
    </row>
    <row r="239" spans="1:9" x14ac:dyDescent="0.25">
      <c r="A239" t="s">
        <v>1508</v>
      </c>
      <c r="B239" t="s">
        <v>235</v>
      </c>
      <c r="C239" t="s">
        <v>3710</v>
      </c>
      <c r="D239" t="s">
        <v>209</v>
      </c>
      <c r="E239" t="s">
        <v>236</v>
      </c>
      <c r="F239" t="s">
        <v>4184</v>
      </c>
      <c r="G239" t="s">
        <v>4185</v>
      </c>
      <c r="H239" t="s">
        <v>3713</v>
      </c>
      <c r="I239" t="s">
        <v>3714</v>
      </c>
    </row>
    <row r="240" spans="1:9" x14ac:dyDescent="0.25">
      <c r="A240" t="s">
        <v>1510</v>
      </c>
      <c r="B240" t="s">
        <v>235</v>
      </c>
      <c r="C240" t="s">
        <v>3715</v>
      </c>
      <c r="D240" t="s">
        <v>209</v>
      </c>
      <c r="E240" t="s">
        <v>236</v>
      </c>
      <c r="F240" t="s">
        <v>4186</v>
      </c>
      <c r="G240" t="s">
        <v>4187</v>
      </c>
      <c r="H240" t="s">
        <v>3704</v>
      </c>
      <c r="I240" t="s">
        <v>3700</v>
      </c>
    </row>
    <row r="241" spans="1:9" x14ac:dyDescent="0.25">
      <c r="A241" t="s">
        <v>1512</v>
      </c>
      <c r="B241" t="s">
        <v>235</v>
      </c>
      <c r="C241" t="s">
        <v>3718</v>
      </c>
      <c r="D241" t="s">
        <v>209</v>
      </c>
      <c r="E241" t="s">
        <v>236</v>
      </c>
      <c r="F241" t="s">
        <v>4188</v>
      </c>
      <c r="G241" t="s">
        <v>4189</v>
      </c>
      <c r="H241" t="s">
        <v>3713</v>
      </c>
      <c r="I241" t="s">
        <v>3721</v>
      </c>
    </row>
    <row r="242" spans="1:9" x14ac:dyDescent="0.25">
      <c r="A242" t="s">
        <v>1516</v>
      </c>
      <c r="B242" t="s">
        <v>239</v>
      </c>
      <c r="C242" t="s">
        <v>3696</v>
      </c>
      <c r="D242" t="s">
        <v>209</v>
      </c>
      <c r="E242" t="s">
        <v>240</v>
      </c>
      <c r="F242" t="s">
        <v>4190</v>
      </c>
      <c r="G242" t="s">
        <v>4191</v>
      </c>
      <c r="H242" t="s">
        <v>3699</v>
      </c>
      <c r="I242" t="s">
        <v>3700</v>
      </c>
    </row>
    <row r="243" spans="1:9" x14ac:dyDescent="0.25">
      <c r="A243" t="s">
        <v>1520</v>
      </c>
      <c r="B243" t="s">
        <v>239</v>
      </c>
      <c r="C243" t="s">
        <v>3701</v>
      </c>
      <c r="D243" t="s">
        <v>209</v>
      </c>
      <c r="E243" t="s">
        <v>240</v>
      </c>
      <c r="F243" t="s">
        <v>4192</v>
      </c>
      <c r="G243" t="s">
        <v>4193</v>
      </c>
      <c r="H243" t="s">
        <v>3704</v>
      </c>
      <c r="I243" t="s">
        <v>3705</v>
      </c>
    </row>
    <row r="244" spans="1:9" x14ac:dyDescent="0.25">
      <c r="A244" t="s">
        <v>1523</v>
      </c>
      <c r="B244" t="s">
        <v>239</v>
      </c>
      <c r="C244" t="s">
        <v>3706</v>
      </c>
      <c r="D244" t="s">
        <v>209</v>
      </c>
      <c r="E244" t="s">
        <v>240</v>
      </c>
      <c r="F244" t="s">
        <v>4194</v>
      </c>
      <c r="G244" t="s">
        <v>4195</v>
      </c>
      <c r="H244" t="s">
        <v>3704</v>
      </c>
      <c r="I244" t="s">
        <v>3709</v>
      </c>
    </row>
    <row r="245" spans="1:9" x14ac:dyDescent="0.25">
      <c r="A245" t="s">
        <v>1526</v>
      </c>
      <c r="B245" t="s">
        <v>239</v>
      </c>
      <c r="C245" t="s">
        <v>3710</v>
      </c>
      <c r="D245" t="s">
        <v>209</v>
      </c>
      <c r="E245" t="s">
        <v>240</v>
      </c>
      <c r="F245" t="s">
        <v>4196</v>
      </c>
      <c r="G245" t="s">
        <v>4197</v>
      </c>
      <c r="H245" t="s">
        <v>3713</v>
      </c>
      <c r="I245" t="s">
        <v>3714</v>
      </c>
    </row>
    <row r="246" spans="1:9" x14ac:dyDescent="0.25">
      <c r="A246" t="s">
        <v>1528</v>
      </c>
      <c r="B246" t="s">
        <v>239</v>
      </c>
      <c r="C246" t="s">
        <v>3715</v>
      </c>
      <c r="D246" t="s">
        <v>209</v>
      </c>
      <c r="E246" t="s">
        <v>240</v>
      </c>
      <c r="F246" t="s">
        <v>4198</v>
      </c>
      <c r="G246" t="s">
        <v>4199</v>
      </c>
      <c r="H246" t="s">
        <v>3704</v>
      </c>
      <c r="I246" t="s">
        <v>3700</v>
      </c>
    </row>
    <row r="247" spans="1:9" x14ac:dyDescent="0.25">
      <c r="A247" t="s">
        <v>1530</v>
      </c>
      <c r="B247" t="s">
        <v>239</v>
      </c>
      <c r="C247" t="s">
        <v>3718</v>
      </c>
      <c r="D247" t="s">
        <v>209</v>
      </c>
      <c r="E247" t="s">
        <v>240</v>
      </c>
      <c r="F247" t="s">
        <v>4200</v>
      </c>
      <c r="G247" t="s">
        <v>4201</v>
      </c>
      <c r="H247" t="s">
        <v>3713</v>
      </c>
      <c r="I247" t="s">
        <v>3721</v>
      </c>
    </row>
    <row r="248" spans="1:9" x14ac:dyDescent="0.25">
      <c r="A248" t="s">
        <v>1534</v>
      </c>
      <c r="B248" t="s">
        <v>243</v>
      </c>
      <c r="C248" t="s">
        <v>3696</v>
      </c>
      <c r="D248" t="s">
        <v>209</v>
      </c>
      <c r="E248" t="s">
        <v>245</v>
      </c>
      <c r="F248" t="s">
        <v>4202</v>
      </c>
      <c r="G248" t="s">
        <v>4203</v>
      </c>
      <c r="H248" t="s">
        <v>3699</v>
      </c>
      <c r="I248" t="s">
        <v>3700</v>
      </c>
    </row>
    <row r="249" spans="1:9" x14ac:dyDescent="0.25">
      <c r="A249" t="s">
        <v>1539</v>
      </c>
      <c r="B249" t="s">
        <v>243</v>
      </c>
      <c r="C249" t="s">
        <v>3701</v>
      </c>
      <c r="D249" t="s">
        <v>209</v>
      </c>
      <c r="E249" t="s">
        <v>245</v>
      </c>
      <c r="F249" t="s">
        <v>4204</v>
      </c>
      <c r="G249" t="s">
        <v>4205</v>
      </c>
      <c r="H249" t="s">
        <v>3704</v>
      </c>
      <c r="I249" t="s">
        <v>3705</v>
      </c>
    </row>
    <row r="250" spans="1:9" x14ac:dyDescent="0.25">
      <c r="A250" t="s">
        <v>1542</v>
      </c>
      <c r="B250" t="s">
        <v>243</v>
      </c>
      <c r="C250" t="s">
        <v>3706</v>
      </c>
      <c r="D250" t="s">
        <v>209</v>
      </c>
      <c r="E250" t="s">
        <v>245</v>
      </c>
      <c r="F250" t="s">
        <v>4206</v>
      </c>
      <c r="G250" t="s">
        <v>4207</v>
      </c>
      <c r="H250" t="s">
        <v>3704</v>
      </c>
      <c r="I250" t="s">
        <v>3709</v>
      </c>
    </row>
    <row r="251" spans="1:9" x14ac:dyDescent="0.25">
      <c r="A251" t="s">
        <v>1545</v>
      </c>
      <c r="B251" t="s">
        <v>243</v>
      </c>
      <c r="C251" t="s">
        <v>3710</v>
      </c>
      <c r="D251" t="s">
        <v>209</v>
      </c>
      <c r="E251" t="s">
        <v>245</v>
      </c>
      <c r="F251" t="s">
        <v>4208</v>
      </c>
      <c r="G251" t="s">
        <v>4209</v>
      </c>
      <c r="H251" t="s">
        <v>3713</v>
      </c>
      <c r="I251" t="s">
        <v>3714</v>
      </c>
    </row>
    <row r="252" spans="1:9" x14ac:dyDescent="0.25">
      <c r="A252" t="s">
        <v>1547</v>
      </c>
      <c r="B252" t="s">
        <v>243</v>
      </c>
      <c r="C252" t="s">
        <v>3715</v>
      </c>
      <c r="D252" t="s">
        <v>209</v>
      </c>
      <c r="E252" t="s">
        <v>245</v>
      </c>
      <c r="F252" t="s">
        <v>4210</v>
      </c>
      <c r="G252" t="s">
        <v>4211</v>
      </c>
      <c r="H252" t="s">
        <v>3704</v>
      </c>
      <c r="I252" t="s">
        <v>3700</v>
      </c>
    </row>
    <row r="253" spans="1:9" x14ac:dyDescent="0.25">
      <c r="A253" t="s">
        <v>1549</v>
      </c>
      <c r="B253" t="s">
        <v>243</v>
      </c>
      <c r="C253" t="s">
        <v>3718</v>
      </c>
      <c r="D253" t="s">
        <v>209</v>
      </c>
      <c r="E253" t="s">
        <v>245</v>
      </c>
      <c r="F253" t="s">
        <v>4212</v>
      </c>
      <c r="G253" t="s">
        <v>4213</v>
      </c>
      <c r="H253" t="s">
        <v>3713</v>
      </c>
      <c r="I253" t="s">
        <v>3721</v>
      </c>
    </row>
    <row r="254" spans="1:9" x14ac:dyDescent="0.25">
      <c r="A254" t="s">
        <v>1553</v>
      </c>
      <c r="B254" t="s">
        <v>248</v>
      </c>
      <c r="C254" t="s">
        <v>3696</v>
      </c>
      <c r="D254" t="s">
        <v>209</v>
      </c>
      <c r="E254" t="s">
        <v>249</v>
      </c>
      <c r="F254" t="s">
        <v>4214</v>
      </c>
      <c r="G254" t="s">
        <v>4215</v>
      </c>
      <c r="H254" t="s">
        <v>3699</v>
      </c>
      <c r="I254" t="s">
        <v>3700</v>
      </c>
    </row>
    <row r="255" spans="1:9" x14ac:dyDescent="0.25">
      <c r="A255" t="s">
        <v>1558</v>
      </c>
      <c r="B255" t="s">
        <v>248</v>
      </c>
      <c r="C255" t="s">
        <v>3701</v>
      </c>
      <c r="D255" t="s">
        <v>209</v>
      </c>
      <c r="E255" t="s">
        <v>249</v>
      </c>
      <c r="F255" t="s">
        <v>4216</v>
      </c>
      <c r="G255" t="s">
        <v>4217</v>
      </c>
      <c r="H255" t="s">
        <v>3704</v>
      </c>
      <c r="I255" t="s">
        <v>3705</v>
      </c>
    </row>
    <row r="256" spans="1:9" x14ac:dyDescent="0.25">
      <c r="A256" t="s">
        <v>1561</v>
      </c>
      <c r="B256" t="s">
        <v>248</v>
      </c>
      <c r="C256" t="s">
        <v>3706</v>
      </c>
      <c r="D256" t="s">
        <v>209</v>
      </c>
      <c r="E256" t="s">
        <v>249</v>
      </c>
      <c r="F256" t="s">
        <v>4218</v>
      </c>
      <c r="G256" t="s">
        <v>4219</v>
      </c>
      <c r="H256" t="s">
        <v>3704</v>
      </c>
      <c r="I256" t="s">
        <v>3709</v>
      </c>
    </row>
    <row r="257" spans="1:9" x14ac:dyDescent="0.25">
      <c r="A257" t="s">
        <v>1564</v>
      </c>
      <c r="B257" t="s">
        <v>248</v>
      </c>
      <c r="C257" t="s">
        <v>3710</v>
      </c>
      <c r="D257" t="s">
        <v>209</v>
      </c>
      <c r="E257" t="s">
        <v>249</v>
      </c>
      <c r="F257" t="s">
        <v>4220</v>
      </c>
      <c r="G257" t="s">
        <v>4221</v>
      </c>
      <c r="H257" t="s">
        <v>3713</v>
      </c>
      <c r="I257" t="s">
        <v>3714</v>
      </c>
    </row>
    <row r="258" spans="1:9" x14ac:dyDescent="0.25">
      <c r="A258" t="s">
        <v>1566</v>
      </c>
      <c r="B258" t="s">
        <v>248</v>
      </c>
      <c r="C258" t="s">
        <v>3715</v>
      </c>
      <c r="D258" t="s">
        <v>209</v>
      </c>
      <c r="E258" t="s">
        <v>249</v>
      </c>
      <c r="F258" t="s">
        <v>4222</v>
      </c>
      <c r="G258" t="s">
        <v>4223</v>
      </c>
      <c r="H258" t="s">
        <v>3704</v>
      </c>
      <c r="I258" t="s">
        <v>3700</v>
      </c>
    </row>
    <row r="259" spans="1:9" x14ac:dyDescent="0.25">
      <c r="A259" t="s">
        <v>1568</v>
      </c>
      <c r="B259" t="s">
        <v>248</v>
      </c>
      <c r="C259" t="s">
        <v>3718</v>
      </c>
      <c r="D259" t="s">
        <v>209</v>
      </c>
      <c r="E259" t="s">
        <v>249</v>
      </c>
      <c r="F259" t="s">
        <v>4224</v>
      </c>
      <c r="G259" t="s">
        <v>4225</v>
      </c>
      <c r="H259" t="s">
        <v>3713</v>
      </c>
      <c r="I259" t="s">
        <v>3721</v>
      </c>
    </row>
    <row r="260" spans="1:9" x14ac:dyDescent="0.25">
      <c r="A260" t="s">
        <v>1572</v>
      </c>
      <c r="B260" t="s">
        <v>252</v>
      </c>
      <c r="C260" t="s">
        <v>3696</v>
      </c>
      <c r="D260" t="s">
        <v>209</v>
      </c>
      <c r="E260" t="s">
        <v>253</v>
      </c>
      <c r="F260" t="s">
        <v>4226</v>
      </c>
      <c r="G260" t="s">
        <v>4227</v>
      </c>
      <c r="H260" t="s">
        <v>3699</v>
      </c>
      <c r="I260" t="s">
        <v>3700</v>
      </c>
    </row>
    <row r="261" spans="1:9" x14ac:dyDescent="0.25">
      <c r="A261" t="s">
        <v>1578</v>
      </c>
      <c r="B261" t="s">
        <v>252</v>
      </c>
      <c r="C261" t="s">
        <v>3701</v>
      </c>
      <c r="D261" t="s">
        <v>209</v>
      </c>
      <c r="E261" t="s">
        <v>253</v>
      </c>
      <c r="F261" t="s">
        <v>4228</v>
      </c>
      <c r="G261" t="s">
        <v>4229</v>
      </c>
      <c r="H261" t="s">
        <v>3704</v>
      </c>
      <c r="I261" t="s">
        <v>3705</v>
      </c>
    </row>
    <row r="262" spans="1:9" x14ac:dyDescent="0.25">
      <c r="A262" t="s">
        <v>1580</v>
      </c>
      <c r="B262" t="s">
        <v>252</v>
      </c>
      <c r="C262" t="s">
        <v>3706</v>
      </c>
      <c r="D262" t="s">
        <v>209</v>
      </c>
      <c r="E262" t="s">
        <v>253</v>
      </c>
      <c r="F262" t="s">
        <v>4230</v>
      </c>
      <c r="G262" t="s">
        <v>4231</v>
      </c>
      <c r="H262" t="s">
        <v>3704</v>
      </c>
      <c r="I262" t="s">
        <v>3709</v>
      </c>
    </row>
    <row r="263" spans="1:9" x14ac:dyDescent="0.25">
      <c r="A263" t="s">
        <v>1583</v>
      </c>
      <c r="B263" t="s">
        <v>252</v>
      </c>
      <c r="C263" t="s">
        <v>3710</v>
      </c>
      <c r="D263" t="s">
        <v>209</v>
      </c>
      <c r="E263" t="s">
        <v>253</v>
      </c>
      <c r="F263" t="s">
        <v>4232</v>
      </c>
      <c r="G263" t="s">
        <v>4233</v>
      </c>
      <c r="H263" t="s">
        <v>3713</v>
      </c>
      <c r="I263" t="s">
        <v>3714</v>
      </c>
    </row>
    <row r="264" spans="1:9" x14ac:dyDescent="0.25">
      <c r="A264" t="s">
        <v>1585</v>
      </c>
      <c r="B264" t="s">
        <v>252</v>
      </c>
      <c r="C264" t="s">
        <v>3715</v>
      </c>
      <c r="D264" t="s">
        <v>209</v>
      </c>
      <c r="E264" t="s">
        <v>253</v>
      </c>
      <c r="F264" t="s">
        <v>4234</v>
      </c>
      <c r="G264" t="s">
        <v>4235</v>
      </c>
      <c r="H264" t="s">
        <v>3704</v>
      </c>
      <c r="I264" t="s">
        <v>3700</v>
      </c>
    </row>
    <row r="265" spans="1:9" x14ac:dyDescent="0.25">
      <c r="A265" t="s">
        <v>1587</v>
      </c>
      <c r="B265" t="s">
        <v>252</v>
      </c>
      <c r="C265" t="s">
        <v>3718</v>
      </c>
      <c r="D265" t="s">
        <v>209</v>
      </c>
      <c r="E265" t="s">
        <v>253</v>
      </c>
      <c r="F265" t="s">
        <v>4236</v>
      </c>
      <c r="G265" t="s">
        <v>4237</v>
      </c>
      <c r="H265" t="s">
        <v>3713</v>
      </c>
      <c r="I265" t="s">
        <v>3721</v>
      </c>
    </row>
    <row r="266" spans="1:9" x14ac:dyDescent="0.25">
      <c r="A266" t="s">
        <v>1591</v>
      </c>
      <c r="B266" t="s">
        <v>256</v>
      </c>
      <c r="C266" t="s">
        <v>3696</v>
      </c>
      <c r="D266" t="s">
        <v>209</v>
      </c>
      <c r="E266" t="s">
        <v>257</v>
      </c>
      <c r="F266" t="s">
        <v>4238</v>
      </c>
      <c r="G266" t="s">
        <v>4239</v>
      </c>
      <c r="H266" t="s">
        <v>3699</v>
      </c>
      <c r="I266" t="s">
        <v>3700</v>
      </c>
    </row>
    <row r="267" spans="1:9" x14ac:dyDescent="0.25">
      <c r="A267" t="s">
        <v>1597</v>
      </c>
      <c r="B267" t="s">
        <v>256</v>
      </c>
      <c r="C267" t="s">
        <v>3701</v>
      </c>
      <c r="D267" t="s">
        <v>209</v>
      </c>
      <c r="E267" t="s">
        <v>257</v>
      </c>
      <c r="F267" t="s">
        <v>4240</v>
      </c>
      <c r="G267" t="s">
        <v>4241</v>
      </c>
      <c r="H267" t="s">
        <v>3704</v>
      </c>
      <c r="I267" t="s">
        <v>3705</v>
      </c>
    </row>
    <row r="268" spans="1:9" x14ac:dyDescent="0.25">
      <c r="A268" t="s">
        <v>1599</v>
      </c>
      <c r="B268" t="s">
        <v>256</v>
      </c>
      <c r="C268" t="s">
        <v>3706</v>
      </c>
      <c r="D268" t="s">
        <v>209</v>
      </c>
      <c r="E268" t="s">
        <v>257</v>
      </c>
      <c r="F268" t="s">
        <v>4242</v>
      </c>
      <c r="G268" t="s">
        <v>4243</v>
      </c>
      <c r="H268" t="s">
        <v>3704</v>
      </c>
      <c r="I268" t="s">
        <v>3709</v>
      </c>
    </row>
    <row r="269" spans="1:9" x14ac:dyDescent="0.25">
      <c r="A269" t="s">
        <v>1602</v>
      </c>
      <c r="B269" t="s">
        <v>256</v>
      </c>
      <c r="C269" t="s">
        <v>3710</v>
      </c>
      <c r="D269" t="s">
        <v>209</v>
      </c>
      <c r="E269" t="s">
        <v>257</v>
      </c>
      <c r="F269" t="s">
        <v>4244</v>
      </c>
      <c r="G269" t="s">
        <v>4245</v>
      </c>
      <c r="H269" t="s">
        <v>3713</v>
      </c>
      <c r="I269" t="s">
        <v>3714</v>
      </c>
    </row>
    <row r="270" spans="1:9" x14ac:dyDescent="0.25">
      <c r="A270" t="s">
        <v>1604</v>
      </c>
      <c r="B270" t="s">
        <v>256</v>
      </c>
      <c r="C270" t="s">
        <v>3715</v>
      </c>
      <c r="D270" t="s">
        <v>209</v>
      </c>
      <c r="E270" t="s">
        <v>257</v>
      </c>
      <c r="F270" t="s">
        <v>4246</v>
      </c>
      <c r="G270" t="s">
        <v>4247</v>
      </c>
      <c r="H270" t="s">
        <v>3704</v>
      </c>
      <c r="I270" t="s">
        <v>3700</v>
      </c>
    </row>
    <row r="271" spans="1:9" x14ac:dyDescent="0.25">
      <c r="A271" t="s">
        <v>1606</v>
      </c>
      <c r="B271" t="s">
        <v>256</v>
      </c>
      <c r="C271" t="s">
        <v>3718</v>
      </c>
      <c r="D271" t="s">
        <v>209</v>
      </c>
      <c r="E271" t="s">
        <v>257</v>
      </c>
      <c r="F271" t="s">
        <v>4248</v>
      </c>
      <c r="G271" t="s">
        <v>4249</v>
      </c>
      <c r="H271" t="s">
        <v>3713</v>
      </c>
      <c r="I271" t="s">
        <v>3721</v>
      </c>
    </row>
    <row r="272" spans="1:9" x14ac:dyDescent="0.25">
      <c r="A272" t="s">
        <v>1610</v>
      </c>
      <c r="B272" t="s">
        <v>260</v>
      </c>
      <c r="C272" t="s">
        <v>3696</v>
      </c>
      <c r="D272" t="s">
        <v>209</v>
      </c>
      <c r="E272" t="s">
        <v>262</v>
      </c>
      <c r="F272" t="s">
        <v>4250</v>
      </c>
      <c r="G272" t="s">
        <v>4251</v>
      </c>
      <c r="H272" t="s">
        <v>3699</v>
      </c>
      <c r="I272" t="s">
        <v>3700</v>
      </c>
    </row>
    <row r="273" spans="1:9" x14ac:dyDescent="0.25">
      <c r="A273" t="s">
        <v>1615</v>
      </c>
      <c r="B273" t="s">
        <v>260</v>
      </c>
      <c r="C273" t="s">
        <v>3701</v>
      </c>
      <c r="D273" t="s">
        <v>209</v>
      </c>
      <c r="E273" t="s">
        <v>262</v>
      </c>
      <c r="F273" t="s">
        <v>4252</v>
      </c>
      <c r="G273" t="s">
        <v>4253</v>
      </c>
      <c r="H273" t="s">
        <v>3704</v>
      </c>
      <c r="I273" t="s">
        <v>3705</v>
      </c>
    </row>
    <row r="274" spans="1:9" x14ac:dyDescent="0.25">
      <c r="A274" t="s">
        <v>1618</v>
      </c>
      <c r="B274" t="s">
        <v>260</v>
      </c>
      <c r="C274" t="s">
        <v>3706</v>
      </c>
      <c r="D274" t="s">
        <v>209</v>
      </c>
      <c r="E274" t="s">
        <v>262</v>
      </c>
      <c r="F274" t="s">
        <v>4254</v>
      </c>
      <c r="G274" t="s">
        <v>4255</v>
      </c>
      <c r="H274" t="s">
        <v>3704</v>
      </c>
      <c r="I274" t="s">
        <v>3709</v>
      </c>
    </row>
    <row r="275" spans="1:9" x14ac:dyDescent="0.25">
      <c r="A275" t="s">
        <v>1621</v>
      </c>
      <c r="B275" t="s">
        <v>260</v>
      </c>
      <c r="C275" t="s">
        <v>3710</v>
      </c>
      <c r="D275" t="s">
        <v>209</v>
      </c>
      <c r="E275" t="s">
        <v>262</v>
      </c>
      <c r="F275" t="s">
        <v>4256</v>
      </c>
      <c r="G275" t="s">
        <v>4257</v>
      </c>
      <c r="H275" t="s">
        <v>3713</v>
      </c>
      <c r="I275" t="s">
        <v>3714</v>
      </c>
    </row>
    <row r="276" spans="1:9" x14ac:dyDescent="0.25">
      <c r="A276" t="s">
        <v>1623</v>
      </c>
      <c r="B276" t="s">
        <v>260</v>
      </c>
      <c r="C276" t="s">
        <v>3715</v>
      </c>
      <c r="D276" t="s">
        <v>209</v>
      </c>
      <c r="E276" t="s">
        <v>262</v>
      </c>
      <c r="F276" t="s">
        <v>4258</v>
      </c>
      <c r="G276" t="s">
        <v>4259</v>
      </c>
      <c r="H276" t="s">
        <v>3704</v>
      </c>
      <c r="I276" t="s">
        <v>3700</v>
      </c>
    </row>
    <row r="277" spans="1:9" x14ac:dyDescent="0.25">
      <c r="A277" t="s">
        <v>1625</v>
      </c>
      <c r="B277" t="s">
        <v>260</v>
      </c>
      <c r="C277" t="s">
        <v>3718</v>
      </c>
      <c r="D277" t="s">
        <v>209</v>
      </c>
      <c r="E277" t="s">
        <v>262</v>
      </c>
      <c r="F277" t="s">
        <v>4260</v>
      </c>
      <c r="G277" t="s">
        <v>4261</v>
      </c>
      <c r="H277" t="s">
        <v>3713</v>
      </c>
      <c r="I277" t="s">
        <v>3721</v>
      </c>
    </row>
    <row r="278" spans="1:9" x14ac:dyDescent="0.25">
      <c r="A278" t="s">
        <v>1629</v>
      </c>
      <c r="B278" t="s">
        <v>265</v>
      </c>
      <c r="C278" t="s">
        <v>3696</v>
      </c>
      <c r="D278" t="s">
        <v>209</v>
      </c>
      <c r="E278" t="s">
        <v>266</v>
      </c>
      <c r="F278" t="s">
        <v>4262</v>
      </c>
      <c r="G278" t="s">
        <v>4263</v>
      </c>
      <c r="H278" t="s">
        <v>3699</v>
      </c>
      <c r="I278" t="s">
        <v>3700</v>
      </c>
    </row>
    <row r="279" spans="1:9" x14ac:dyDescent="0.25">
      <c r="A279" t="s">
        <v>1634</v>
      </c>
      <c r="B279" t="s">
        <v>265</v>
      </c>
      <c r="C279" t="s">
        <v>3701</v>
      </c>
      <c r="D279" t="s">
        <v>209</v>
      </c>
      <c r="E279" t="s">
        <v>266</v>
      </c>
      <c r="F279" t="s">
        <v>4264</v>
      </c>
      <c r="G279" t="s">
        <v>4265</v>
      </c>
      <c r="H279" t="s">
        <v>3704</v>
      </c>
      <c r="I279" t="s">
        <v>3705</v>
      </c>
    </row>
    <row r="280" spans="1:9" x14ac:dyDescent="0.25">
      <c r="A280" t="s">
        <v>1637</v>
      </c>
      <c r="B280" t="s">
        <v>265</v>
      </c>
      <c r="C280" t="s">
        <v>3706</v>
      </c>
      <c r="D280" t="s">
        <v>209</v>
      </c>
      <c r="E280" t="s">
        <v>266</v>
      </c>
      <c r="F280" t="s">
        <v>4266</v>
      </c>
      <c r="G280" t="s">
        <v>4267</v>
      </c>
      <c r="H280" t="s">
        <v>3704</v>
      </c>
      <c r="I280" t="s">
        <v>3709</v>
      </c>
    </row>
    <row r="281" spans="1:9" x14ac:dyDescent="0.25">
      <c r="A281" t="s">
        <v>1640</v>
      </c>
      <c r="B281" t="s">
        <v>265</v>
      </c>
      <c r="C281" t="s">
        <v>3710</v>
      </c>
      <c r="D281" t="s">
        <v>209</v>
      </c>
      <c r="E281" t="s">
        <v>266</v>
      </c>
      <c r="F281" t="s">
        <v>4268</v>
      </c>
      <c r="G281" t="s">
        <v>4269</v>
      </c>
      <c r="H281" t="s">
        <v>3713</v>
      </c>
      <c r="I281" t="s">
        <v>3714</v>
      </c>
    </row>
    <row r="282" spans="1:9" x14ac:dyDescent="0.25">
      <c r="A282" t="s">
        <v>1642</v>
      </c>
      <c r="B282" t="s">
        <v>265</v>
      </c>
      <c r="C282" t="s">
        <v>3715</v>
      </c>
      <c r="D282" t="s">
        <v>209</v>
      </c>
      <c r="E282" t="s">
        <v>266</v>
      </c>
      <c r="F282" t="s">
        <v>4270</v>
      </c>
      <c r="G282" t="s">
        <v>4271</v>
      </c>
      <c r="H282" t="s">
        <v>3704</v>
      </c>
      <c r="I282" t="s">
        <v>3700</v>
      </c>
    </row>
    <row r="283" spans="1:9" x14ac:dyDescent="0.25">
      <c r="A283" t="s">
        <v>1644</v>
      </c>
      <c r="B283" t="s">
        <v>265</v>
      </c>
      <c r="C283" t="s">
        <v>3718</v>
      </c>
      <c r="D283" t="s">
        <v>209</v>
      </c>
      <c r="E283" t="s">
        <v>266</v>
      </c>
      <c r="F283" t="s">
        <v>4272</v>
      </c>
      <c r="G283" t="s">
        <v>4273</v>
      </c>
      <c r="H283" t="s">
        <v>3713</v>
      </c>
      <c r="I283" t="s">
        <v>3721</v>
      </c>
    </row>
    <row r="284" spans="1:9" x14ac:dyDescent="0.25">
      <c r="A284" t="s">
        <v>1648</v>
      </c>
      <c r="B284" t="s">
        <v>269</v>
      </c>
      <c r="C284" t="s">
        <v>3696</v>
      </c>
      <c r="D284" t="s">
        <v>209</v>
      </c>
      <c r="E284" t="s">
        <v>270</v>
      </c>
      <c r="F284" t="s">
        <v>4274</v>
      </c>
      <c r="G284" t="s">
        <v>4275</v>
      </c>
      <c r="H284" t="s">
        <v>3699</v>
      </c>
      <c r="I284" t="s">
        <v>3700</v>
      </c>
    </row>
    <row r="285" spans="1:9" x14ac:dyDescent="0.25">
      <c r="A285" t="s">
        <v>1653</v>
      </c>
      <c r="B285" t="s">
        <v>269</v>
      </c>
      <c r="C285" t="s">
        <v>3701</v>
      </c>
      <c r="D285" t="s">
        <v>209</v>
      </c>
      <c r="E285" t="s">
        <v>270</v>
      </c>
      <c r="F285" t="s">
        <v>4276</v>
      </c>
      <c r="G285" t="s">
        <v>4277</v>
      </c>
      <c r="H285" t="s">
        <v>3704</v>
      </c>
      <c r="I285" t="s">
        <v>3705</v>
      </c>
    </row>
    <row r="286" spans="1:9" x14ac:dyDescent="0.25">
      <c r="A286" t="s">
        <v>1656</v>
      </c>
      <c r="B286" t="s">
        <v>269</v>
      </c>
      <c r="C286" t="s">
        <v>3706</v>
      </c>
      <c r="D286" t="s">
        <v>209</v>
      </c>
      <c r="E286" t="s">
        <v>270</v>
      </c>
      <c r="F286" t="s">
        <v>4278</v>
      </c>
      <c r="G286" t="s">
        <v>4279</v>
      </c>
      <c r="H286" t="s">
        <v>3704</v>
      </c>
      <c r="I286" t="s">
        <v>3709</v>
      </c>
    </row>
    <row r="287" spans="1:9" x14ac:dyDescent="0.25">
      <c r="A287" t="s">
        <v>1659</v>
      </c>
      <c r="B287" t="s">
        <v>269</v>
      </c>
      <c r="C287" t="s">
        <v>3710</v>
      </c>
      <c r="D287" t="s">
        <v>209</v>
      </c>
      <c r="E287" t="s">
        <v>270</v>
      </c>
      <c r="F287" t="s">
        <v>4280</v>
      </c>
      <c r="G287" t="s">
        <v>4281</v>
      </c>
      <c r="H287" t="s">
        <v>3713</v>
      </c>
      <c r="I287" t="s">
        <v>3714</v>
      </c>
    </row>
    <row r="288" spans="1:9" x14ac:dyDescent="0.25">
      <c r="A288" t="s">
        <v>1661</v>
      </c>
      <c r="B288" t="s">
        <v>269</v>
      </c>
      <c r="C288" t="s">
        <v>3715</v>
      </c>
      <c r="D288" t="s">
        <v>209</v>
      </c>
      <c r="E288" t="s">
        <v>270</v>
      </c>
      <c r="F288" t="s">
        <v>4282</v>
      </c>
      <c r="G288" t="s">
        <v>4283</v>
      </c>
      <c r="H288" t="s">
        <v>3704</v>
      </c>
      <c r="I288" t="s">
        <v>3700</v>
      </c>
    </row>
    <row r="289" spans="1:9" x14ac:dyDescent="0.25">
      <c r="A289" t="s">
        <v>1663</v>
      </c>
      <c r="B289" t="s">
        <v>269</v>
      </c>
      <c r="C289" t="s">
        <v>3718</v>
      </c>
      <c r="D289" t="s">
        <v>209</v>
      </c>
      <c r="E289" t="s">
        <v>270</v>
      </c>
      <c r="F289" t="s">
        <v>4284</v>
      </c>
      <c r="G289" t="s">
        <v>4285</v>
      </c>
      <c r="H289" t="s">
        <v>3713</v>
      </c>
      <c r="I289" t="s">
        <v>3721</v>
      </c>
    </row>
    <row r="290" spans="1:9" x14ac:dyDescent="0.25">
      <c r="A290" t="s">
        <v>1667</v>
      </c>
      <c r="B290" t="s">
        <v>273</v>
      </c>
      <c r="C290" t="s">
        <v>3696</v>
      </c>
      <c r="D290" t="s">
        <v>209</v>
      </c>
      <c r="E290" t="s">
        <v>274</v>
      </c>
      <c r="F290" t="s">
        <v>4286</v>
      </c>
      <c r="G290" t="s">
        <v>4287</v>
      </c>
      <c r="H290" t="s">
        <v>3699</v>
      </c>
      <c r="I290" t="s">
        <v>3700</v>
      </c>
    </row>
    <row r="291" spans="1:9" x14ac:dyDescent="0.25">
      <c r="A291" t="s">
        <v>1673</v>
      </c>
      <c r="B291" t="s">
        <v>273</v>
      </c>
      <c r="C291" t="s">
        <v>3701</v>
      </c>
      <c r="D291" t="s">
        <v>209</v>
      </c>
      <c r="E291" t="s">
        <v>274</v>
      </c>
      <c r="F291" t="s">
        <v>4288</v>
      </c>
      <c r="G291" t="s">
        <v>4289</v>
      </c>
      <c r="H291" t="s">
        <v>3704</v>
      </c>
      <c r="I291" t="s">
        <v>3705</v>
      </c>
    </row>
    <row r="292" spans="1:9" x14ac:dyDescent="0.25">
      <c r="A292" t="s">
        <v>1675</v>
      </c>
      <c r="B292" t="s">
        <v>273</v>
      </c>
      <c r="C292" t="s">
        <v>3706</v>
      </c>
      <c r="D292" t="s">
        <v>209</v>
      </c>
      <c r="E292" t="s">
        <v>274</v>
      </c>
      <c r="F292" t="s">
        <v>4290</v>
      </c>
      <c r="G292" t="s">
        <v>4291</v>
      </c>
      <c r="H292" t="s">
        <v>3704</v>
      </c>
      <c r="I292" t="s">
        <v>3709</v>
      </c>
    </row>
    <row r="293" spans="1:9" x14ac:dyDescent="0.25">
      <c r="A293" t="s">
        <v>1678</v>
      </c>
      <c r="B293" t="s">
        <v>273</v>
      </c>
      <c r="C293" t="s">
        <v>3710</v>
      </c>
      <c r="D293" t="s">
        <v>209</v>
      </c>
      <c r="E293" t="s">
        <v>274</v>
      </c>
      <c r="F293" t="s">
        <v>4292</v>
      </c>
      <c r="G293" t="s">
        <v>4293</v>
      </c>
      <c r="H293" t="s">
        <v>3713</v>
      </c>
      <c r="I293" t="s">
        <v>3714</v>
      </c>
    </row>
    <row r="294" spans="1:9" x14ac:dyDescent="0.25">
      <c r="A294" t="s">
        <v>1680</v>
      </c>
      <c r="B294" t="s">
        <v>273</v>
      </c>
      <c r="C294" t="s">
        <v>3715</v>
      </c>
      <c r="D294" t="s">
        <v>209</v>
      </c>
      <c r="E294" t="s">
        <v>274</v>
      </c>
      <c r="F294" t="s">
        <v>4294</v>
      </c>
      <c r="G294" t="s">
        <v>4295</v>
      </c>
      <c r="H294" t="s">
        <v>3704</v>
      </c>
      <c r="I294" t="s">
        <v>3700</v>
      </c>
    </row>
    <row r="295" spans="1:9" x14ac:dyDescent="0.25">
      <c r="A295" t="s">
        <v>1682</v>
      </c>
      <c r="B295" t="s">
        <v>273</v>
      </c>
      <c r="C295" t="s">
        <v>3718</v>
      </c>
      <c r="D295" t="s">
        <v>209</v>
      </c>
      <c r="E295" t="s">
        <v>274</v>
      </c>
      <c r="F295" t="s">
        <v>4296</v>
      </c>
      <c r="G295" t="s">
        <v>4297</v>
      </c>
      <c r="H295" t="s">
        <v>3713</v>
      </c>
      <c r="I295" t="s">
        <v>3721</v>
      </c>
    </row>
    <row r="296" spans="1:9" x14ac:dyDescent="0.25">
      <c r="A296" t="s">
        <v>1686</v>
      </c>
      <c r="B296" t="s">
        <v>277</v>
      </c>
      <c r="C296" t="s">
        <v>3696</v>
      </c>
      <c r="D296" t="s">
        <v>278</v>
      </c>
      <c r="E296" t="s">
        <v>280</v>
      </c>
      <c r="F296" t="s">
        <v>4298</v>
      </c>
      <c r="G296" t="s">
        <v>4299</v>
      </c>
      <c r="H296" t="s">
        <v>3699</v>
      </c>
      <c r="I296" t="s">
        <v>3700</v>
      </c>
    </row>
    <row r="297" spans="1:9" x14ac:dyDescent="0.25">
      <c r="A297" t="s">
        <v>1692</v>
      </c>
      <c r="B297" t="s">
        <v>277</v>
      </c>
      <c r="C297" t="s">
        <v>3701</v>
      </c>
      <c r="D297" t="s">
        <v>278</v>
      </c>
      <c r="E297" t="s">
        <v>280</v>
      </c>
      <c r="F297" t="s">
        <v>4300</v>
      </c>
      <c r="G297" t="s">
        <v>4301</v>
      </c>
      <c r="H297" t="s">
        <v>3704</v>
      </c>
      <c r="I297" t="s">
        <v>3705</v>
      </c>
    </row>
    <row r="298" spans="1:9" x14ac:dyDescent="0.25">
      <c r="A298" t="s">
        <v>1694</v>
      </c>
      <c r="B298" t="s">
        <v>277</v>
      </c>
      <c r="C298" t="s">
        <v>3706</v>
      </c>
      <c r="D298" t="s">
        <v>278</v>
      </c>
      <c r="E298" t="s">
        <v>280</v>
      </c>
      <c r="F298" t="s">
        <v>4302</v>
      </c>
      <c r="G298" t="s">
        <v>4303</v>
      </c>
      <c r="H298" t="s">
        <v>3704</v>
      </c>
      <c r="I298" t="s">
        <v>3709</v>
      </c>
    </row>
    <row r="299" spans="1:9" x14ac:dyDescent="0.25">
      <c r="A299" t="s">
        <v>1697</v>
      </c>
      <c r="B299" t="s">
        <v>277</v>
      </c>
      <c r="C299" t="s">
        <v>3710</v>
      </c>
      <c r="D299" t="s">
        <v>278</v>
      </c>
      <c r="E299" t="s">
        <v>280</v>
      </c>
      <c r="F299" t="s">
        <v>4304</v>
      </c>
      <c r="G299" t="s">
        <v>4305</v>
      </c>
      <c r="H299" t="s">
        <v>3713</v>
      </c>
      <c r="I299" t="s">
        <v>3714</v>
      </c>
    </row>
    <row r="300" spans="1:9" x14ac:dyDescent="0.25">
      <c r="A300" t="s">
        <v>1699</v>
      </c>
      <c r="B300" t="s">
        <v>277</v>
      </c>
      <c r="C300" t="s">
        <v>3715</v>
      </c>
      <c r="D300" t="s">
        <v>278</v>
      </c>
      <c r="E300" t="s">
        <v>280</v>
      </c>
      <c r="F300" t="s">
        <v>4306</v>
      </c>
      <c r="G300" t="s">
        <v>4307</v>
      </c>
      <c r="H300" t="s">
        <v>3704</v>
      </c>
      <c r="I300" t="s">
        <v>3700</v>
      </c>
    </row>
    <row r="301" spans="1:9" x14ac:dyDescent="0.25">
      <c r="A301" t="s">
        <v>1701</v>
      </c>
      <c r="B301" t="s">
        <v>277</v>
      </c>
      <c r="C301" t="s">
        <v>3718</v>
      </c>
      <c r="D301" t="s">
        <v>278</v>
      </c>
      <c r="E301" t="s">
        <v>280</v>
      </c>
      <c r="F301" t="s">
        <v>4308</v>
      </c>
      <c r="G301" t="s">
        <v>4309</v>
      </c>
      <c r="H301" t="s">
        <v>3713</v>
      </c>
      <c r="I301" t="s">
        <v>3721</v>
      </c>
    </row>
    <row r="302" spans="1:9" x14ac:dyDescent="0.25">
      <c r="A302" t="s">
        <v>1705</v>
      </c>
      <c r="B302" t="s">
        <v>283</v>
      </c>
      <c r="C302" t="s">
        <v>3696</v>
      </c>
      <c r="D302" t="s">
        <v>278</v>
      </c>
      <c r="E302" t="s">
        <v>284</v>
      </c>
      <c r="F302" t="s">
        <v>4310</v>
      </c>
      <c r="G302" t="s">
        <v>4311</v>
      </c>
      <c r="H302" t="s">
        <v>3699</v>
      </c>
      <c r="I302" t="s">
        <v>3700</v>
      </c>
    </row>
    <row r="303" spans="1:9" x14ac:dyDescent="0.25">
      <c r="A303" t="s">
        <v>1710</v>
      </c>
      <c r="B303" t="s">
        <v>283</v>
      </c>
      <c r="C303" t="s">
        <v>3701</v>
      </c>
      <c r="D303" t="s">
        <v>278</v>
      </c>
      <c r="E303" t="s">
        <v>284</v>
      </c>
      <c r="F303" t="s">
        <v>4312</v>
      </c>
      <c r="G303" t="s">
        <v>4313</v>
      </c>
      <c r="H303" t="s">
        <v>3704</v>
      </c>
      <c r="I303" t="s">
        <v>3705</v>
      </c>
    </row>
    <row r="304" spans="1:9" x14ac:dyDescent="0.25">
      <c r="A304" t="s">
        <v>1713</v>
      </c>
      <c r="B304" t="s">
        <v>283</v>
      </c>
      <c r="C304" t="s">
        <v>3706</v>
      </c>
      <c r="D304" t="s">
        <v>278</v>
      </c>
      <c r="E304" t="s">
        <v>284</v>
      </c>
      <c r="F304" t="s">
        <v>4314</v>
      </c>
      <c r="G304" t="s">
        <v>4315</v>
      </c>
      <c r="H304" t="s">
        <v>3704</v>
      </c>
      <c r="I304" t="s">
        <v>3709</v>
      </c>
    </row>
    <row r="305" spans="1:9" x14ac:dyDescent="0.25">
      <c r="A305" t="s">
        <v>1716</v>
      </c>
      <c r="B305" t="s">
        <v>283</v>
      </c>
      <c r="C305" t="s">
        <v>3710</v>
      </c>
      <c r="D305" t="s">
        <v>278</v>
      </c>
      <c r="E305" t="s">
        <v>284</v>
      </c>
      <c r="F305" t="s">
        <v>4316</v>
      </c>
      <c r="G305" t="s">
        <v>4317</v>
      </c>
      <c r="H305" t="s">
        <v>3713</v>
      </c>
      <c r="I305" t="s">
        <v>3714</v>
      </c>
    </row>
    <row r="306" spans="1:9" x14ac:dyDescent="0.25">
      <c r="A306" t="s">
        <v>1718</v>
      </c>
      <c r="B306" t="s">
        <v>283</v>
      </c>
      <c r="C306" t="s">
        <v>3715</v>
      </c>
      <c r="D306" t="s">
        <v>278</v>
      </c>
      <c r="E306" t="s">
        <v>284</v>
      </c>
      <c r="F306" t="s">
        <v>4318</v>
      </c>
      <c r="G306" t="s">
        <v>4319</v>
      </c>
      <c r="H306" t="s">
        <v>3704</v>
      </c>
      <c r="I306" t="s">
        <v>3700</v>
      </c>
    </row>
    <row r="307" spans="1:9" x14ac:dyDescent="0.25">
      <c r="A307" t="s">
        <v>1720</v>
      </c>
      <c r="B307" t="s">
        <v>283</v>
      </c>
      <c r="C307" t="s">
        <v>3718</v>
      </c>
      <c r="D307" t="s">
        <v>278</v>
      </c>
      <c r="E307" t="s">
        <v>284</v>
      </c>
      <c r="F307" t="s">
        <v>4320</v>
      </c>
      <c r="G307" t="s">
        <v>4321</v>
      </c>
      <c r="H307" t="s">
        <v>3713</v>
      </c>
      <c r="I307" t="s">
        <v>3721</v>
      </c>
    </row>
    <row r="308" spans="1:9" x14ac:dyDescent="0.25">
      <c r="A308" t="s">
        <v>1724</v>
      </c>
      <c r="B308" t="s">
        <v>287</v>
      </c>
      <c r="C308" t="s">
        <v>3696</v>
      </c>
      <c r="D308" t="s">
        <v>278</v>
      </c>
      <c r="E308" t="s">
        <v>288</v>
      </c>
      <c r="F308" t="s">
        <v>4322</v>
      </c>
      <c r="G308" t="s">
        <v>4323</v>
      </c>
      <c r="H308" t="s">
        <v>3699</v>
      </c>
      <c r="I308" t="s">
        <v>3700</v>
      </c>
    </row>
    <row r="309" spans="1:9" x14ac:dyDescent="0.25">
      <c r="A309" t="s">
        <v>1729</v>
      </c>
      <c r="B309" t="s">
        <v>287</v>
      </c>
      <c r="C309" t="s">
        <v>3701</v>
      </c>
      <c r="D309" t="s">
        <v>278</v>
      </c>
      <c r="E309" t="s">
        <v>288</v>
      </c>
      <c r="F309" t="s">
        <v>4324</v>
      </c>
      <c r="G309" t="s">
        <v>4325</v>
      </c>
      <c r="H309" t="s">
        <v>3704</v>
      </c>
      <c r="I309" t="s">
        <v>3705</v>
      </c>
    </row>
    <row r="310" spans="1:9" x14ac:dyDescent="0.25">
      <c r="A310" t="s">
        <v>1732</v>
      </c>
      <c r="B310" t="s">
        <v>287</v>
      </c>
      <c r="C310" t="s">
        <v>3706</v>
      </c>
      <c r="D310" t="s">
        <v>278</v>
      </c>
      <c r="E310" t="s">
        <v>288</v>
      </c>
      <c r="F310" t="s">
        <v>4326</v>
      </c>
      <c r="G310" t="s">
        <v>4327</v>
      </c>
      <c r="H310" t="s">
        <v>3704</v>
      </c>
      <c r="I310" t="s">
        <v>3709</v>
      </c>
    </row>
    <row r="311" spans="1:9" x14ac:dyDescent="0.25">
      <c r="A311" t="s">
        <v>1735</v>
      </c>
      <c r="B311" t="s">
        <v>287</v>
      </c>
      <c r="C311" t="s">
        <v>3710</v>
      </c>
      <c r="D311" t="s">
        <v>278</v>
      </c>
      <c r="E311" t="s">
        <v>288</v>
      </c>
      <c r="F311" t="s">
        <v>4328</v>
      </c>
      <c r="G311" t="s">
        <v>4329</v>
      </c>
      <c r="H311" t="s">
        <v>3713</v>
      </c>
      <c r="I311" t="s">
        <v>3714</v>
      </c>
    </row>
    <row r="312" spans="1:9" x14ac:dyDescent="0.25">
      <c r="A312" t="s">
        <v>1737</v>
      </c>
      <c r="B312" t="s">
        <v>287</v>
      </c>
      <c r="C312" t="s">
        <v>3715</v>
      </c>
      <c r="D312" t="s">
        <v>278</v>
      </c>
      <c r="E312" t="s">
        <v>288</v>
      </c>
      <c r="F312" t="s">
        <v>4330</v>
      </c>
      <c r="G312" t="s">
        <v>4331</v>
      </c>
      <c r="H312" t="s">
        <v>3704</v>
      </c>
      <c r="I312" t="s">
        <v>3700</v>
      </c>
    </row>
    <row r="313" spans="1:9" x14ac:dyDescent="0.25">
      <c r="A313" t="s">
        <v>1739</v>
      </c>
      <c r="B313" t="s">
        <v>287</v>
      </c>
      <c r="C313" t="s">
        <v>3718</v>
      </c>
      <c r="D313" t="s">
        <v>278</v>
      </c>
      <c r="E313" t="s">
        <v>288</v>
      </c>
      <c r="F313" t="s">
        <v>4332</v>
      </c>
      <c r="G313" t="s">
        <v>4333</v>
      </c>
      <c r="H313" t="s">
        <v>3713</v>
      </c>
      <c r="I313" t="s">
        <v>3721</v>
      </c>
    </row>
    <row r="314" spans="1:9" x14ac:dyDescent="0.25">
      <c r="A314" t="s">
        <v>1743</v>
      </c>
      <c r="B314" t="s">
        <v>291</v>
      </c>
      <c r="C314" t="s">
        <v>3696</v>
      </c>
      <c r="D314" t="s">
        <v>278</v>
      </c>
      <c r="E314" t="s">
        <v>292</v>
      </c>
      <c r="F314" t="s">
        <v>4334</v>
      </c>
      <c r="G314" t="s">
        <v>4335</v>
      </c>
      <c r="H314" t="s">
        <v>3699</v>
      </c>
      <c r="I314" t="s">
        <v>3700</v>
      </c>
    </row>
    <row r="315" spans="1:9" x14ac:dyDescent="0.25">
      <c r="A315" t="s">
        <v>1748</v>
      </c>
      <c r="B315" t="s">
        <v>291</v>
      </c>
      <c r="C315" t="s">
        <v>3701</v>
      </c>
      <c r="D315" t="s">
        <v>278</v>
      </c>
      <c r="E315" t="s">
        <v>292</v>
      </c>
      <c r="F315" t="s">
        <v>4336</v>
      </c>
      <c r="G315" t="s">
        <v>4337</v>
      </c>
      <c r="H315" t="s">
        <v>3704</v>
      </c>
      <c r="I315" t="s">
        <v>3705</v>
      </c>
    </row>
    <row r="316" spans="1:9" x14ac:dyDescent="0.25">
      <c r="A316" t="s">
        <v>1751</v>
      </c>
      <c r="B316" t="s">
        <v>291</v>
      </c>
      <c r="C316" t="s">
        <v>3706</v>
      </c>
      <c r="D316" t="s">
        <v>278</v>
      </c>
      <c r="E316" t="s">
        <v>292</v>
      </c>
      <c r="F316" t="s">
        <v>4338</v>
      </c>
      <c r="G316" t="s">
        <v>4339</v>
      </c>
      <c r="H316" t="s">
        <v>3704</v>
      </c>
      <c r="I316" t="s">
        <v>3709</v>
      </c>
    </row>
    <row r="317" spans="1:9" x14ac:dyDescent="0.25">
      <c r="A317" t="s">
        <v>1754</v>
      </c>
      <c r="B317" t="s">
        <v>291</v>
      </c>
      <c r="C317" t="s">
        <v>3710</v>
      </c>
      <c r="D317" t="s">
        <v>278</v>
      </c>
      <c r="E317" t="s">
        <v>292</v>
      </c>
      <c r="F317" t="s">
        <v>4340</v>
      </c>
      <c r="G317" t="s">
        <v>4341</v>
      </c>
      <c r="H317" t="s">
        <v>3713</v>
      </c>
      <c r="I317" t="s">
        <v>3714</v>
      </c>
    </row>
    <row r="318" spans="1:9" x14ac:dyDescent="0.25">
      <c r="A318" t="s">
        <v>1756</v>
      </c>
      <c r="B318" t="s">
        <v>291</v>
      </c>
      <c r="C318" t="s">
        <v>3715</v>
      </c>
      <c r="D318" t="s">
        <v>278</v>
      </c>
      <c r="E318" t="s">
        <v>292</v>
      </c>
      <c r="F318" t="s">
        <v>4342</v>
      </c>
      <c r="G318" t="s">
        <v>4343</v>
      </c>
      <c r="H318" t="s">
        <v>3704</v>
      </c>
      <c r="I318" t="s">
        <v>3700</v>
      </c>
    </row>
    <row r="319" spans="1:9" x14ac:dyDescent="0.25">
      <c r="A319" t="s">
        <v>1758</v>
      </c>
      <c r="B319" t="s">
        <v>291</v>
      </c>
      <c r="C319" t="s">
        <v>3718</v>
      </c>
      <c r="D319" t="s">
        <v>278</v>
      </c>
      <c r="E319" t="s">
        <v>292</v>
      </c>
      <c r="F319" t="s">
        <v>4344</v>
      </c>
      <c r="G319" t="s">
        <v>4345</v>
      </c>
      <c r="H319" t="s">
        <v>3713</v>
      </c>
      <c r="I319" t="s">
        <v>3721</v>
      </c>
    </row>
    <row r="320" spans="1:9" x14ac:dyDescent="0.25">
      <c r="A320" t="s">
        <v>1762</v>
      </c>
      <c r="B320" t="s">
        <v>295</v>
      </c>
      <c r="C320" t="s">
        <v>3696</v>
      </c>
      <c r="D320" t="s">
        <v>278</v>
      </c>
      <c r="E320" t="s">
        <v>297</v>
      </c>
      <c r="F320" t="s">
        <v>4346</v>
      </c>
      <c r="G320" t="s">
        <v>4347</v>
      </c>
      <c r="H320" t="s">
        <v>3699</v>
      </c>
      <c r="I320" t="s">
        <v>3700</v>
      </c>
    </row>
    <row r="321" spans="1:9" x14ac:dyDescent="0.25">
      <c r="A321" t="s">
        <v>1767</v>
      </c>
      <c r="B321" t="s">
        <v>295</v>
      </c>
      <c r="C321" t="s">
        <v>3701</v>
      </c>
      <c r="D321" t="s">
        <v>278</v>
      </c>
      <c r="E321" t="s">
        <v>297</v>
      </c>
      <c r="F321" t="s">
        <v>4348</v>
      </c>
      <c r="G321" t="s">
        <v>4349</v>
      </c>
      <c r="H321" t="s">
        <v>3704</v>
      </c>
      <c r="I321" t="s">
        <v>3705</v>
      </c>
    </row>
    <row r="322" spans="1:9" x14ac:dyDescent="0.25">
      <c r="A322" t="s">
        <v>1770</v>
      </c>
      <c r="B322" t="s">
        <v>295</v>
      </c>
      <c r="C322" t="s">
        <v>3706</v>
      </c>
      <c r="D322" t="s">
        <v>278</v>
      </c>
      <c r="E322" t="s">
        <v>297</v>
      </c>
      <c r="F322" t="s">
        <v>4350</v>
      </c>
      <c r="G322" t="s">
        <v>4351</v>
      </c>
      <c r="H322" t="s">
        <v>3704</v>
      </c>
      <c r="I322" t="s">
        <v>3709</v>
      </c>
    </row>
    <row r="323" spans="1:9" x14ac:dyDescent="0.25">
      <c r="A323" t="s">
        <v>1773</v>
      </c>
      <c r="B323" t="s">
        <v>295</v>
      </c>
      <c r="C323" t="s">
        <v>3710</v>
      </c>
      <c r="D323" t="s">
        <v>278</v>
      </c>
      <c r="E323" t="s">
        <v>297</v>
      </c>
      <c r="F323" t="s">
        <v>4352</v>
      </c>
      <c r="G323" t="s">
        <v>4353</v>
      </c>
      <c r="H323" t="s">
        <v>3713</v>
      </c>
      <c r="I323" t="s">
        <v>3714</v>
      </c>
    </row>
    <row r="324" spans="1:9" x14ac:dyDescent="0.25">
      <c r="A324" t="s">
        <v>1775</v>
      </c>
      <c r="B324" t="s">
        <v>295</v>
      </c>
      <c r="C324" t="s">
        <v>3715</v>
      </c>
      <c r="D324" t="s">
        <v>278</v>
      </c>
      <c r="E324" t="s">
        <v>297</v>
      </c>
      <c r="F324" t="s">
        <v>4354</v>
      </c>
      <c r="G324" t="s">
        <v>4355</v>
      </c>
      <c r="H324" t="s">
        <v>3704</v>
      </c>
      <c r="I324" t="s">
        <v>3700</v>
      </c>
    </row>
    <row r="325" spans="1:9" x14ac:dyDescent="0.25">
      <c r="A325" t="s">
        <v>1777</v>
      </c>
      <c r="B325" t="s">
        <v>295</v>
      </c>
      <c r="C325" t="s">
        <v>3718</v>
      </c>
      <c r="D325" t="s">
        <v>278</v>
      </c>
      <c r="E325" t="s">
        <v>297</v>
      </c>
      <c r="F325" t="s">
        <v>4356</v>
      </c>
      <c r="G325" t="s">
        <v>4357</v>
      </c>
      <c r="H325" t="s">
        <v>3713</v>
      </c>
      <c r="I325" t="s">
        <v>3721</v>
      </c>
    </row>
    <row r="326" spans="1:9" x14ac:dyDescent="0.25">
      <c r="A326" t="s">
        <v>1781</v>
      </c>
      <c r="B326" t="s">
        <v>300</v>
      </c>
      <c r="C326" t="s">
        <v>3696</v>
      </c>
      <c r="D326" t="s">
        <v>278</v>
      </c>
      <c r="E326" t="s">
        <v>301</v>
      </c>
      <c r="F326" t="s">
        <v>4358</v>
      </c>
      <c r="G326" t="s">
        <v>4359</v>
      </c>
      <c r="H326" t="s">
        <v>3699</v>
      </c>
      <c r="I326" t="s">
        <v>3700</v>
      </c>
    </row>
    <row r="327" spans="1:9" x14ac:dyDescent="0.25">
      <c r="A327" t="s">
        <v>1786</v>
      </c>
      <c r="B327" t="s">
        <v>300</v>
      </c>
      <c r="C327" t="s">
        <v>3701</v>
      </c>
      <c r="D327" t="s">
        <v>278</v>
      </c>
      <c r="E327" t="s">
        <v>301</v>
      </c>
      <c r="F327" t="s">
        <v>4360</v>
      </c>
      <c r="G327" t="s">
        <v>4361</v>
      </c>
      <c r="H327" t="s">
        <v>3704</v>
      </c>
      <c r="I327" t="s">
        <v>3705</v>
      </c>
    </row>
    <row r="328" spans="1:9" x14ac:dyDescent="0.25">
      <c r="A328" t="s">
        <v>1789</v>
      </c>
      <c r="B328" t="s">
        <v>300</v>
      </c>
      <c r="C328" t="s">
        <v>3706</v>
      </c>
      <c r="D328" t="s">
        <v>278</v>
      </c>
      <c r="E328" t="s">
        <v>301</v>
      </c>
      <c r="F328" t="s">
        <v>4362</v>
      </c>
      <c r="G328" t="s">
        <v>4363</v>
      </c>
      <c r="H328" t="s">
        <v>3704</v>
      </c>
      <c r="I328" t="s">
        <v>3709</v>
      </c>
    </row>
    <row r="329" spans="1:9" x14ac:dyDescent="0.25">
      <c r="A329" t="s">
        <v>1792</v>
      </c>
      <c r="B329" t="s">
        <v>300</v>
      </c>
      <c r="C329" t="s">
        <v>3710</v>
      </c>
      <c r="D329" t="s">
        <v>278</v>
      </c>
      <c r="E329" t="s">
        <v>301</v>
      </c>
      <c r="F329" t="s">
        <v>4364</v>
      </c>
      <c r="G329" t="s">
        <v>4365</v>
      </c>
      <c r="H329" t="s">
        <v>3713</v>
      </c>
      <c r="I329" t="s">
        <v>3714</v>
      </c>
    </row>
    <row r="330" spans="1:9" x14ac:dyDescent="0.25">
      <c r="A330" t="s">
        <v>1794</v>
      </c>
      <c r="B330" t="s">
        <v>300</v>
      </c>
      <c r="C330" t="s">
        <v>3715</v>
      </c>
      <c r="D330" t="s">
        <v>278</v>
      </c>
      <c r="E330" t="s">
        <v>301</v>
      </c>
      <c r="F330" t="s">
        <v>4366</v>
      </c>
      <c r="G330" t="s">
        <v>4367</v>
      </c>
      <c r="H330" t="s">
        <v>3704</v>
      </c>
      <c r="I330" t="s">
        <v>3700</v>
      </c>
    </row>
    <row r="331" spans="1:9" x14ac:dyDescent="0.25">
      <c r="A331" t="s">
        <v>1796</v>
      </c>
      <c r="B331" t="s">
        <v>300</v>
      </c>
      <c r="C331" t="s">
        <v>3718</v>
      </c>
      <c r="D331" t="s">
        <v>278</v>
      </c>
      <c r="E331" t="s">
        <v>301</v>
      </c>
      <c r="F331" t="s">
        <v>4368</v>
      </c>
      <c r="G331" t="s">
        <v>4369</v>
      </c>
      <c r="H331" t="s">
        <v>3713</v>
      </c>
      <c r="I331" t="s">
        <v>3721</v>
      </c>
    </row>
    <row r="332" spans="1:9" x14ac:dyDescent="0.25">
      <c r="A332" t="s">
        <v>1800</v>
      </c>
      <c r="B332" t="s">
        <v>304</v>
      </c>
      <c r="C332" t="s">
        <v>3696</v>
      </c>
      <c r="D332" t="s">
        <v>278</v>
      </c>
      <c r="E332" t="s">
        <v>305</v>
      </c>
      <c r="F332" t="s">
        <v>4370</v>
      </c>
      <c r="G332" t="s">
        <v>4371</v>
      </c>
      <c r="H332" t="s">
        <v>3699</v>
      </c>
      <c r="I332" t="s">
        <v>3700</v>
      </c>
    </row>
    <row r="333" spans="1:9" x14ac:dyDescent="0.25">
      <c r="A333" t="s">
        <v>1805</v>
      </c>
      <c r="B333" t="s">
        <v>304</v>
      </c>
      <c r="C333" t="s">
        <v>3701</v>
      </c>
      <c r="D333" t="s">
        <v>278</v>
      </c>
      <c r="E333" t="s">
        <v>305</v>
      </c>
      <c r="F333" t="s">
        <v>4372</v>
      </c>
      <c r="G333" t="s">
        <v>4373</v>
      </c>
      <c r="H333" t="s">
        <v>3704</v>
      </c>
      <c r="I333" t="s">
        <v>3705</v>
      </c>
    </row>
    <row r="334" spans="1:9" x14ac:dyDescent="0.25">
      <c r="A334" t="s">
        <v>1808</v>
      </c>
      <c r="B334" t="s">
        <v>304</v>
      </c>
      <c r="C334" t="s">
        <v>3706</v>
      </c>
      <c r="D334" t="s">
        <v>278</v>
      </c>
      <c r="E334" t="s">
        <v>305</v>
      </c>
      <c r="F334" t="s">
        <v>4374</v>
      </c>
      <c r="G334" t="s">
        <v>4375</v>
      </c>
      <c r="H334" t="s">
        <v>3704</v>
      </c>
      <c r="I334" t="s">
        <v>3709</v>
      </c>
    </row>
    <row r="335" spans="1:9" x14ac:dyDescent="0.25">
      <c r="A335" t="s">
        <v>1811</v>
      </c>
      <c r="B335" t="s">
        <v>304</v>
      </c>
      <c r="C335" t="s">
        <v>3710</v>
      </c>
      <c r="D335" t="s">
        <v>278</v>
      </c>
      <c r="E335" t="s">
        <v>305</v>
      </c>
      <c r="F335" t="s">
        <v>4376</v>
      </c>
      <c r="G335" t="s">
        <v>4377</v>
      </c>
      <c r="H335" t="s">
        <v>3713</v>
      </c>
      <c r="I335" t="s">
        <v>3714</v>
      </c>
    </row>
    <row r="336" spans="1:9" x14ac:dyDescent="0.25">
      <c r="A336" t="s">
        <v>1813</v>
      </c>
      <c r="B336" t="s">
        <v>304</v>
      </c>
      <c r="C336" t="s">
        <v>3715</v>
      </c>
      <c r="D336" t="s">
        <v>278</v>
      </c>
      <c r="E336" t="s">
        <v>305</v>
      </c>
      <c r="F336" t="s">
        <v>4378</v>
      </c>
      <c r="G336" t="s">
        <v>4379</v>
      </c>
      <c r="H336" t="s">
        <v>3704</v>
      </c>
      <c r="I336" t="s">
        <v>3700</v>
      </c>
    </row>
    <row r="337" spans="1:9" x14ac:dyDescent="0.25">
      <c r="A337" t="s">
        <v>1815</v>
      </c>
      <c r="B337" t="s">
        <v>304</v>
      </c>
      <c r="C337" t="s">
        <v>3718</v>
      </c>
      <c r="D337" t="s">
        <v>278</v>
      </c>
      <c r="E337" t="s">
        <v>305</v>
      </c>
      <c r="F337" t="s">
        <v>4380</v>
      </c>
      <c r="G337" t="s">
        <v>4381</v>
      </c>
      <c r="H337" t="s">
        <v>3713</v>
      </c>
      <c r="I337" t="s">
        <v>3721</v>
      </c>
    </row>
    <row r="338" spans="1:9" x14ac:dyDescent="0.25">
      <c r="A338" t="s">
        <v>1819</v>
      </c>
      <c r="B338" t="s">
        <v>308</v>
      </c>
      <c r="C338" t="s">
        <v>3696</v>
      </c>
      <c r="D338" t="s">
        <v>278</v>
      </c>
      <c r="E338" t="s">
        <v>309</v>
      </c>
      <c r="F338" t="s">
        <v>4382</v>
      </c>
      <c r="G338" t="s">
        <v>4383</v>
      </c>
      <c r="H338" t="s">
        <v>3699</v>
      </c>
      <c r="I338" t="s">
        <v>3700</v>
      </c>
    </row>
    <row r="339" spans="1:9" x14ac:dyDescent="0.25">
      <c r="A339" t="s">
        <v>1824</v>
      </c>
      <c r="B339" t="s">
        <v>308</v>
      </c>
      <c r="C339" t="s">
        <v>3701</v>
      </c>
      <c r="D339" t="s">
        <v>278</v>
      </c>
      <c r="E339" t="s">
        <v>309</v>
      </c>
      <c r="F339" t="s">
        <v>4384</v>
      </c>
      <c r="G339" t="s">
        <v>4385</v>
      </c>
      <c r="H339" t="s">
        <v>3704</v>
      </c>
      <c r="I339" t="s">
        <v>3705</v>
      </c>
    </row>
    <row r="340" spans="1:9" x14ac:dyDescent="0.25">
      <c r="A340" t="s">
        <v>1827</v>
      </c>
      <c r="B340" t="s">
        <v>308</v>
      </c>
      <c r="C340" t="s">
        <v>3706</v>
      </c>
      <c r="D340" t="s">
        <v>278</v>
      </c>
      <c r="E340" t="s">
        <v>309</v>
      </c>
      <c r="F340" t="s">
        <v>4386</v>
      </c>
      <c r="G340" t="s">
        <v>4387</v>
      </c>
      <c r="H340" t="s">
        <v>3704</v>
      </c>
      <c r="I340" t="s">
        <v>3709</v>
      </c>
    </row>
    <row r="341" spans="1:9" x14ac:dyDescent="0.25">
      <c r="A341" t="s">
        <v>1830</v>
      </c>
      <c r="B341" t="s">
        <v>308</v>
      </c>
      <c r="C341" t="s">
        <v>3710</v>
      </c>
      <c r="D341" t="s">
        <v>278</v>
      </c>
      <c r="E341" t="s">
        <v>309</v>
      </c>
      <c r="F341" t="s">
        <v>4388</v>
      </c>
      <c r="G341" t="s">
        <v>4389</v>
      </c>
      <c r="H341" t="s">
        <v>3713</v>
      </c>
      <c r="I341" t="s">
        <v>3714</v>
      </c>
    </row>
    <row r="342" spans="1:9" x14ac:dyDescent="0.25">
      <c r="A342" t="s">
        <v>1832</v>
      </c>
      <c r="B342" t="s">
        <v>308</v>
      </c>
      <c r="C342" t="s">
        <v>3715</v>
      </c>
      <c r="D342" t="s">
        <v>278</v>
      </c>
      <c r="E342" t="s">
        <v>309</v>
      </c>
      <c r="F342" t="s">
        <v>4390</v>
      </c>
      <c r="G342" t="s">
        <v>4391</v>
      </c>
      <c r="H342" t="s">
        <v>3704</v>
      </c>
      <c r="I342" t="s">
        <v>3700</v>
      </c>
    </row>
    <row r="343" spans="1:9" x14ac:dyDescent="0.25">
      <c r="A343" t="s">
        <v>1834</v>
      </c>
      <c r="B343" t="s">
        <v>308</v>
      </c>
      <c r="C343" t="s">
        <v>3718</v>
      </c>
      <c r="D343" t="s">
        <v>278</v>
      </c>
      <c r="E343" t="s">
        <v>309</v>
      </c>
      <c r="F343" t="s">
        <v>4392</v>
      </c>
      <c r="G343" t="s">
        <v>4393</v>
      </c>
      <c r="H343" t="s">
        <v>3713</v>
      </c>
      <c r="I343" t="s">
        <v>3721</v>
      </c>
    </row>
    <row r="344" spans="1:9" x14ac:dyDescent="0.25">
      <c r="A344" t="s">
        <v>1838</v>
      </c>
      <c r="B344" t="s">
        <v>312</v>
      </c>
      <c r="C344" t="s">
        <v>3696</v>
      </c>
      <c r="D344" t="s">
        <v>278</v>
      </c>
      <c r="E344" t="s">
        <v>314</v>
      </c>
      <c r="F344" t="s">
        <v>4394</v>
      </c>
      <c r="G344" t="s">
        <v>4395</v>
      </c>
      <c r="H344" t="s">
        <v>3699</v>
      </c>
      <c r="I344" t="s">
        <v>3700</v>
      </c>
    </row>
    <row r="345" spans="1:9" x14ac:dyDescent="0.25">
      <c r="A345" t="s">
        <v>1843</v>
      </c>
      <c r="B345" t="s">
        <v>312</v>
      </c>
      <c r="C345" t="s">
        <v>3701</v>
      </c>
      <c r="D345" t="s">
        <v>278</v>
      </c>
      <c r="E345" t="s">
        <v>314</v>
      </c>
      <c r="F345" t="s">
        <v>4396</v>
      </c>
      <c r="G345" t="s">
        <v>4397</v>
      </c>
      <c r="H345" t="s">
        <v>3704</v>
      </c>
      <c r="I345" t="s">
        <v>3705</v>
      </c>
    </row>
    <row r="346" spans="1:9" x14ac:dyDescent="0.25">
      <c r="A346" t="s">
        <v>1846</v>
      </c>
      <c r="B346" t="s">
        <v>312</v>
      </c>
      <c r="C346" t="s">
        <v>3706</v>
      </c>
      <c r="D346" t="s">
        <v>278</v>
      </c>
      <c r="E346" t="s">
        <v>314</v>
      </c>
      <c r="F346" t="s">
        <v>4398</v>
      </c>
      <c r="G346" t="s">
        <v>4399</v>
      </c>
      <c r="H346" t="s">
        <v>3704</v>
      </c>
      <c r="I346" t="s">
        <v>3709</v>
      </c>
    </row>
    <row r="347" spans="1:9" x14ac:dyDescent="0.25">
      <c r="A347" t="s">
        <v>1849</v>
      </c>
      <c r="B347" t="s">
        <v>312</v>
      </c>
      <c r="C347" t="s">
        <v>3710</v>
      </c>
      <c r="D347" t="s">
        <v>278</v>
      </c>
      <c r="E347" t="s">
        <v>314</v>
      </c>
      <c r="F347" t="s">
        <v>4400</v>
      </c>
      <c r="G347" t="s">
        <v>4401</v>
      </c>
      <c r="H347" t="s">
        <v>3713</v>
      </c>
      <c r="I347" t="s">
        <v>3714</v>
      </c>
    </row>
    <row r="348" spans="1:9" x14ac:dyDescent="0.25">
      <c r="A348" t="s">
        <v>1851</v>
      </c>
      <c r="B348" t="s">
        <v>312</v>
      </c>
      <c r="C348" t="s">
        <v>3715</v>
      </c>
      <c r="D348" t="s">
        <v>278</v>
      </c>
      <c r="E348" t="s">
        <v>314</v>
      </c>
      <c r="F348" t="s">
        <v>4402</v>
      </c>
      <c r="G348" t="s">
        <v>4403</v>
      </c>
      <c r="H348" t="s">
        <v>3704</v>
      </c>
      <c r="I348" t="s">
        <v>3700</v>
      </c>
    </row>
    <row r="349" spans="1:9" x14ac:dyDescent="0.25">
      <c r="A349" t="s">
        <v>1853</v>
      </c>
      <c r="B349" t="s">
        <v>312</v>
      </c>
      <c r="C349" t="s">
        <v>3718</v>
      </c>
      <c r="D349" t="s">
        <v>278</v>
      </c>
      <c r="E349" t="s">
        <v>314</v>
      </c>
      <c r="F349" t="s">
        <v>4404</v>
      </c>
      <c r="G349" t="s">
        <v>4405</v>
      </c>
      <c r="H349" t="s">
        <v>3713</v>
      </c>
      <c r="I349" t="s">
        <v>3721</v>
      </c>
    </row>
    <row r="350" spans="1:9" x14ac:dyDescent="0.25">
      <c r="A350" t="s">
        <v>1857</v>
      </c>
      <c r="B350" t="s">
        <v>317</v>
      </c>
      <c r="C350" t="s">
        <v>3696</v>
      </c>
      <c r="D350" t="s">
        <v>278</v>
      </c>
      <c r="E350" t="s">
        <v>318</v>
      </c>
      <c r="F350" t="s">
        <v>4406</v>
      </c>
      <c r="G350" t="s">
        <v>4407</v>
      </c>
      <c r="H350" t="s">
        <v>3699</v>
      </c>
      <c r="I350" t="s">
        <v>3700</v>
      </c>
    </row>
    <row r="351" spans="1:9" x14ac:dyDescent="0.25">
      <c r="A351" t="s">
        <v>1862</v>
      </c>
      <c r="B351" t="s">
        <v>317</v>
      </c>
      <c r="C351" t="s">
        <v>3701</v>
      </c>
      <c r="D351" t="s">
        <v>278</v>
      </c>
      <c r="E351" t="s">
        <v>318</v>
      </c>
      <c r="F351" t="s">
        <v>4408</v>
      </c>
      <c r="G351" t="s">
        <v>4409</v>
      </c>
      <c r="H351" t="s">
        <v>3704</v>
      </c>
      <c r="I351" t="s">
        <v>3705</v>
      </c>
    </row>
    <row r="352" spans="1:9" x14ac:dyDescent="0.25">
      <c r="A352" t="s">
        <v>1865</v>
      </c>
      <c r="B352" t="s">
        <v>317</v>
      </c>
      <c r="C352" t="s">
        <v>3706</v>
      </c>
      <c r="D352" t="s">
        <v>278</v>
      </c>
      <c r="E352" t="s">
        <v>318</v>
      </c>
      <c r="F352" t="s">
        <v>4410</v>
      </c>
      <c r="G352" t="s">
        <v>4411</v>
      </c>
      <c r="H352" t="s">
        <v>3704</v>
      </c>
      <c r="I352" t="s">
        <v>3709</v>
      </c>
    </row>
    <row r="353" spans="1:9" x14ac:dyDescent="0.25">
      <c r="A353" t="s">
        <v>1868</v>
      </c>
      <c r="B353" t="s">
        <v>317</v>
      </c>
      <c r="C353" t="s">
        <v>3710</v>
      </c>
      <c r="D353" t="s">
        <v>278</v>
      </c>
      <c r="E353" t="s">
        <v>318</v>
      </c>
      <c r="F353" t="s">
        <v>4412</v>
      </c>
      <c r="G353" t="s">
        <v>4413</v>
      </c>
      <c r="H353" t="s">
        <v>3713</v>
      </c>
      <c r="I353" t="s">
        <v>3714</v>
      </c>
    </row>
    <row r="354" spans="1:9" x14ac:dyDescent="0.25">
      <c r="A354" t="s">
        <v>1870</v>
      </c>
      <c r="B354" t="s">
        <v>317</v>
      </c>
      <c r="C354" t="s">
        <v>3715</v>
      </c>
      <c r="D354" t="s">
        <v>278</v>
      </c>
      <c r="E354" t="s">
        <v>318</v>
      </c>
      <c r="F354" t="s">
        <v>4414</v>
      </c>
      <c r="G354" t="s">
        <v>4415</v>
      </c>
      <c r="H354" t="s">
        <v>3704</v>
      </c>
      <c r="I354" t="s">
        <v>3700</v>
      </c>
    </row>
    <row r="355" spans="1:9" x14ac:dyDescent="0.25">
      <c r="A355" t="s">
        <v>1872</v>
      </c>
      <c r="B355" t="s">
        <v>317</v>
      </c>
      <c r="C355" t="s">
        <v>3718</v>
      </c>
      <c r="D355" t="s">
        <v>278</v>
      </c>
      <c r="E355" t="s">
        <v>318</v>
      </c>
      <c r="F355" t="s">
        <v>4416</v>
      </c>
      <c r="G355" t="s">
        <v>4417</v>
      </c>
      <c r="H355" t="s">
        <v>3713</v>
      </c>
      <c r="I355" t="s">
        <v>3721</v>
      </c>
    </row>
    <row r="356" spans="1:9" x14ac:dyDescent="0.25">
      <c r="A356" t="s">
        <v>1876</v>
      </c>
      <c r="B356" t="s">
        <v>321</v>
      </c>
      <c r="C356" t="s">
        <v>3696</v>
      </c>
      <c r="D356" t="s">
        <v>278</v>
      </c>
      <c r="E356" t="s">
        <v>322</v>
      </c>
      <c r="F356" t="s">
        <v>4418</v>
      </c>
      <c r="G356" t="s">
        <v>4419</v>
      </c>
      <c r="H356" t="s">
        <v>3699</v>
      </c>
      <c r="I356" t="s">
        <v>3700</v>
      </c>
    </row>
    <row r="357" spans="1:9" x14ac:dyDescent="0.25">
      <c r="A357" t="s">
        <v>1881</v>
      </c>
      <c r="B357" t="s">
        <v>321</v>
      </c>
      <c r="C357" t="s">
        <v>3701</v>
      </c>
      <c r="D357" t="s">
        <v>278</v>
      </c>
      <c r="E357" t="s">
        <v>322</v>
      </c>
      <c r="F357" t="s">
        <v>4420</v>
      </c>
      <c r="G357" t="s">
        <v>4421</v>
      </c>
      <c r="H357" t="s">
        <v>3704</v>
      </c>
      <c r="I357" t="s">
        <v>3705</v>
      </c>
    </row>
    <row r="358" spans="1:9" x14ac:dyDescent="0.25">
      <c r="A358" t="s">
        <v>1884</v>
      </c>
      <c r="B358" t="s">
        <v>321</v>
      </c>
      <c r="C358" t="s">
        <v>3706</v>
      </c>
      <c r="D358" t="s">
        <v>278</v>
      </c>
      <c r="E358" t="s">
        <v>322</v>
      </c>
      <c r="F358" t="s">
        <v>4422</v>
      </c>
      <c r="G358" t="s">
        <v>4423</v>
      </c>
      <c r="H358" t="s">
        <v>3704</v>
      </c>
      <c r="I358" t="s">
        <v>3709</v>
      </c>
    </row>
    <row r="359" spans="1:9" x14ac:dyDescent="0.25">
      <c r="A359" t="s">
        <v>1887</v>
      </c>
      <c r="B359" t="s">
        <v>321</v>
      </c>
      <c r="C359" t="s">
        <v>3710</v>
      </c>
      <c r="D359" t="s">
        <v>278</v>
      </c>
      <c r="E359" t="s">
        <v>322</v>
      </c>
      <c r="F359" t="s">
        <v>4424</v>
      </c>
      <c r="G359" t="s">
        <v>4425</v>
      </c>
      <c r="H359" t="s">
        <v>3713</v>
      </c>
      <c r="I359" t="s">
        <v>3714</v>
      </c>
    </row>
    <row r="360" spans="1:9" x14ac:dyDescent="0.25">
      <c r="A360" t="s">
        <v>1889</v>
      </c>
      <c r="B360" t="s">
        <v>321</v>
      </c>
      <c r="C360" t="s">
        <v>3715</v>
      </c>
      <c r="D360" t="s">
        <v>278</v>
      </c>
      <c r="E360" t="s">
        <v>322</v>
      </c>
      <c r="F360" t="s">
        <v>4426</v>
      </c>
      <c r="G360" t="s">
        <v>4427</v>
      </c>
      <c r="H360" t="s">
        <v>3704</v>
      </c>
      <c r="I360" t="s">
        <v>3700</v>
      </c>
    </row>
    <row r="361" spans="1:9" x14ac:dyDescent="0.25">
      <c r="A361" t="s">
        <v>1891</v>
      </c>
      <c r="B361" t="s">
        <v>321</v>
      </c>
      <c r="C361" t="s">
        <v>3718</v>
      </c>
      <c r="D361" t="s">
        <v>278</v>
      </c>
      <c r="E361" t="s">
        <v>322</v>
      </c>
      <c r="F361" t="s">
        <v>4428</v>
      </c>
      <c r="G361" t="s">
        <v>4429</v>
      </c>
      <c r="H361" t="s">
        <v>3713</v>
      </c>
      <c r="I361" t="s">
        <v>3721</v>
      </c>
    </row>
    <row r="362" spans="1:9" x14ac:dyDescent="0.25">
      <c r="A362" t="s">
        <v>1895</v>
      </c>
      <c r="B362" t="s">
        <v>325</v>
      </c>
      <c r="C362" t="s">
        <v>3696</v>
      </c>
      <c r="D362" t="s">
        <v>278</v>
      </c>
      <c r="E362" t="s">
        <v>326</v>
      </c>
      <c r="F362" t="s">
        <v>4430</v>
      </c>
      <c r="G362" t="s">
        <v>4431</v>
      </c>
      <c r="H362" t="s">
        <v>3699</v>
      </c>
      <c r="I362" t="s">
        <v>3700</v>
      </c>
    </row>
    <row r="363" spans="1:9" x14ac:dyDescent="0.25">
      <c r="A363" t="s">
        <v>1900</v>
      </c>
      <c r="B363" t="s">
        <v>325</v>
      </c>
      <c r="C363" t="s">
        <v>3701</v>
      </c>
      <c r="D363" t="s">
        <v>278</v>
      </c>
      <c r="E363" t="s">
        <v>326</v>
      </c>
      <c r="F363" t="s">
        <v>4432</v>
      </c>
      <c r="G363" t="s">
        <v>4433</v>
      </c>
      <c r="H363" t="s">
        <v>3704</v>
      </c>
      <c r="I363" t="s">
        <v>3705</v>
      </c>
    </row>
    <row r="364" spans="1:9" x14ac:dyDescent="0.25">
      <c r="A364" t="s">
        <v>1902</v>
      </c>
      <c r="B364" t="s">
        <v>325</v>
      </c>
      <c r="C364" t="s">
        <v>3706</v>
      </c>
      <c r="D364" t="s">
        <v>278</v>
      </c>
      <c r="E364" t="s">
        <v>326</v>
      </c>
      <c r="F364" t="s">
        <v>4434</v>
      </c>
      <c r="G364" t="s">
        <v>4435</v>
      </c>
      <c r="H364" t="s">
        <v>3704</v>
      </c>
      <c r="I364" t="s">
        <v>3709</v>
      </c>
    </row>
    <row r="365" spans="1:9" x14ac:dyDescent="0.25">
      <c r="A365" t="s">
        <v>1905</v>
      </c>
      <c r="B365" t="s">
        <v>325</v>
      </c>
      <c r="C365" t="s">
        <v>3710</v>
      </c>
      <c r="D365" t="s">
        <v>278</v>
      </c>
      <c r="E365" t="s">
        <v>326</v>
      </c>
      <c r="F365" t="s">
        <v>4436</v>
      </c>
      <c r="G365" t="s">
        <v>4437</v>
      </c>
      <c r="H365" t="s">
        <v>3713</v>
      </c>
      <c r="I365" t="s">
        <v>3714</v>
      </c>
    </row>
    <row r="366" spans="1:9" x14ac:dyDescent="0.25">
      <c r="A366" t="s">
        <v>1907</v>
      </c>
      <c r="B366" t="s">
        <v>325</v>
      </c>
      <c r="C366" t="s">
        <v>3715</v>
      </c>
      <c r="D366" t="s">
        <v>278</v>
      </c>
      <c r="E366" t="s">
        <v>326</v>
      </c>
      <c r="F366" t="s">
        <v>4438</v>
      </c>
      <c r="G366" t="s">
        <v>4439</v>
      </c>
      <c r="H366" t="s">
        <v>3704</v>
      </c>
      <c r="I366" t="s">
        <v>3700</v>
      </c>
    </row>
    <row r="367" spans="1:9" x14ac:dyDescent="0.25">
      <c r="A367" t="s">
        <v>1909</v>
      </c>
      <c r="B367" t="s">
        <v>325</v>
      </c>
      <c r="C367" t="s">
        <v>3718</v>
      </c>
      <c r="D367" t="s">
        <v>278</v>
      </c>
      <c r="E367" t="s">
        <v>326</v>
      </c>
      <c r="F367" t="s">
        <v>4440</v>
      </c>
      <c r="G367" t="s">
        <v>4441</v>
      </c>
      <c r="H367" t="s">
        <v>3713</v>
      </c>
      <c r="I367" t="s">
        <v>3721</v>
      </c>
    </row>
    <row r="368" spans="1:9" x14ac:dyDescent="0.25">
      <c r="A368" t="s">
        <v>1913</v>
      </c>
      <c r="B368" t="s">
        <v>329</v>
      </c>
      <c r="C368" t="s">
        <v>3696</v>
      </c>
      <c r="D368" t="s">
        <v>278</v>
      </c>
      <c r="E368" t="s">
        <v>331</v>
      </c>
      <c r="F368" t="s">
        <v>4442</v>
      </c>
      <c r="G368" t="s">
        <v>4443</v>
      </c>
      <c r="H368" t="s">
        <v>3699</v>
      </c>
      <c r="I368" t="s">
        <v>3700</v>
      </c>
    </row>
    <row r="369" spans="1:9" x14ac:dyDescent="0.25">
      <c r="A369" t="s">
        <v>1918</v>
      </c>
      <c r="B369" t="s">
        <v>329</v>
      </c>
      <c r="C369" t="s">
        <v>3701</v>
      </c>
      <c r="D369" t="s">
        <v>278</v>
      </c>
      <c r="E369" t="s">
        <v>331</v>
      </c>
      <c r="F369" t="s">
        <v>4444</v>
      </c>
      <c r="G369" t="s">
        <v>4445</v>
      </c>
      <c r="H369" t="s">
        <v>3704</v>
      </c>
      <c r="I369" t="s">
        <v>3705</v>
      </c>
    </row>
    <row r="370" spans="1:9" x14ac:dyDescent="0.25">
      <c r="A370" t="s">
        <v>1921</v>
      </c>
      <c r="B370" t="s">
        <v>329</v>
      </c>
      <c r="C370" t="s">
        <v>3706</v>
      </c>
      <c r="D370" t="s">
        <v>278</v>
      </c>
      <c r="E370" t="s">
        <v>331</v>
      </c>
      <c r="F370" t="s">
        <v>4446</v>
      </c>
      <c r="G370" t="s">
        <v>4447</v>
      </c>
      <c r="H370" t="s">
        <v>3704</v>
      </c>
      <c r="I370" t="s">
        <v>3709</v>
      </c>
    </row>
    <row r="371" spans="1:9" x14ac:dyDescent="0.25">
      <c r="A371" t="s">
        <v>1924</v>
      </c>
      <c r="B371" t="s">
        <v>329</v>
      </c>
      <c r="C371" t="s">
        <v>3710</v>
      </c>
      <c r="D371" t="s">
        <v>278</v>
      </c>
      <c r="E371" t="s">
        <v>331</v>
      </c>
      <c r="F371" t="s">
        <v>4448</v>
      </c>
      <c r="G371" t="s">
        <v>4449</v>
      </c>
      <c r="H371" t="s">
        <v>3713</v>
      </c>
      <c r="I371" t="s">
        <v>3714</v>
      </c>
    </row>
    <row r="372" spans="1:9" x14ac:dyDescent="0.25">
      <c r="A372" t="s">
        <v>1926</v>
      </c>
      <c r="B372" t="s">
        <v>329</v>
      </c>
      <c r="C372" t="s">
        <v>3715</v>
      </c>
      <c r="D372" t="s">
        <v>278</v>
      </c>
      <c r="E372" t="s">
        <v>331</v>
      </c>
      <c r="F372" t="s">
        <v>4450</v>
      </c>
      <c r="G372" t="s">
        <v>4451</v>
      </c>
      <c r="H372" t="s">
        <v>3704</v>
      </c>
      <c r="I372" t="s">
        <v>3700</v>
      </c>
    </row>
    <row r="373" spans="1:9" x14ac:dyDescent="0.25">
      <c r="A373" t="s">
        <v>1928</v>
      </c>
      <c r="B373" t="s">
        <v>329</v>
      </c>
      <c r="C373" t="s">
        <v>3718</v>
      </c>
      <c r="D373" t="s">
        <v>278</v>
      </c>
      <c r="E373" t="s">
        <v>331</v>
      </c>
      <c r="F373" t="s">
        <v>4452</v>
      </c>
      <c r="G373" t="s">
        <v>4453</v>
      </c>
      <c r="H373" t="s">
        <v>3713</v>
      </c>
      <c r="I373" t="s">
        <v>3721</v>
      </c>
    </row>
    <row r="374" spans="1:9" x14ac:dyDescent="0.25">
      <c r="A374" t="s">
        <v>1932</v>
      </c>
      <c r="B374" t="s">
        <v>334</v>
      </c>
      <c r="C374" t="s">
        <v>3696</v>
      </c>
      <c r="D374" t="s">
        <v>278</v>
      </c>
      <c r="E374" t="s">
        <v>335</v>
      </c>
      <c r="F374" t="s">
        <v>4454</v>
      </c>
      <c r="G374" t="s">
        <v>4455</v>
      </c>
      <c r="H374" t="s">
        <v>3699</v>
      </c>
      <c r="I374" t="s">
        <v>3700</v>
      </c>
    </row>
    <row r="375" spans="1:9" x14ac:dyDescent="0.25">
      <c r="A375" t="s">
        <v>1937</v>
      </c>
      <c r="B375" t="s">
        <v>334</v>
      </c>
      <c r="C375" t="s">
        <v>3701</v>
      </c>
      <c r="D375" t="s">
        <v>278</v>
      </c>
      <c r="E375" t="s">
        <v>335</v>
      </c>
      <c r="F375" t="s">
        <v>4456</v>
      </c>
      <c r="G375" t="s">
        <v>4457</v>
      </c>
      <c r="H375" t="s">
        <v>3704</v>
      </c>
      <c r="I375" t="s">
        <v>3705</v>
      </c>
    </row>
    <row r="376" spans="1:9" x14ac:dyDescent="0.25">
      <c r="A376" t="s">
        <v>1940</v>
      </c>
      <c r="B376" t="s">
        <v>334</v>
      </c>
      <c r="C376" t="s">
        <v>3706</v>
      </c>
      <c r="D376" t="s">
        <v>278</v>
      </c>
      <c r="E376" t="s">
        <v>335</v>
      </c>
      <c r="F376" t="s">
        <v>4458</v>
      </c>
      <c r="G376" t="s">
        <v>4459</v>
      </c>
      <c r="H376" t="s">
        <v>3704</v>
      </c>
      <c r="I376" t="s">
        <v>3709</v>
      </c>
    </row>
    <row r="377" spans="1:9" x14ac:dyDescent="0.25">
      <c r="A377" t="s">
        <v>1943</v>
      </c>
      <c r="B377" t="s">
        <v>334</v>
      </c>
      <c r="C377" t="s">
        <v>3710</v>
      </c>
      <c r="D377" t="s">
        <v>278</v>
      </c>
      <c r="E377" t="s">
        <v>335</v>
      </c>
      <c r="F377" t="s">
        <v>4460</v>
      </c>
      <c r="G377" t="s">
        <v>4461</v>
      </c>
      <c r="H377" t="s">
        <v>3713</v>
      </c>
      <c r="I377" t="s">
        <v>3714</v>
      </c>
    </row>
    <row r="378" spans="1:9" x14ac:dyDescent="0.25">
      <c r="A378" t="s">
        <v>1945</v>
      </c>
      <c r="B378" t="s">
        <v>334</v>
      </c>
      <c r="C378" t="s">
        <v>3715</v>
      </c>
      <c r="D378" t="s">
        <v>278</v>
      </c>
      <c r="E378" t="s">
        <v>335</v>
      </c>
      <c r="F378" t="s">
        <v>4462</v>
      </c>
      <c r="G378" t="s">
        <v>4463</v>
      </c>
      <c r="H378" t="s">
        <v>3704</v>
      </c>
      <c r="I378" t="s">
        <v>3700</v>
      </c>
    </row>
    <row r="379" spans="1:9" x14ac:dyDescent="0.25">
      <c r="A379" t="s">
        <v>1947</v>
      </c>
      <c r="B379" t="s">
        <v>334</v>
      </c>
      <c r="C379" t="s">
        <v>3718</v>
      </c>
      <c r="D379" t="s">
        <v>278</v>
      </c>
      <c r="E379" t="s">
        <v>335</v>
      </c>
      <c r="F379" t="s">
        <v>4464</v>
      </c>
      <c r="G379" t="s">
        <v>4465</v>
      </c>
      <c r="H379" t="s">
        <v>3713</v>
      </c>
      <c r="I379" t="s">
        <v>3721</v>
      </c>
    </row>
    <row r="380" spans="1:9" x14ac:dyDescent="0.25">
      <c r="A380" t="s">
        <v>1951</v>
      </c>
      <c r="B380" t="s">
        <v>338</v>
      </c>
      <c r="C380" t="s">
        <v>3696</v>
      </c>
      <c r="D380" t="s">
        <v>278</v>
      </c>
      <c r="E380" t="s">
        <v>339</v>
      </c>
      <c r="F380" t="s">
        <v>4466</v>
      </c>
      <c r="G380" t="s">
        <v>4467</v>
      </c>
      <c r="H380" t="s">
        <v>3699</v>
      </c>
      <c r="I380" t="s">
        <v>3700</v>
      </c>
    </row>
    <row r="381" spans="1:9" x14ac:dyDescent="0.25">
      <c r="A381" t="s">
        <v>1956</v>
      </c>
      <c r="B381" t="s">
        <v>338</v>
      </c>
      <c r="C381" t="s">
        <v>3701</v>
      </c>
      <c r="D381" t="s">
        <v>278</v>
      </c>
      <c r="E381" t="s">
        <v>339</v>
      </c>
      <c r="F381" t="s">
        <v>4468</v>
      </c>
      <c r="G381" t="s">
        <v>4469</v>
      </c>
      <c r="H381" t="s">
        <v>3704</v>
      </c>
      <c r="I381" t="s">
        <v>3705</v>
      </c>
    </row>
    <row r="382" spans="1:9" x14ac:dyDescent="0.25">
      <c r="A382" t="s">
        <v>1959</v>
      </c>
      <c r="B382" t="s">
        <v>338</v>
      </c>
      <c r="C382" t="s">
        <v>3706</v>
      </c>
      <c r="D382" t="s">
        <v>278</v>
      </c>
      <c r="E382" t="s">
        <v>339</v>
      </c>
      <c r="F382" t="s">
        <v>4470</v>
      </c>
      <c r="G382" t="s">
        <v>4471</v>
      </c>
      <c r="H382" t="s">
        <v>3704</v>
      </c>
      <c r="I382" t="s">
        <v>3709</v>
      </c>
    </row>
    <row r="383" spans="1:9" x14ac:dyDescent="0.25">
      <c r="A383" t="s">
        <v>1962</v>
      </c>
      <c r="B383" t="s">
        <v>338</v>
      </c>
      <c r="C383" t="s">
        <v>3710</v>
      </c>
      <c r="D383" t="s">
        <v>278</v>
      </c>
      <c r="E383" t="s">
        <v>339</v>
      </c>
      <c r="F383" t="s">
        <v>4472</v>
      </c>
      <c r="G383" t="s">
        <v>4473</v>
      </c>
      <c r="H383" t="s">
        <v>3713</v>
      </c>
      <c r="I383" t="s">
        <v>3714</v>
      </c>
    </row>
    <row r="384" spans="1:9" x14ac:dyDescent="0.25">
      <c r="A384" t="s">
        <v>1964</v>
      </c>
      <c r="B384" t="s">
        <v>338</v>
      </c>
      <c r="C384" t="s">
        <v>3715</v>
      </c>
      <c r="D384" t="s">
        <v>278</v>
      </c>
      <c r="E384" t="s">
        <v>339</v>
      </c>
      <c r="F384" t="s">
        <v>4474</v>
      </c>
      <c r="G384" t="s">
        <v>4475</v>
      </c>
      <c r="H384" t="s">
        <v>3704</v>
      </c>
      <c r="I384" t="s">
        <v>3700</v>
      </c>
    </row>
    <row r="385" spans="1:9" x14ac:dyDescent="0.25">
      <c r="A385" t="s">
        <v>1966</v>
      </c>
      <c r="B385" t="s">
        <v>338</v>
      </c>
      <c r="C385" t="s">
        <v>3718</v>
      </c>
      <c r="D385" t="s">
        <v>278</v>
      </c>
      <c r="E385" t="s">
        <v>339</v>
      </c>
      <c r="F385" t="s">
        <v>4476</v>
      </c>
      <c r="G385" t="s">
        <v>4477</v>
      </c>
      <c r="H385" t="s">
        <v>3713</v>
      </c>
      <c r="I385" t="s">
        <v>3721</v>
      </c>
    </row>
    <row r="386" spans="1:9" x14ac:dyDescent="0.25">
      <c r="A386" t="s">
        <v>1970</v>
      </c>
      <c r="B386" t="s">
        <v>343</v>
      </c>
      <c r="C386" t="s">
        <v>3696</v>
      </c>
      <c r="D386" t="s">
        <v>278</v>
      </c>
      <c r="E386" t="s">
        <v>344</v>
      </c>
      <c r="F386" t="s">
        <v>4478</v>
      </c>
      <c r="G386" t="s">
        <v>4479</v>
      </c>
      <c r="H386" t="s">
        <v>3699</v>
      </c>
      <c r="I386" t="s">
        <v>3700</v>
      </c>
    </row>
    <row r="387" spans="1:9" x14ac:dyDescent="0.25">
      <c r="A387" t="s">
        <v>1976</v>
      </c>
      <c r="B387" t="s">
        <v>343</v>
      </c>
      <c r="C387" t="s">
        <v>3701</v>
      </c>
      <c r="D387" t="s">
        <v>278</v>
      </c>
      <c r="E387" t="s">
        <v>344</v>
      </c>
      <c r="F387" t="s">
        <v>4480</v>
      </c>
      <c r="G387" t="s">
        <v>4481</v>
      </c>
      <c r="H387" t="s">
        <v>3704</v>
      </c>
      <c r="I387" t="s">
        <v>3705</v>
      </c>
    </row>
    <row r="388" spans="1:9" x14ac:dyDescent="0.25">
      <c r="A388" t="s">
        <v>1978</v>
      </c>
      <c r="B388" t="s">
        <v>343</v>
      </c>
      <c r="C388" t="s">
        <v>3706</v>
      </c>
      <c r="D388" t="s">
        <v>278</v>
      </c>
      <c r="E388" t="s">
        <v>344</v>
      </c>
      <c r="F388" t="s">
        <v>4482</v>
      </c>
      <c r="G388" t="s">
        <v>4483</v>
      </c>
      <c r="H388" t="s">
        <v>3704</v>
      </c>
      <c r="I388" t="s">
        <v>3709</v>
      </c>
    </row>
    <row r="389" spans="1:9" x14ac:dyDescent="0.25">
      <c r="A389" t="s">
        <v>1981</v>
      </c>
      <c r="B389" t="s">
        <v>343</v>
      </c>
      <c r="C389" t="s">
        <v>3710</v>
      </c>
      <c r="D389" t="s">
        <v>278</v>
      </c>
      <c r="E389" t="s">
        <v>344</v>
      </c>
      <c r="F389" t="s">
        <v>4484</v>
      </c>
      <c r="G389" t="s">
        <v>4485</v>
      </c>
      <c r="H389" t="s">
        <v>3713</v>
      </c>
      <c r="I389" t="s">
        <v>3714</v>
      </c>
    </row>
    <row r="390" spans="1:9" x14ac:dyDescent="0.25">
      <c r="A390" t="s">
        <v>1983</v>
      </c>
      <c r="B390" t="s">
        <v>343</v>
      </c>
      <c r="C390" t="s">
        <v>3715</v>
      </c>
      <c r="D390" t="s">
        <v>278</v>
      </c>
      <c r="E390" t="s">
        <v>344</v>
      </c>
      <c r="F390" t="s">
        <v>4486</v>
      </c>
      <c r="G390" t="s">
        <v>4487</v>
      </c>
      <c r="H390" t="s">
        <v>3704</v>
      </c>
      <c r="I390" t="s">
        <v>3700</v>
      </c>
    </row>
    <row r="391" spans="1:9" x14ac:dyDescent="0.25">
      <c r="A391" t="s">
        <v>1985</v>
      </c>
      <c r="B391" t="s">
        <v>343</v>
      </c>
      <c r="C391" t="s">
        <v>3718</v>
      </c>
      <c r="D391" t="s">
        <v>278</v>
      </c>
      <c r="E391" t="s">
        <v>344</v>
      </c>
      <c r="F391" t="s">
        <v>4488</v>
      </c>
      <c r="G391" t="s">
        <v>4489</v>
      </c>
      <c r="H391" t="s">
        <v>3713</v>
      </c>
      <c r="I391" t="s">
        <v>3721</v>
      </c>
    </row>
    <row r="392" spans="1:9" x14ac:dyDescent="0.25">
      <c r="A392" t="s">
        <v>1988</v>
      </c>
      <c r="B392" t="s">
        <v>347</v>
      </c>
      <c r="C392" t="s">
        <v>3696</v>
      </c>
      <c r="D392" t="s">
        <v>348</v>
      </c>
      <c r="E392" t="s">
        <v>350</v>
      </c>
      <c r="F392" t="s">
        <v>4490</v>
      </c>
      <c r="G392" t="s">
        <v>4491</v>
      </c>
      <c r="H392" t="s">
        <v>3699</v>
      </c>
      <c r="I392" t="s">
        <v>3700</v>
      </c>
    </row>
    <row r="393" spans="1:9" x14ac:dyDescent="0.25">
      <c r="A393" t="s">
        <v>1994</v>
      </c>
      <c r="B393" t="s">
        <v>347</v>
      </c>
      <c r="C393" t="s">
        <v>3701</v>
      </c>
      <c r="D393" t="s">
        <v>348</v>
      </c>
      <c r="E393" t="s">
        <v>350</v>
      </c>
      <c r="F393" t="s">
        <v>4492</v>
      </c>
      <c r="G393" t="s">
        <v>4493</v>
      </c>
      <c r="H393" t="s">
        <v>3704</v>
      </c>
      <c r="I393" t="s">
        <v>3705</v>
      </c>
    </row>
    <row r="394" spans="1:9" x14ac:dyDescent="0.25">
      <c r="A394" t="s">
        <v>1997</v>
      </c>
      <c r="B394" t="s">
        <v>347</v>
      </c>
      <c r="C394" t="s">
        <v>3706</v>
      </c>
      <c r="D394" t="s">
        <v>348</v>
      </c>
      <c r="E394" t="s">
        <v>350</v>
      </c>
      <c r="F394" t="s">
        <v>4494</v>
      </c>
      <c r="G394" t="s">
        <v>4495</v>
      </c>
      <c r="H394" t="s">
        <v>3704</v>
      </c>
      <c r="I394" t="s">
        <v>3709</v>
      </c>
    </row>
    <row r="395" spans="1:9" x14ac:dyDescent="0.25">
      <c r="A395" t="s">
        <v>2000</v>
      </c>
      <c r="B395" t="s">
        <v>347</v>
      </c>
      <c r="C395" t="s">
        <v>3710</v>
      </c>
      <c r="D395" t="s">
        <v>348</v>
      </c>
      <c r="E395" t="s">
        <v>350</v>
      </c>
      <c r="F395" t="s">
        <v>4496</v>
      </c>
      <c r="G395" t="s">
        <v>4497</v>
      </c>
      <c r="H395" t="s">
        <v>3713</v>
      </c>
      <c r="I395" t="s">
        <v>3714</v>
      </c>
    </row>
    <row r="396" spans="1:9" x14ac:dyDescent="0.25">
      <c r="A396" t="s">
        <v>2002</v>
      </c>
      <c r="B396" t="s">
        <v>347</v>
      </c>
      <c r="C396" t="s">
        <v>3715</v>
      </c>
      <c r="D396" t="s">
        <v>348</v>
      </c>
      <c r="E396" t="s">
        <v>350</v>
      </c>
      <c r="F396" t="s">
        <v>4498</v>
      </c>
      <c r="G396" t="s">
        <v>4499</v>
      </c>
      <c r="H396" t="s">
        <v>3704</v>
      </c>
      <c r="I396" t="s">
        <v>3700</v>
      </c>
    </row>
    <row r="397" spans="1:9" x14ac:dyDescent="0.25">
      <c r="A397" t="s">
        <v>2004</v>
      </c>
      <c r="B397" t="s">
        <v>347</v>
      </c>
      <c r="C397" t="s">
        <v>3718</v>
      </c>
      <c r="D397" t="s">
        <v>348</v>
      </c>
      <c r="E397" t="s">
        <v>350</v>
      </c>
      <c r="F397" t="s">
        <v>4500</v>
      </c>
      <c r="G397" t="s">
        <v>4501</v>
      </c>
      <c r="H397" t="s">
        <v>3713</v>
      </c>
      <c r="I397" t="s">
        <v>3721</v>
      </c>
    </row>
    <row r="398" spans="1:9" x14ac:dyDescent="0.25">
      <c r="A398" t="s">
        <v>2007</v>
      </c>
      <c r="B398" t="s">
        <v>353</v>
      </c>
      <c r="C398" t="s">
        <v>3696</v>
      </c>
      <c r="D398" t="s">
        <v>348</v>
      </c>
      <c r="E398" t="s">
        <v>354</v>
      </c>
      <c r="F398" t="s">
        <v>4502</v>
      </c>
      <c r="G398" t="s">
        <v>4503</v>
      </c>
      <c r="H398" t="s">
        <v>3699</v>
      </c>
      <c r="I398" t="s">
        <v>3700</v>
      </c>
    </row>
    <row r="399" spans="1:9" x14ac:dyDescent="0.25">
      <c r="A399" t="s">
        <v>2013</v>
      </c>
      <c r="B399" t="s">
        <v>353</v>
      </c>
      <c r="C399" t="s">
        <v>3701</v>
      </c>
      <c r="D399" t="s">
        <v>348</v>
      </c>
      <c r="E399" t="s">
        <v>354</v>
      </c>
      <c r="F399" t="s">
        <v>4504</v>
      </c>
      <c r="G399" t="s">
        <v>4505</v>
      </c>
      <c r="H399" t="s">
        <v>3704</v>
      </c>
      <c r="I399" t="s">
        <v>3705</v>
      </c>
    </row>
    <row r="400" spans="1:9" x14ac:dyDescent="0.25">
      <c r="A400" t="s">
        <v>2016</v>
      </c>
      <c r="B400" t="s">
        <v>353</v>
      </c>
      <c r="C400" t="s">
        <v>3706</v>
      </c>
      <c r="D400" t="s">
        <v>348</v>
      </c>
      <c r="E400" t="s">
        <v>354</v>
      </c>
      <c r="F400" t="s">
        <v>4506</v>
      </c>
      <c r="G400" t="s">
        <v>4507</v>
      </c>
      <c r="H400" t="s">
        <v>3704</v>
      </c>
      <c r="I400" t="s">
        <v>3709</v>
      </c>
    </row>
    <row r="401" spans="1:9" x14ac:dyDescent="0.25">
      <c r="A401" t="s">
        <v>2019</v>
      </c>
      <c r="B401" t="s">
        <v>353</v>
      </c>
      <c r="C401" t="s">
        <v>3710</v>
      </c>
      <c r="D401" t="s">
        <v>348</v>
      </c>
      <c r="E401" t="s">
        <v>354</v>
      </c>
      <c r="F401" t="s">
        <v>4508</v>
      </c>
      <c r="G401" t="s">
        <v>4509</v>
      </c>
      <c r="H401" t="s">
        <v>3713</v>
      </c>
      <c r="I401" t="s">
        <v>3714</v>
      </c>
    </row>
    <row r="402" spans="1:9" x14ac:dyDescent="0.25">
      <c r="A402" t="s">
        <v>2021</v>
      </c>
      <c r="B402" t="s">
        <v>353</v>
      </c>
      <c r="C402" t="s">
        <v>3715</v>
      </c>
      <c r="D402" t="s">
        <v>348</v>
      </c>
      <c r="E402" t="s">
        <v>354</v>
      </c>
      <c r="F402" t="s">
        <v>4510</v>
      </c>
      <c r="G402" t="s">
        <v>4511</v>
      </c>
      <c r="H402" t="s">
        <v>3704</v>
      </c>
      <c r="I402" t="s">
        <v>3700</v>
      </c>
    </row>
    <row r="403" spans="1:9" x14ac:dyDescent="0.25">
      <c r="A403" t="s">
        <v>2023</v>
      </c>
      <c r="B403" t="s">
        <v>353</v>
      </c>
      <c r="C403" t="s">
        <v>3718</v>
      </c>
      <c r="D403" t="s">
        <v>348</v>
      </c>
      <c r="E403" t="s">
        <v>354</v>
      </c>
      <c r="F403" t="s">
        <v>4512</v>
      </c>
      <c r="G403" t="s">
        <v>4513</v>
      </c>
      <c r="H403" t="s">
        <v>3713</v>
      </c>
      <c r="I403" t="s">
        <v>3721</v>
      </c>
    </row>
    <row r="404" spans="1:9" x14ac:dyDescent="0.25">
      <c r="A404" t="s">
        <v>2026</v>
      </c>
      <c r="B404" t="s">
        <v>357</v>
      </c>
      <c r="C404" t="s">
        <v>3696</v>
      </c>
      <c r="D404" t="s">
        <v>348</v>
      </c>
      <c r="E404" t="s">
        <v>358</v>
      </c>
      <c r="F404" t="s">
        <v>4514</v>
      </c>
      <c r="G404" t="s">
        <v>4515</v>
      </c>
      <c r="H404" t="s">
        <v>3699</v>
      </c>
      <c r="I404" t="s">
        <v>3700</v>
      </c>
    </row>
    <row r="405" spans="1:9" x14ac:dyDescent="0.25">
      <c r="A405" t="s">
        <v>2032</v>
      </c>
      <c r="B405" t="s">
        <v>357</v>
      </c>
      <c r="C405" t="s">
        <v>3701</v>
      </c>
      <c r="D405" t="s">
        <v>348</v>
      </c>
      <c r="E405" t="s">
        <v>358</v>
      </c>
      <c r="F405" t="s">
        <v>4516</v>
      </c>
      <c r="G405" t="s">
        <v>4517</v>
      </c>
      <c r="H405" t="s">
        <v>3704</v>
      </c>
      <c r="I405" t="s">
        <v>3705</v>
      </c>
    </row>
    <row r="406" spans="1:9" x14ac:dyDescent="0.25">
      <c r="A406" t="s">
        <v>2035</v>
      </c>
      <c r="B406" t="s">
        <v>357</v>
      </c>
      <c r="C406" t="s">
        <v>3706</v>
      </c>
      <c r="D406" t="s">
        <v>348</v>
      </c>
      <c r="E406" t="s">
        <v>358</v>
      </c>
      <c r="F406" t="s">
        <v>4518</v>
      </c>
      <c r="G406" t="s">
        <v>4519</v>
      </c>
      <c r="H406" t="s">
        <v>3704</v>
      </c>
      <c r="I406" t="s">
        <v>3709</v>
      </c>
    </row>
    <row r="407" spans="1:9" x14ac:dyDescent="0.25">
      <c r="A407" t="s">
        <v>2038</v>
      </c>
      <c r="B407" t="s">
        <v>357</v>
      </c>
      <c r="C407" t="s">
        <v>3710</v>
      </c>
      <c r="D407" t="s">
        <v>348</v>
      </c>
      <c r="E407" t="s">
        <v>358</v>
      </c>
      <c r="F407" t="s">
        <v>4520</v>
      </c>
      <c r="G407" t="s">
        <v>4521</v>
      </c>
      <c r="H407" t="s">
        <v>3713</v>
      </c>
      <c r="I407" t="s">
        <v>3714</v>
      </c>
    </row>
    <row r="408" spans="1:9" x14ac:dyDescent="0.25">
      <c r="A408" t="s">
        <v>2040</v>
      </c>
      <c r="B408" t="s">
        <v>357</v>
      </c>
      <c r="C408" t="s">
        <v>3715</v>
      </c>
      <c r="D408" t="s">
        <v>348</v>
      </c>
      <c r="E408" t="s">
        <v>358</v>
      </c>
      <c r="F408" t="s">
        <v>4522</v>
      </c>
      <c r="G408" t="s">
        <v>4523</v>
      </c>
      <c r="H408" t="s">
        <v>3704</v>
      </c>
      <c r="I408" t="s">
        <v>3700</v>
      </c>
    </row>
    <row r="409" spans="1:9" x14ac:dyDescent="0.25">
      <c r="A409" t="s">
        <v>2042</v>
      </c>
      <c r="B409" t="s">
        <v>357</v>
      </c>
      <c r="C409" t="s">
        <v>3718</v>
      </c>
      <c r="D409" t="s">
        <v>348</v>
      </c>
      <c r="E409" t="s">
        <v>358</v>
      </c>
      <c r="F409" t="s">
        <v>4524</v>
      </c>
      <c r="G409" t="s">
        <v>4525</v>
      </c>
      <c r="H409" t="s">
        <v>3713</v>
      </c>
      <c r="I409" t="s">
        <v>3721</v>
      </c>
    </row>
    <row r="410" spans="1:9" x14ac:dyDescent="0.25">
      <c r="A410" t="s">
        <v>2045</v>
      </c>
      <c r="B410" t="s">
        <v>361</v>
      </c>
      <c r="C410" t="s">
        <v>3696</v>
      </c>
      <c r="D410" t="s">
        <v>348</v>
      </c>
      <c r="E410" t="s">
        <v>362</v>
      </c>
      <c r="F410" t="s">
        <v>4526</v>
      </c>
      <c r="G410" t="s">
        <v>4527</v>
      </c>
      <c r="H410" t="s">
        <v>3699</v>
      </c>
      <c r="I410" t="s">
        <v>3700</v>
      </c>
    </row>
    <row r="411" spans="1:9" x14ac:dyDescent="0.25">
      <c r="A411" t="s">
        <v>2051</v>
      </c>
      <c r="B411" t="s">
        <v>361</v>
      </c>
      <c r="C411" t="s">
        <v>3701</v>
      </c>
      <c r="D411" t="s">
        <v>348</v>
      </c>
      <c r="E411" t="s">
        <v>362</v>
      </c>
      <c r="F411" t="s">
        <v>4528</v>
      </c>
      <c r="G411" t="s">
        <v>4529</v>
      </c>
      <c r="H411" t="s">
        <v>3704</v>
      </c>
      <c r="I411" t="s">
        <v>3705</v>
      </c>
    </row>
    <row r="412" spans="1:9" x14ac:dyDescent="0.25">
      <c r="A412" t="s">
        <v>2054</v>
      </c>
      <c r="B412" t="s">
        <v>361</v>
      </c>
      <c r="C412" t="s">
        <v>3706</v>
      </c>
      <c r="D412" t="s">
        <v>348</v>
      </c>
      <c r="E412" t="s">
        <v>362</v>
      </c>
      <c r="F412" t="s">
        <v>4530</v>
      </c>
      <c r="G412" t="s">
        <v>4531</v>
      </c>
      <c r="H412" t="s">
        <v>3704</v>
      </c>
      <c r="I412" t="s">
        <v>3709</v>
      </c>
    </row>
    <row r="413" spans="1:9" x14ac:dyDescent="0.25">
      <c r="A413" t="s">
        <v>2057</v>
      </c>
      <c r="B413" t="s">
        <v>361</v>
      </c>
      <c r="C413" t="s">
        <v>3710</v>
      </c>
      <c r="D413" t="s">
        <v>348</v>
      </c>
      <c r="E413" t="s">
        <v>362</v>
      </c>
      <c r="F413" t="s">
        <v>4532</v>
      </c>
      <c r="G413" t="s">
        <v>4533</v>
      </c>
      <c r="H413" t="s">
        <v>3713</v>
      </c>
      <c r="I413" t="s">
        <v>3714</v>
      </c>
    </row>
    <row r="414" spans="1:9" x14ac:dyDescent="0.25">
      <c r="A414" t="s">
        <v>2059</v>
      </c>
      <c r="B414" t="s">
        <v>361</v>
      </c>
      <c r="C414" t="s">
        <v>3715</v>
      </c>
      <c r="D414" t="s">
        <v>348</v>
      </c>
      <c r="E414" t="s">
        <v>362</v>
      </c>
      <c r="F414" t="s">
        <v>4534</v>
      </c>
      <c r="G414" t="s">
        <v>4535</v>
      </c>
      <c r="H414" t="s">
        <v>3704</v>
      </c>
      <c r="I414" t="s">
        <v>3700</v>
      </c>
    </row>
    <row r="415" spans="1:9" x14ac:dyDescent="0.25">
      <c r="A415" t="s">
        <v>2061</v>
      </c>
      <c r="B415" t="s">
        <v>361</v>
      </c>
      <c r="C415" t="s">
        <v>3718</v>
      </c>
      <c r="D415" t="s">
        <v>348</v>
      </c>
      <c r="E415" t="s">
        <v>362</v>
      </c>
      <c r="F415" t="s">
        <v>4536</v>
      </c>
      <c r="G415" t="s">
        <v>4537</v>
      </c>
      <c r="H415" t="s">
        <v>3713</v>
      </c>
      <c r="I415" t="s">
        <v>3721</v>
      </c>
    </row>
    <row r="416" spans="1:9" x14ac:dyDescent="0.25">
      <c r="A416" t="s">
        <v>2065</v>
      </c>
      <c r="B416" t="s">
        <v>365</v>
      </c>
      <c r="C416" t="s">
        <v>3696</v>
      </c>
      <c r="D416" t="s">
        <v>348</v>
      </c>
      <c r="E416" t="s">
        <v>367</v>
      </c>
      <c r="F416" t="s">
        <v>4538</v>
      </c>
      <c r="G416" t="s">
        <v>4539</v>
      </c>
      <c r="H416" t="s">
        <v>3699</v>
      </c>
      <c r="I416" t="s">
        <v>3700</v>
      </c>
    </row>
    <row r="417" spans="1:9" x14ac:dyDescent="0.25">
      <c r="A417" t="s">
        <v>2071</v>
      </c>
      <c r="B417" t="s">
        <v>365</v>
      </c>
      <c r="C417" t="s">
        <v>3701</v>
      </c>
      <c r="D417" t="s">
        <v>348</v>
      </c>
      <c r="E417" t="s">
        <v>367</v>
      </c>
      <c r="F417" t="s">
        <v>4540</v>
      </c>
      <c r="G417" t="s">
        <v>4541</v>
      </c>
      <c r="H417" t="s">
        <v>3704</v>
      </c>
      <c r="I417" t="s">
        <v>3705</v>
      </c>
    </row>
    <row r="418" spans="1:9" x14ac:dyDescent="0.25">
      <c r="A418" t="s">
        <v>2073</v>
      </c>
      <c r="B418" t="s">
        <v>365</v>
      </c>
      <c r="C418" t="s">
        <v>3706</v>
      </c>
      <c r="D418" t="s">
        <v>348</v>
      </c>
      <c r="E418" t="s">
        <v>367</v>
      </c>
      <c r="F418" t="s">
        <v>4542</v>
      </c>
      <c r="G418" t="s">
        <v>4543</v>
      </c>
      <c r="H418" t="s">
        <v>3704</v>
      </c>
      <c r="I418" t="s">
        <v>3709</v>
      </c>
    </row>
    <row r="419" spans="1:9" x14ac:dyDescent="0.25">
      <c r="A419" t="s">
        <v>2076</v>
      </c>
      <c r="B419" t="s">
        <v>365</v>
      </c>
      <c r="C419" t="s">
        <v>3710</v>
      </c>
      <c r="D419" t="s">
        <v>348</v>
      </c>
      <c r="E419" t="s">
        <v>367</v>
      </c>
      <c r="F419" t="s">
        <v>4544</v>
      </c>
      <c r="G419" t="s">
        <v>4545</v>
      </c>
      <c r="H419" t="s">
        <v>3713</v>
      </c>
      <c r="I419" t="s">
        <v>3714</v>
      </c>
    </row>
    <row r="420" spans="1:9" x14ac:dyDescent="0.25">
      <c r="A420" t="s">
        <v>2078</v>
      </c>
      <c r="B420" t="s">
        <v>365</v>
      </c>
      <c r="C420" t="s">
        <v>3715</v>
      </c>
      <c r="D420" t="s">
        <v>348</v>
      </c>
      <c r="E420" t="s">
        <v>367</v>
      </c>
      <c r="F420" t="s">
        <v>4546</v>
      </c>
      <c r="G420" t="s">
        <v>4547</v>
      </c>
      <c r="H420" t="s">
        <v>3704</v>
      </c>
      <c r="I420" t="s">
        <v>3700</v>
      </c>
    </row>
    <row r="421" spans="1:9" x14ac:dyDescent="0.25">
      <c r="A421" t="s">
        <v>2080</v>
      </c>
      <c r="B421" t="s">
        <v>365</v>
      </c>
      <c r="C421" t="s">
        <v>3718</v>
      </c>
      <c r="D421" t="s">
        <v>348</v>
      </c>
      <c r="E421" t="s">
        <v>367</v>
      </c>
      <c r="F421" t="s">
        <v>4548</v>
      </c>
      <c r="G421" t="s">
        <v>4549</v>
      </c>
      <c r="H421" t="s">
        <v>3713</v>
      </c>
      <c r="I421" t="s">
        <v>3721</v>
      </c>
    </row>
    <row r="422" spans="1:9" x14ac:dyDescent="0.25">
      <c r="A422" t="s">
        <v>2083</v>
      </c>
      <c r="B422" t="s">
        <v>370</v>
      </c>
      <c r="C422" t="s">
        <v>3696</v>
      </c>
      <c r="D422" t="s">
        <v>348</v>
      </c>
      <c r="E422" t="s">
        <v>371</v>
      </c>
      <c r="F422" t="s">
        <v>4550</v>
      </c>
      <c r="G422" t="s">
        <v>4551</v>
      </c>
      <c r="H422" t="s">
        <v>3699</v>
      </c>
      <c r="I422" t="s">
        <v>3700</v>
      </c>
    </row>
    <row r="423" spans="1:9" x14ac:dyDescent="0.25">
      <c r="A423" t="s">
        <v>2089</v>
      </c>
      <c r="B423" t="s">
        <v>370</v>
      </c>
      <c r="C423" t="s">
        <v>3701</v>
      </c>
      <c r="D423" t="s">
        <v>348</v>
      </c>
      <c r="E423" t="s">
        <v>371</v>
      </c>
      <c r="F423" t="s">
        <v>4552</v>
      </c>
      <c r="G423" t="s">
        <v>4553</v>
      </c>
      <c r="H423" t="s">
        <v>3704</v>
      </c>
      <c r="I423" t="s">
        <v>3705</v>
      </c>
    </row>
    <row r="424" spans="1:9" x14ac:dyDescent="0.25">
      <c r="A424" t="s">
        <v>2092</v>
      </c>
      <c r="B424" t="s">
        <v>370</v>
      </c>
      <c r="C424" t="s">
        <v>3706</v>
      </c>
      <c r="D424" t="s">
        <v>348</v>
      </c>
      <c r="E424" t="s">
        <v>371</v>
      </c>
      <c r="F424" t="s">
        <v>4554</v>
      </c>
      <c r="G424" t="s">
        <v>4555</v>
      </c>
      <c r="H424" t="s">
        <v>3704</v>
      </c>
      <c r="I424" t="s">
        <v>3709</v>
      </c>
    </row>
    <row r="425" spans="1:9" x14ac:dyDescent="0.25">
      <c r="A425" t="s">
        <v>2095</v>
      </c>
      <c r="B425" t="s">
        <v>370</v>
      </c>
      <c r="C425" t="s">
        <v>3710</v>
      </c>
      <c r="D425" t="s">
        <v>348</v>
      </c>
      <c r="E425" t="s">
        <v>371</v>
      </c>
      <c r="F425" t="s">
        <v>4556</v>
      </c>
      <c r="G425" t="s">
        <v>4557</v>
      </c>
      <c r="H425" t="s">
        <v>3713</v>
      </c>
      <c r="I425" t="s">
        <v>3714</v>
      </c>
    </row>
    <row r="426" spans="1:9" x14ac:dyDescent="0.25">
      <c r="A426" t="s">
        <v>2097</v>
      </c>
      <c r="B426" t="s">
        <v>370</v>
      </c>
      <c r="C426" t="s">
        <v>3715</v>
      </c>
      <c r="D426" t="s">
        <v>348</v>
      </c>
      <c r="E426" t="s">
        <v>371</v>
      </c>
      <c r="F426" t="s">
        <v>4558</v>
      </c>
      <c r="G426" t="s">
        <v>4559</v>
      </c>
      <c r="H426" t="s">
        <v>3704</v>
      </c>
      <c r="I426" t="s">
        <v>3700</v>
      </c>
    </row>
    <row r="427" spans="1:9" x14ac:dyDescent="0.25">
      <c r="A427" t="s">
        <v>2099</v>
      </c>
      <c r="B427" t="s">
        <v>370</v>
      </c>
      <c r="C427" t="s">
        <v>3718</v>
      </c>
      <c r="D427" t="s">
        <v>348</v>
      </c>
      <c r="E427" t="s">
        <v>371</v>
      </c>
      <c r="F427" t="s">
        <v>4560</v>
      </c>
      <c r="G427" t="s">
        <v>4561</v>
      </c>
      <c r="H427" t="s">
        <v>3713</v>
      </c>
      <c r="I427" t="s">
        <v>3721</v>
      </c>
    </row>
    <row r="428" spans="1:9" x14ac:dyDescent="0.25">
      <c r="A428" t="s">
        <v>2102</v>
      </c>
      <c r="B428" t="s">
        <v>374</v>
      </c>
      <c r="C428" t="s">
        <v>3696</v>
      </c>
      <c r="D428" t="s">
        <v>348</v>
      </c>
      <c r="E428" t="s">
        <v>375</v>
      </c>
      <c r="F428" t="s">
        <v>4562</v>
      </c>
      <c r="G428" t="s">
        <v>4563</v>
      </c>
      <c r="H428" t="s">
        <v>3699</v>
      </c>
      <c r="I428" t="s">
        <v>3700</v>
      </c>
    </row>
    <row r="429" spans="1:9" x14ac:dyDescent="0.25">
      <c r="A429" t="s">
        <v>2108</v>
      </c>
      <c r="B429" t="s">
        <v>374</v>
      </c>
      <c r="C429" t="s">
        <v>3701</v>
      </c>
      <c r="D429" t="s">
        <v>348</v>
      </c>
      <c r="E429" t="s">
        <v>375</v>
      </c>
      <c r="F429" t="s">
        <v>4564</v>
      </c>
      <c r="G429" t="s">
        <v>4565</v>
      </c>
      <c r="H429" t="s">
        <v>3704</v>
      </c>
      <c r="I429" t="s">
        <v>3705</v>
      </c>
    </row>
    <row r="430" spans="1:9" x14ac:dyDescent="0.25">
      <c r="A430" t="s">
        <v>2111</v>
      </c>
      <c r="B430" t="s">
        <v>374</v>
      </c>
      <c r="C430" t="s">
        <v>3706</v>
      </c>
      <c r="D430" t="s">
        <v>348</v>
      </c>
      <c r="E430" t="s">
        <v>375</v>
      </c>
      <c r="F430" t="s">
        <v>4566</v>
      </c>
      <c r="G430" t="s">
        <v>4567</v>
      </c>
      <c r="H430" t="s">
        <v>3704</v>
      </c>
      <c r="I430" t="s">
        <v>3709</v>
      </c>
    </row>
    <row r="431" spans="1:9" x14ac:dyDescent="0.25">
      <c r="A431" t="s">
        <v>2114</v>
      </c>
      <c r="B431" t="s">
        <v>374</v>
      </c>
      <c r="C431" t="s">
        <v>3710</v>
      </c>
      <c r="D431" t="s">
        <v>348</v>
      </c>
      <c r="E431" t="s">
        <v>375</v>
      </c>
      <c r="F431" t="s">
        <v>4568</v>
      </c>
      <c r="G431" t="s">
        <v>4569</v>
      </c>
      <c r="H431" t="s">
        <v>3713</v>
      </c>
      <c r="I431" t="s">
        <v>3714</v>
      </c>
    </row>
    <row r="432" spans="1:9" x14ac:dyDescent="0.25">
      <c r="A432" t="s">
        <v>2116</v>
      </c>
      <c r="B432" t="s">
        <v>374</v>
      </c>
      <c r="C432" t="s">
        <v>3715</v>
      </c>
      <c r="D432" t="s">
        <v>348</v>
      </c>
      <c r="E432" t="s">
        <v>375</v>
      </c>
      <c r="F432" t="s">
        <v>4570</v>
      </c>
      <c r="G432" t="s">
        <v>4571</v>
      </c>
      <c r="H432" t="s">
        <v>3704</v>
      </c>
      <c r="I432" t="s">
        <v>3700</v>
      </c>
    </row>
    <row r="433" spans="1:9" x14ac:dyDescent="0.25">
      <c r="A433" t="s">
        <v>2118</v>
      </c>
      <c r="B433" t="s">
        <v>374</v>
      </c>
      <c r="C433" t="s">
        <v>3718</v>
      </c>
      <c r="D433" t="s">
        <v>348</v>
      </c>
      <c r="E433" t="s">
        <v>375</v>
      </c>
      <c r="F433" t="s">
        <v>4572</v>
      </c>
      <c r="G433" t="s">
        <v>4573</v>
      </c>
      <c r="H433" t="s">
        <v>3713</v>
      </c>
      <c r="I433" t="s">
        <v>3721</v>
      </c>
    </row>
    <row r="434" spans="1:9" x14ac:dyDescent="0.25">
      <c r="A434" t="s">
        <v>2121</v>
      </c>
      <c r="B434" t="s">
        <v>378</v>
      </c>
      <c r="C434" t="s">
        <v>3696</v>
      </c>
      <c r="D434" t="s">
        <v>348</v>
      </c>
      <c r="E434" t="s">
        <v>379</v>
      </c>
      <c r="F434" t="s">
        <v>4574</v>
      </c>
      <c r="G434" t="s">
        <v>4575</v>
      </c>
      <c r="H434" t="s">
        <v>3699</v>
      </c>
      <c r="I434" t="s">
        <v>3700</v>
      </c>
    </row>
    <row r="435" spans="1:9" x14ac:dyDescent="0.25">
      <c r="A435" t="s">
        <v>2127</v>
      </c>
      <c r="B435" t="s">
        <v>378</v>
      </c>
      <c r="C435" t="s">
        <v>3701</v>
      </c>
      <c r="D435" t="s">
        <v>348</v>
      </c>
      <c r="E435" t="s">
        <v>379</v>
      </c>
      <c r="F435" t="s">
        <v>4576</v>
      </c>
      <c r="G435" t="s">
        <v>4577</v>
      </c>
      <c r="H435" t="s">
        <v>3704</v>
      </c>
      <c r="I435" t="s">
        <v>3705</v>
      </c>
    </row>
    <row r="436" spans="1:9" x14ac:dyDescent="0.25">
      <c r="A436" t="s">
        <v>2130</v>
      </c>
      <c r="B436" t="s">
        <v>378</v>
      </c>
      <c r="C436" t="s">
        <v>3706</v>
      </c>
      <c r="D436" t="s">
        <v>348</v>
      </c>
      <c r="E436" t="s">
        <v>379</v>
      </c>
      <c r="F436" t="s">
        <v>4578</v>
      </c>
      <c r="G436" t="s">
        <v>4579</v>
      </c>
      <c r="H436" t="s">
        <v>3704</v>
      </c>
      <c r="I436" t="s">
        <v>3709</v>
      </c>
    </row>
    <row r="437" spans="1:9" x14ac:dyDescent="0.25">
      <c r="A437" t="s">
        <v>2133</v>
      </c>
      <c r="B437" t="s">
        <v>378</v>
      </c>
      <c r="C437" t="s">
        <v>3710</v>
      </c>
      <c r="D437" t="s">
        <v>348</v>
      </c>
      <c r="E437" t="s">
        <v>379</v>
      </c>
      <c r="F437" t="s">
        <v>4580</v>
      </c>
      <c r="G437" t="s">
        <v>4581</v>
      </c>
      <c r="H437" t="s">
        <v>3713</v>
      </c>
      <c r="I437" t="s">
        <v>3714</v>
      </c>
    </row>
    <row r="438" spans="1:9" x14ac:dyDescent="0.25">
      <c r="A438" t="s">
        <v>2135</v>
      </c>
      <c r="B438" t="s">
        <v>378</v>
      </c>
      <c r="C438" t="s">
        <v>3715</v>
      </c>
      <c r="D438" t="s">
        <v>348</v>
      </c>
      <c r="E438" t="s">
        <v>379</v>
      </c>
      <c r="F438" t="s">
        <v>4582</v>
      </c>
      <c r="G438" t="s">
        <v>4583</v>
      </c>
      <c r="H438" t="s">
        <v>3704</v>
      </c>
      <c r="I438" t="s">
        <v>3700</v>
      </c>
    </row>
    <row r="439" spans="1:9" x14ac:dyDescent="0.25">
      <c r="A439" t="s">
        <v>2137</v>
      </c>
      <c r="B439" t="s">
        <v>378</v>
      </c>
      <c r="C439" t="s">
        <v>3718</v>
      </c>
      <c r="D439" t="s">
        <v>348</v>
      </c>
      <c r="E439" t="s">
        <v>379</v>
      </c>
      <c r="F439" t="s">
        <v>4584</v>
      </c>
      <c r="G439" t="s">
        <v>4585</v>
      </c>
      <c r="H439" t="s">
        <v>3713</v>
      </c>
      <c r="I439" t="s">
        <v>3721</v>
      </c>
    </row>
    <row r="440" spans="1:9" x14ac:dyDescent="0.25">
      <c r="A440" t="s">
        <v>2140</v>
      </c>
      <c r="B440" t="s">
        <v>383</v>
      </c>
      <c r="C440" t="s">
        <v>3696</v>
      </c>
      <c r="D440" t="s">
        <v>348</v>
      </c>
      <c r="E440" t="s">
        <v>385</v>
      </c>
      <c r="F440" t="s">
        <v>4586</v>
      </c>
      <c r="G440" t="s">
        <v>4587</v>
      </c>
      <c r="H440" t="s">
        <v>3699</v>
      </c>
      <c r="I440" t="s">
        <v>3700</v>
      </c>
    </row>
    <row r="441" spans="1:9" x14ac:dyDescent="0.25">
      <c r="A441" t="s">
        <v>2146</v>
      </c>
      <c r="B441" t="s">
        <v>383</v>
      </c>
      <c r="C441" t="s">
        <v>3701</v>
      </c>
      <c r="D441" t="s">
        <v>348</v>
      </c>
      <c r="E441" t="s">
        <v>385</v>
      </c>
      <c r="F441" t="s">
        <v>4588</v>
      </c>
      <c r="G441" t="s">
        <v>4589</v>
      </c>
      <c r="H441" t="s">
        <v>3704</v>
      </c>
      <c r="I441" t="s">
        <v>3705</v>
      </c>
    </row>
    <row r="442" spans="1:9" x14ac:dyDescent="0.25">
      <c r="A442" t="s">
        <v>2149</v>
      </c>
      <c r="B442" t="s">
        <v>383</v>
      </c>
      <c r="C442" t="s">
        <v>3706</v>
      </c>
      <c r="D442" t="s">
        <v>348</v>
      </c>
      <c r="E442" t="s">
        <v>385</v>
      </c>
      <c r="F442" t="s">
        <v>4590</v>
      </c>
      <c r="G442" t="s">
        <v>4591</v>
      </c>
      <c r="H442" t="s">
        <v>3704</v>
      </c>
      <c r="I442" t="s">
        <v>3709</v>
      </c>
    </row>
    <row r="443" spans="1:9" x14ac:dyDescent="0.25">
      <c r="A443" t="s">
        <v>2152</v>
      </c>
      <c r="B443" t="s">
        <v>383</v>
      </c>
      <c r="C443" t="s">
        <v>3710</v>
      </c>
      <c r="D443" t="s">
        <v>348</v>
      </c>
      <c r="E443" t="s">
        <v>385</v>
      </c>
      <c r="F443" t="s">
        <v>4592</v>
      </c>
      <c r="G443" t="s">
        <v>4593</v>
      </c>
      <c r="H443" t="s">
        <v>3713</v>
      </c>
      <c r="I443" t="s">
        <v>3714</v>
      </c>
    </row>
    <row r="444" spans="1:9" x14ac:dyDescent="0.25">
      <c r="A444" t="s">
        <v>2154</v>
      </c>
      <c r="B444" t="s">
        <v>383</v>
      </c>
      <c r="C444" t="s">
        <v>3715</v>
      </c>
      <c r="D444" t="s">
        <v>348</v>
      </c>
      <c r="E444" t="s">
        <v>385</v>
      </c>
      <c r="F444" t="s">
        <v>4594</v>
      </c>
      <c r="G444" t="s">
        <v>4595</v>
      </c>
      <c r="H444" t="s">
        <v>3704</v>
      </c>
      <c r="I444" t="s">
        <v>3700</v>
      </c>
    </row>
    <row r="445" spans="1:9" x14ac:dyDescent="0.25">
      <c r="A445" t="s">
        <v>2156</v>
      </c>
      <c r="B445" t="s">
        <v>383</v>
      </c>
      <c r="C445" t="s">
        <v>3718</v>
      </c>
      <c r="D445" t="s">
        <v>348</v>
      </c>
      <c r="E445" t="s">
        <v>385</v>
      </c>
      <c r="F445" t="s">
        <v>4596</v>
      </c>
      <c r="G445" t="s">
        <v>4597</v>
      </c>
      <c r="H445" t="s">
        <v>3713</v>
      </c>
      <c r="I445" t="s">
        <v>3721</v>
      </c>
    </row>
    <row r="446" spans="1:9" x14ac:dyDescent="0.25">
      <c r="A446" t="s">
        <v>2159</v>
      </c>
      <c r="B446" t="s">
        <v>388</v>
      </c>
      <c r="C446" t="s">
        <v>3696</v>
      </c>
      <c r="D446" t="s">
        <v>348</v>
      </c>
      <c r="E446" t="s">
        <v>389</v>
      </c>
      <c r="F446" t="s">
        <v>4598</v>
      </c>
      <c r="G446" t="s">
        <v>4599</v>
      </c>
      <c r="H446" t="s">
        <v>3699</v>
      </c>
      <c r="I446" t="s">
        <v>3700</v>
      </c>
    </row>
    <row r="447" spans="1:9" x14ac:dyDescent="0.25">
      <c r="A447" t="s">
        <v>2165</v>
      </c>
      <c r="B447" t="s">
        <v>388</v>
      </c>
      <c r="C447" t="s">
        <v>3701</v>
      </c>
      <c r="D447" t="s">
        <v>348</v>
      </c>
      <c r="E447" t="s">
        <v>389</v>
      </c>
      <c r="F447" t="s">
        <v>4600</v>
      </c>
      <c r="G447" t="s">
        <v>4601</v>
      </c>
      <c r="H447" t="s">
        <v>3704</v>
      </c>
      <c r="I447" t="s">
        <v>3705</v>
      </c>
    </row>
    <row r="448" spans="1:9" x14ac:dyDescent="0.25">
      <c r="A448" t="s">
        <v>2168</v>
      </c>
      <c r="B448" t="s">
        <v>388</v>
      </c>
      <c r="C448" t="s">
        <v>3706</v>
      </c>
      <c r="D448" t="s">
        <v>348</v>
      </c>
      <c r="E448" t="s">
        <v>389</v>
      </c>
      <c r="F448" t="s">
        <v>4602</v>
      </c>
      <c r="G448" t="s">
        <v>4603</v>
      </c>
      <c r="H448" t="s">
        <v>3704</v>
      </c>
      <c r="I448" t="s">
        <v>3709</v>
      </c>
    </row>
    <row r="449" spans="1:9" x14ac:dyDescent="0.25">
      <c r="A449" t="s">
        <v>2171</v>
      </c>
      <c r="B449" t="s">
        <v>388</v>
      </c>
      <c r="C449" t="s">
        <v>3710</v>
      </c>
      <c r="D449" t="s">
        <v>348</v>
      </c>
      <c r="E449" t="s">
        <v>389</v>
      </c>
      <c r="F449" t="s">
        <v>4604</v>
      </c>
      <c r="G449" t="s">
        <v>4605</v>
      </c>
      <c r="H449" t="s">
        <v>3713</v>
      </c>
      <c r="I449" t="s">
        <v>3714</v>
      </c>
    </row>
    <row r="450" spans="1:9" x14ac:dyDescent="0.25">
      <c r="A450" t="s">
        <v>2173</v>
      </c>
      <c r="B450" t="s">
        <v>388</v>
      </c>
      <c r="C450" t="s">
        <v>3715</v>
      </c>
      <c r="D450" t="s">
        <v>348</v>
      </c>
      <c r="E450" t="s">
        <v>389</v>
      </c>
      <c r="F450" t="s">
        <v>4606</v>
      </c>
      <c r="G450" t="s">
        <v>4607</v>
      </c>
      <c r="H450" t="s">
        <v>3704</v>
      </c>
      <c r="I450" t="s">
        <v>3700</v>
      </c>
    </row>
    <row r="451" spans="1:9" x14ac:dyDescent="0.25">
      <c r="A451" t="s">
        <v>2175</v>
      </c>
      <c r="B451" t="s">
        <v>388</v>
      </c>
      <c r="C451" t="s">
        <v>3718</v>
      </c>
      <c r="D451" t="s">
        <v>348</v>
      </c>
      <c r="E451" t="s">
        <v>389</v>
      </c>
      <c r="F451" t="s">
        <v>4608</v>
      </c>
      <c r="G451" t="s">
        <v>4609</v>
      </c>
      <c r="H451" t="s">
        <v>3713</v>
      </c>
      <c r="I451" t="s">
        <v>3721</v>
      </c>
    </row>
    <row r="452" spans="1:9" x14ac:dyDescent="0.25">
      <c r="A452" t="s">
        <v>2178</v>
      </c>
      <c r="B452" t="s">
        <v>392</v>
      </c>
      <c r="C452" t="s">
        <v>3696</v>
      </c>
      <c r="D452" t="s">
        <v>348</v>
      </c>
      <c r="E452" t="s">
        <v>393</v>
      </c>
      <c r="F452" t="s">
        <v>4610</v>
      </c>
      <c r="G452" t="s">
        <v>4611</v>
      </c>
      <c r="H452" t="s">
        <v>3699</v>
      </c>
      <c r="I452" t="s">
        <v>3700</v>
      </c>
    </row>
    <row r="453" spans="1:9" x14ac:dyDescent="0.25">
      <c r="A453" t="s">
        <v>2184</v>
      </c>
      <c r="B453" t="s">
        <v>392</v>
      </c>
      <c r="C453" t="s">
        <v>3701</v>
      </c>
      <c r="D453" t="s">
        <v>348</v>
      </c>
      <c r="E453" t="s">
        <v>393</v>
      </c>
      <c r="F453" t="s">
        <v>4612</v>
      </c>
      <c r="G453" t="s">
        <v>4613</v>
      </c>
      <c r="H453" t="s">
        <v>3704</v>
      </c>
      <c r="I453" t="s">
        <v>3705</v>
      </c>
    </row>
    <row r="454" spans="1:9" x14ac:dyDescent="0.25">
      <c r="A454" t="s">
        <v>2187</v>
      </c>
      <c r="B454" t="s">
        <v>392</v>
      </c>
      <c r="C454" t="s">
        <v>3706</v>
      </c>
      <c r="D454" t="s">
        <v>348</v>
      </c>
      <c r="E454" t="s">
        <v>393</v>
      </c>
      <c r="F454" t="s">
        <v>4614</v>
      </c>
      <c r="G454" t="s">
        <v>4615</v>
      </c>
      <c r="H454" t="s">
        <v>3704</v>
      </c>
      <c r="I454" t="s">
        <v>3709</v>
      </c>
    </row>
    <row r="455" spans="1:9" x14ac:dyDescent="0.25">
      <c r="A455" t="s">
        <v>2190</v>
      </c>
      <c r="B455" t="s">
        <v>392</v>
      </c>
      <c r="C455" t="s">
        <v>3710</v>
      </c>
      <c r="D455" t="s">
        <v>348</v>
      </c>
      <c r="E455" t="s">
        <v>393</v>
      </c>
      <c r="F455" t="s">
        <v>4616</v>
      </c>
      <c r="G455" t="s">
        <v>4617</v>
      </c>
      <c r="H455" t="s">
        <v>3713</v>
      </c>
      <c r="I455" t="s">
        <v>3714</v>
      </c>
    </row>
    <row r="456" spans="1:9" x14ac:dyDescent="0.25">
      <c r="A456" t="s">
        <v>2192</v>
      </c>
      <c r="B456" t="s">
        <v>392</v>
      </c>
      <c r="C456" t="s">
        <v>3715</v>
      </c>
      <c r="D456" t="s">
        <v>348</v>
      </c>
      <c r="E456" t="s">
        <v>393</v>
      </c>
      <c r="F456" t="s">
        <v>4618</v>
      </c>
      <c r="G456" t="s">
        <v>4619</v>
      </c>
      <c r="H456" t="s">
        <v>3704</v>
      </c>
      <c r="I456" t="s">
        <v>3700</v>
      </c>
    </row>
    <row r="457" spans="1:9" x14ac:dyDescent="0.25">
      <c r="A457" t="s">
        <v>2194</v>
      </c>
      <c r="B457" t="s">
        <v>392</v>
      </c>
      <c r="C457" t="s">
        <v>3718</v>
      </c>
      <c r="D457" t="s">
        <v>348</v>
      </c>
      <c r="E457" t="s">
        <v>393</v>
      </c>
      <c r="F457" t="s">
        <v>4620</v>
      </c>
      <c r="G457" t="s">
        <v>4621</v>
      </c>
      <c r="H457" t="s">
        <v>3713</v>
      </c>
      <c r="I457" t="s">
        <v>3721</v>
      </c>
    </row>
    <row r="458" spans="1:9" x14ac:dyDescent="0.25">
      <c r="A458" t="s">
        <v>2197</v>
      </c>
      <c r="B458" t="s">
        <v>396</v>
      </c>
      <c r="C458" t="s">
        <v>3696</v>
      </c>
      <c r="D458" t="s">
        <v>348</v>
      </c>
      <c r="E458" t="s">
        <v>397</v>
      </c>
      <c r="F458" t="s">
        <v>4622</v>
      </c>
      <c r="G458" t="s">
        <v>4623</v>
      </c>
      <c r="H458" t="s">
        <v>3699</v>
      </c>
      <c r="I458" t="s">
        <v>3700</v>
      </c>
    </row>
    <row r="459" spans="1:9" x14ac:dyDescent="0.25">
      <c r="A459" t="s">
        <v>2203</v>
      </c>
      <c r="B459" t="s">
        <v>396</v>
      </c>
      <c r="C459" t="s">
        <v>3701</v>
      </c>
      <c r="D459" t="s">
        <v>348</v>
      </c>
      <c r="E459" t="s">
        <v>397</v>
      </c>
      <c r="F459" t="s">
        <v>4624</v>
      </c>
      <c r="G459" t="s">
        <v>4625</v>
      </c>
      <c r="H459" t="s">
        <v>3704</v>
      </c>
      <c r="I459" t="s">
        <v>3705</v>
      </c>
    </row>
    <row r="460" spans="1:9" x14ac:dyDescent="0.25">
      <c r="A460" t="s">
        <v>2206</v>
      </c>
      <c r="B460" t="s">
        <v>396</v>
      </c>
      <c r="C460" t="s">
        <v>3706</v>
      </c>
      <c r="D460" t="s">
        <v>348</v>
      </c>
      <c r="E460" t="s">
        <v>397</v>
      </c>
      <c r="F460" t="s">
        <v>4626</v>
      </c>
      <c r="G460" t="s">
        <v>4627</v>
      </c>
      <c r="H460" t="s">
        <v>3704</v>
      </c>
      <c r="I460" t="s">
        <v>3709</v>
      </c>
    </row>
    <row r="461" spans="1:9" x14ac:dyDescent="0.25">
      <c r="A461" t="s">
        <v>2209</v>
      </c>
      <c r="B461" t="s">
        <v>396</v>
      </c>
      <c r="C461" t="s">
        <v>3710</v>
      </c>
      <c r="D461" t="s">
        <v>348</v>
      </c>
      <c r="E461" t="s">
        <v>397</v>
      </c>
      <c r="F461" t="s">
        <v>4628</v>
      </c>
      <c r="G461" t="s">
        <v>4629</v>
      </c>
      <c r="H461" t="s">
        <v>3713</v>
      </c>
      <c r="I461" t="s">
        <v>3714</v>
      </c>
    </row>
    <row r="462" spans="1:9" x14ac:dyDescent="0.25">
      <c r="A462" t="s">
        <v>2211</v>
      </c>
      <c r="B462" t="s">
        <v>396</v>
      </c>
      <c r="C462" t="s">
        <v>3715</v>
      </c>
      <c r="D462" t="s">
        <v>348</v>
      </c>
      <c r="E462" t="s">
        <v>397</v>
      </c>
      <c r="F462" t="s">
        <v>4630</v>
      </c>
      <c r="G462" t="s">
        <v>4631</v>
      </c>
      <c r="H462" t="s">
        <v>3704</v>
      </c>
      <c r="I462" t="s">
        <v>3700</v>
      </c>
    </row>
    <row r="463" spans="1:9" x14ac:dyDescent="0.25">
      <c r="A463" t="s">
        <v>2213</v>
      </c>
      <c r="B463" t="s">
        <v>396</v>
      </c>
      <c r="C463" t="s">
        <v>3718</v>
      </c>
      <c r="D463" t="s">
        <v>348</v>
      </c>
      <c r="E463" t="s">
        <v>397</v>
      </c>
      <c r="F463" t="s">
        <v>4632</v>
      </c>
      <c r="G463" t="s">
        <v>4633</v>
      </c>
      <c r="H463" t="s">
        <v>3713</v>
      </c>
      <c r="I463" t="s">
        <v>3721</v>
      </c>
    </row>
    <row r="464" spans="1:9" x14ac:dyDescent="0.25">
      <c r="A464" t="s">
        <v>2217</v>
      </c>
      <c r="B464" t="s">
        <v>400</v>
      </c>
      <c r="C464" t="s">
        <v>3696</v>
      </c>
      <c r="D464" t="s">
        <v>348</v>
      </c>
      <c r="E464" t="s">
        <v>402</v>
      </c>
      <c r="F464" t="s">
        <v>4634</v>
      </c>
      <c r="G464" t="s">
        <v>4635</v>
      </c>
      <c r="H464" t="s">
        <v>3699</v>
      </c>
      <c r="I464" t="s">
        <v>3700</v>
      </c>
    </row>
    <row r="465" spans="1:9" x14ac:dyDescent="0.25">
      <c r="A465" t="s">
        <v>2223</v>
      </c>
      <c r="B465" t="s">
        <v>400</v>
      </c>
      <c r="C465" t="s">
        <v>3701</v>
      </c>
      <c r="D465" t="s">
        <v>348</v>
      </c>
      <c r="E465" t="s">
        <v>402</v>
      </c>
      <c r="F465" t="s">
        <v>4636</v>
      </c>
      <c r="G465" t="s">
        <v>4637</v>
      </c>
      <c r="H465" t="s">
        <v>3704</v>
      </c>
      <c r="I465" t="s">
        <v>3705</v>
      </c>
    </row>
    <row r="466" spans="1:9" x14ac:dyDescent="0.25">
      <c r="A466" t="s">
        <v>2226</v>
      </c>
      <c r="B466" t="s">
        <v>400</v>
      </c>
      <c r="C466" t="s">
        <v>3706</v>
      </c>
      <c r="D466" t="s">
        <v>348</v>
      </c>
      <c r="E466" t="s">
        <v>402</v>
      </c>
      <c r="F466" t="s">
        <v>4638</v>
      </c>
      <c r="G466" t="s">
        <v>4639</v>
      </c>
      <c r="H466" t="s">
        <v>3704</v>
      </c>
      <c r="I466" t="s">
        <v>3709</v>
      </c>
    </row>
    <row r="467" spans="1:9" x14ac:dyDescent="0.25">
      <c r="A467" t="s">
        <v>2228</v>
      </c>
      <c r="B467" t="s">
        <v>400</v>
      </c>
      <c r="C467" t="s">
        <v>3710</v>
      </c>
      <c r="D467" t="s">
        <v>348</v>
      </c>
      <c r="E467" t="s">
        <v>402</v>
      </c>
      <c r="F467" t="s">
        <v>4640</v>
      </c>
      <c r="G467" t="s">
        <v>4641</v>
      </c>
      <c r="H467" t="s">
        <v>3713</v>
      </c>
      <c r="I467" t="s">
        <v>3714</v>
      </c>
    </row>
    <row r="468" spans="1:9" x14ac:dyDescent="0.25">
      <c r="A468" t="s">
        <v>2230</v>
      </c>
      <c r="B468" t="s">
        <v>400</v>
      </c>
      <c r="C468" t="s">
        <v>3715</v>
      </c>
      <c r="D468" t="s">
        <v>348</v>
      </c>
      <c r="E468" t="s">
        <v>402</v>
      </c>
      <c r="F468" t="s">
        <v>4642</v>
      </c>
      <c r="G468" t="s">
        <v>4643</v>
      </c>
      <c r="H468" t="s">
        <v>3704</v>
      </c>
      <c r="I468" t="s">
        <v>3700</v>
      </c>
    </row>
    <row r="469" spans="1:9" x14ac:dyDescent="0.25">
      <c r="A469" t="s">
        <v>2232</v>
      </c>
      <c r="B469" t="s">
        <v>400</v>
      </c>
      <c r="C469" t="s">
        <v>3718</v>
      </c>
      <c r="D469" t="s">
        <v>348</v>
      </c>
      <c r="E469" t="s">
        <v>402</v>
      </c>
      <c r="F469" t="s">
        <v>4644</v>
      </c>
      <c r="G469" t="s">
        <v>4645</v>
      </c>
      <c r="H469" t="s">
        <v>3713</v>
      </c>
      <c r="I469" t="s">
        <v>3721</v>
      </c>
    </row>
    <row r="470" spans="1:9" x14ac:dyDescent="0.25">
      <c r="A470" t="s">
        <v>2236</v>
      </c>
      <c r="B470" t="s">
        <v>405</v>
      </c>
      <c r="C470" t="s">
        <v>3696</v>
      </c>
      <c r="D470" t="s">
        <v>348</v>
      </c>
      <c r="E470" t="s">
        <v>406</v>
      </c>
      <c r="F470" t="s">
        <v>4646</v>
      </c>
      <c r="G470" t="s">
        <v>4647</v>
      </c>
      <c r="H470" t="s">
        <v>3699</v>
      </c>
      <c r="I470" t="s">
        <v>3700</v>
      </c>
    </row>
    <row r="471" spans="1:9" x14ac:dyDescent="0.25">
      <c r="A471" t="s">
        <v>2241</v>
      </c>
      <c r="B471" t="s">
        <v>405</v>
      </c>
      <c r="C471" t="s">
        <v>3701</v>
      </c>
      <c r="D471" t="s">
        <v>348</v>
      </c>
      <c r="E471" t="s">
        <v>406</v>
      </c>
      <c r="F471" t="s">
        <v>4648</v>
      </c>
      <c r="G471" t="s">
        <v>4649</v>
      </c>
      <c r="H471" t="s">
        <v>3704</v>
      </c>
      <c r="I471" t="s">
        <v>3705</v>
      </c>
    </row>
    <row r="472" spans="1:9" x14ac:dyDescent="0.25">
      <c r="A472" t="s">
        <v>2244</v>
      </c>
      <c r="B472" t="s">
        <v>405</v>
      </c>
      <c r="C472" t="s">
        <v>3706</v>
      </c>
      <c r="D472" t="s">
        <v>348</v>
      </c>
      <c r="E472" t="s">
        <v>406</v>
      </c>
      <c r="F472" t="s">
        <v>4650</v>
      </c>
      <c r="G472" t="s">
        <v>4651</v>
      </c>
      <c r="H472" t="s">
        <v>3704</v>
      </c>
      <c r="I472" t="s">
        <v>3709</v>
      </c>
    </row>
    <row r="473" spans="1:9" x14ac:dyDescent="0.25">
      <c r="A473" t="s">
        <v>2247</v>
      </c>
      <c r="B473" t="s">
        <v>405</v>
      </c>
      <c r="C473" t="s">
        <v>3710</v>
      </c>
      <c r="D473" t="s">
        <v>348</v>
      </c>
      <c r="E473" t="s">
        <v>406</v>
      </c>
      <c r="F473" t="s">
        <v>4652</v>
      </c>
      <c r="G473" t="s">
        <v>4653</v>
      </c>
      <c r="H473" t="s">
        <v>3713</v>
      </c>
      <c r="I473" t="s">
        <v>3714</v>
      </c>
    </row>
    <row r="474" spans="1:9" x14ac:dyDescent="0.25">
      <c r="A474" t="s">
        <v>2249</v>
      </c>
      <c r="B474" t="s">
        <v>405</v>
      </c>
      <c r="C474" t="s">
        <v>3715</v>
      </c>
      <c r="D474" t="s">
        <v>348</v>
      </c>
      <c r="E474" t="s">
        <v>406</v>
      </c>
      <c r="F474" t="s">
        <v>4654</v>
      </c>
      <c r="G474" t="s">
        <v>4655</v>
      </c>
      <c r="H474" t="s">
        <v>3704</v>
      </c>
      <c r="I474" t="s">
        <v>3700</v>
      </c>
    </row>
    <row r="475" spans="1:9" x14ac:dyDescent="0.25">
      <c r="A475" t="s">
        <v>2251</v>
      </c>
      <c r="B475" t="s">
        <v>405</v>
      </c>
      <c r="C475" t="s">
        <v>3718</v>
      </c>
      <c r="D475" t="s">
        <v>348</v>
      </c>
      <c r="E475" t="s">
        <v>406</v>
      </c>
      <c r="F475" t="s">
        <v>4656</v>
      </c>
      <c r="G475" t="s">
        <v>4657</v>
      </c>
      <c r="H475" t="s">
        <v>3713</v>
      </c>
      <c r="I475" t="s">
        <v>3721</v>
      </c>
    </row>
    <row r="476" spans="1:9" x14ac:dyDescent="0.25">
      <c r="A476" t="s">
        <v>2255</v>
      </c>
      <c r="B476" t="s">
        <v>409</v>
      </c>
      <c r="C476" t="s">
        <v>3696</v>
      </c>
      <c r="D476" t="s">
        <v>348</v>
      </c>
      <c r="E476" t="s">
        <v>410</v>
      </c>
      <c r="F476" t="s">
        <v>4658</v>
      </c>
      <c r="G476" t="s">
        <v>4659</v>
      </c>
      <c r="H476" t="s">
        <v>3699</v>
      </c>
      <c r="I476" t="s">
        <v>3700</v>
      </c>
    </row>
    <row r="477" spans="1:9" x14ac:dyDescent="0.25">
      <c r="A477" t="s">
        <v>2260</v>
      </c>
      <c r="B477" t="s">
        <v>409</v>
      </c>
      <c r="C477" t="s">
        <v>3701</v>
      </c>
      <c r="D477" t="s">
        <v>348</v>
      </c>
      <c r="E477" t="s">
        <v>410</v>
      </c>
      <c r="F477" t="s">
        <v>4660</v>
      </c>
      <c r="G477" t="s">
        <v>4661</v>
      </c>
      <c r="H477" t="s">
        <v>3704</v>
      </c>
      <c r="I477" t="s">
        <v>3705</v>
      </c>
    </row>
    <row r="478" spans="1:9" x14ac:dyDescent="0.25">
      <c r="A478" t="s">
        <v>2263</v>
      </c>
      <c r="B478" t="s">
        <v>409</v>
      </c>
      <c r="C478" t="s">
        <v>3706</v>
      </c>
      <c r="D478" t="s">
        <v>348</v>
      </c>
      <c r="E478" t="s">
        <v>410</v>
      </c>
      <c r="F478" t="s">
        <v>4662</v>
      </c>
      <c r="G478" t="s">
        <v>4663</v>
      </c>
      <c r="H478" t="s">
        <v>3704</v>
      </c>
      <c r="I478" t="s">
        <v>3709</v>
      </c>
    </row>
    <row r="479" spans="1:9" x14ac:dyDescent="0.25">
      <c r="A479" t="s">
        <v>2266</v>
      </c>
      <c r="B479" t="s">
        <v>409</v>
      </c>
      <c r="C479" t="s">
        <v>3710</v>
      </c>
      <c r="D479" t="s">
        <v>348</v>
      </c>
      <c r="E479" t="s">
        <v>410</v>
      </c>
      <c r="F479" t="s">
        <v>4664</v>
      </c>
      <c r="G479" t="s">
        <v>4665</v>
      </c>
      <c r="H479" t="s">
        <v>3713</v>
      </c>
      <c r="I479" t="s">
        <v>3714</v>
      </c>
    </row>
    <row r="480" spans="1:9" x14ac:dyDescent="0.25">
      <c r="A480" t="s">
        <v>2268</v>
      </c>
      <c r="B480" t="s">
        <v>409</v>
      </c>
      <c r="C480" t="s">
        <v>3715</v>
      </c>
      <c r="D480" t="s">
        <v>348</v>
      </c>
      <c r="E480" t="s">
        <v>410</v>
      </c>
      <c r="F480" t="s">
        <v>4666</v>
      </c>
      <c r="G480" t="s">
        <v>4667</v>
      </c>
      <c r="H480" t="s">
        <v>3704</v>
      </c>
      <c r="I480" t="s">
        <v>3700</v>
      </c>
    </row>
    <row r="481" spans="1:9" x14ac:dyDescent="0.25">
      <c r="A481" t="s">
        <v>2270</v>
      </c>
      <c r="B481" t="s">
        <v>409</v>
      </c>
      <c r="C481" t="s">
        <v>3718</v>
      </c>
      <c r="D481" t="s">
        <v>348</v>
      </c>
      <c r="E481" t="s">
        <v>410</v>
      </c>
      <c r="F481" t="s">
        <v>4668</v>
      </c>
      <c r="G481" t="s">
        <v>4669</v>
      </c>
      <c r="H481" t="s">
        <v>3713</v>
      </c>
      <c r="I481" t="s">
        <v>3721</v>
      </c>
    </row>
    <row r="482" spans="1:9" x14ac:dyDescent="0.25">
      <c r="A482" t="s">
        <v>2273</v>
      </c>
      <c r="B482" t="s">
        <v>413</v>
      </c>
      <c r="C482" t="s">
        <v>3696</v>
      </c>
      <c r="D482" t="s">
        <v>414</v>
      </c>
      <c r="E482" t="s">
        <v>416</v>
      </c>
      <c r="F482" t="s">
        <v>4670</v>
      </c>
      <c r="G482" t="s">
        <v>4671</v>
      </c>
      <c r="H482" t="s">
        <v>3699</v>
      </c>
      <c r="I482" t="s">
        <v>3700</v>
      </c>
    </row>
    <row r="483" spans="1:9" x14ac:dyDescent="0.25">
      <c r="A483" t="s">
        <v>2279</v>
      </c>
      <c r="B483" t="s">
        <v>413</v>
      </c>
      <c r="C483" t="s">
        <v>3701</v>
      </c>
      <c r="D483" t="s">
        <v>414</v>
      </c>
      <c r="E483" t="s">
        <v>416</v>
      </c>
      <c r="F483" t="s">
        <v>4672</v>
      </c>
      <c r="G483" t="s">
        <v>4673</v>
      </c>
      <c r="H483" t="s">
        <v>3704</v>
      </c>
      <c r="I483" t="s">
        <v>3705</v>
      </c>
    </row>
    <row r="484" spans="1:9" x14ac:dyDescent="0.25">
      <c r="A484" t="s">
        <v>2282</v>
      </c>
      <c r="B484" t="s">
        <v>413</v>
      </c>
      <c r="C484" t="s">
        <v>3706</v>
      </c>
      <c r="D484" t="s">
        <v>414</v>
      </c>
      <c r="E484" t="s">
        <v>416</v>
      </c>
      <c r="F484" t="s">
        <v>4674</v>
      </c>
      <c r="G484" t="s">
        <v>4675</v>
      </c>
      <c r="H484" t="s">
        <v>3704</v>
      </c>
      <c r="I484" t="s">
        <v>3709</v>
      </c>
    </row>
    <row r="485" spans="1:9" x14ac:dyDescent="0.25">
      <c r="A485" t="s">
        <v>2285</v>
      </c>
      <c r="B485" t="s">
        <v>413</v>
      </c>
      <c r="C485" t="s">
        <v>3710</v>
      </c>
      <c r="D485" t="s">
        <v>414</v>
      </c>
      <c r="E485" t="s">
        <v>416</v>
      </c>
      <c r="F485" t="s">
        <v>4676</v>
      </c>
      <c r="G485" t="s">
        <v>4677</v>
      </c>
      <c r="H485" t="s">
        <v>3713</v>
      </c>
      <c r="I485" t="s">
        <v>3714</v>
      </c>
    </row>
    <row r="486" spans="1:9" x14ac:dyDescent="0.25">
      <c r="A486" t="s">
        <v>2287</v>
      </c>
      <c r="B486" t="s">
        <v>413</v>
      </c>
      <c r="C486" t="s">
        <v>3715</v>
      </c>
      <c r="D486" t="s">
        <v>414</v>
      </c>
      <c r="E486" t="s">
        <v>416</v>
      </c>
      <c r="F486" t="s">
        <v>4678</v>
      </c>
      <c r="G486" t="s">
        <v>4679</v>
      </c>
      <c r="H486" t="s">
        <v>3704</v>
      </c>
      <c r="I486" t="s">
        <v>3700</v>
      </c>
    </row>
    <row r="487" spans="1:9" x14ac:dyDescent="0.25">
      <c r="A487" t="s">
        <v>2289</v>
      </c>
      <c r="B487" t="s">
        <v>413</v>
      </c>
      <c r="C487" t="s">
        <v>3718</v>
      </c>
      <c r="D487" t="s">
        <v>414</v>
      </c>
      <c r="E487" t="s">
        <v>416</v>
      </c>
      <c r="F487" t="s">
        <v>4680</v>
      </c>
      <c r="G487" t="s">
        <v>4681</v>
      </c>
      <c r="H487" t="s">
        <v>3713</v>
      </c>
      <c r="I487" t="s">
        <v>3721</v>
      </c>
    </row>
    <row r="488" spans="1:9" x14ac:dyDescent="0.25">
      <c r="A488" t="s">
        <v>2292</v>
      </c>
      <c r="B488" t="s">
        <v>419</v>
      </c>
      <c r="C488" t="s">
        <v>3696</v>
      </c>
      <c r="D488" t="s">
        <v>414</v>
      </c>
      <c r="E488" t="s">
        <v>420</v>
      </c>
      <c r="F488" t="s">
        <v>4682</v>
      </c>
      <c r="G488" t="s">
        <v>4683</v>
      </c>
      <c r="H488" t="s">
        <v>3699</v>
      </c>
      <c r="I488" t="s">
        <v>3700</v>
      </c>
    </row>
    <row r="489" spans="1:9" x14ac:dyDescent="0.25">
      <c r="A489" t="s">
        <v>2298</v>
      </c>
      <c r="B489" t="s">
        <v>419</v>
      </c>
      <c r="C489" t="s">
        <v>3701</v>
      </c>
      <c r="D489" t="s">
        <v>414</v>
      </c>
      <c r="E489" t="s">
        <v>420</v>
      </c>
      <c r="F489" t="s">
        <v>4684</v>
      </c>
      <c r="G489" t="s">
        <v>4685</v>
      </c>
      <c r="H489" t="s">
        <v>3704</v>
      </c>
      <c r="I489" t="s">
        <v>3705</v>
      </c>
    </row>
    <row r="490" spans="1:9" x14ac:dyDescent="0.25">
      <c r="A490" t="s">
        <v>2301</v>
      </c>
      <c r="B490" t="s">
        <v>419</v>
      </c>
      <c r="C490" t="s">
        <v>3706</v>
      </c>
      <c r="D490" t="s">
        <v>414</v>
      </c>
      <c r="E490" t="s">
        <v>420</v>
      </c>
      <c r="F490" t="s">
        <v>4686</v>
      </c>
      <c r="G490" t="s">
        <v>4687</v>
      </c>
      <c r="H490" t="s">
        <v>3704</v>
      </c>
      <c r="I490" t="s">
        <v>3709</v>
      </c>
    </row>
    <row r="491" spans="1:9" x14ac:dyDescent="0.25">
      <c r="A491" t="s">
        <v>2304</v>
      </c>
      <c r="B491" t="s">
        <v>419</v>
      </c>
      <c r="C491" t="s">
        <v>3710</v>
      </c>
      <c r="D491" t="s">
        <v>414</v>
      </c>
      <c r="E491" t="s">
        <v>420</v>
      </c>
      <c r="F491" t="s">
        <v>4688</v>
      </c>
      <c r="G491" t="s">
        <v>4689</v>
      </c>
      <c r="H491" t="s">
        <v>3713</v>
      </c>
      <c r="I491" t="s">
        <v>3714</v>
      </c>
    </row>
    <row r="492" spans="1:9" x14ac:dyDescent="0.25">
      <c r="A492" t="s">
        <v>2306</v>
      </c>
      <c r="B492" t="s">
        <v>419</v>
      </c>
      <c r="C492" t="s">
        <v>3715</v>
      </c>
      <c r="D492" t="s">
        <v>414</v>
      </c>
      <c r="E492" t="s">
        <v>420</v>
      </c>
      <c r="F492" t="s">
        <v>4690</v>
      </c>
      <c r="G492" t="s">
        <v>4691</v>
      </c>
      <c r="H492" t="s">
        <v>3704</v>
      </c>
      <c r="I492" t="s">
        <v>3700</v>
      </c>
    </row>
    <row r="493" spans="1:9" x14ac:dyDescent="0.25">
      <c r="A493" t="s">
        <v>2308</v>
      </c>
      <c r="B493" t="s">
        <v>419</v>
      </c>
      <c r="C493" t="s">
        <v>3718</v>
      </c>
      <c r="D493" t="s">
        <v>414</v>
      </c>
      <c r="E493" t="s">
        <v>420</v>
      </c>
      <c r="F493" t="s">
        <v>4692</v>
      </c>
      <c r="G493" t="s">
        <v>4693</v>
      </c>
      <c r="H493" t="s">
        <v>3713</v>
      </c>
      <c r="I493" t="s">
        <v>3721</v>
      </c>
    </row>
    <row r="494" spans="1:9" x14ac:dyDescent="0.25">
      <c r="A494" t="s">
        <v>2311</v>
      </c>
      <c r="B494" t="s">
        <v>423</v>
      </c>
      <c r="C494" t="s">
        <v>3696</v>
      </c>
      <c r="D494" t="s">
        <v>414</v>
      </c>
      <c r="E494" t="s">
        <v>424</v>
      </c>
      <c r="F494" t="s">
        <v>4694</v>
      </c>
      <c r="G494" t="s">
        <v>4695</v>
      </c>
      <c r="H494" t="s">
        <v>3699</v>
      </c>
      <c r="I494" t="s">
        <v>3700</v>
      </c>
    </row>
    <row r="495" spans="1:9" x14ac:dyDescent="0.25">
      <c r="A495" t="s">
        <v>2317</v>
      </c>
      <c r="B495" t="s">
        <v>423</v>
      </c>
      <c r="C495" t="s">
        <v>3701</v>
      </c>
      <c r="D495" t="s">
        <v>414</v>
      </c>
      <c r="E495" t="s">
        <v>424</v>
      </c>
      <c r="F495" t="s">
        <v>4696</v>
      </c>
      <c r="G495" t="s">
        <v>4697</v>
      </c>
      <c r="H495" t="s">
        <v>3704</v>
      </c>
      <c r="I495" t="s">
        <v>3705</v>
      </c>
    </row>
    <row r="496" spans="1:9" x14ac:dyDescent="0.25">
      <c r="A496" t="s">
        <v>2320</v>
      </c>
      <c r="B496" t="s">
        <v>423</v>
      </c>
      <c r="C496" t="s">
        <v>3706</v>
      </c>
      <c r="D496" t="s">
        <v>414</v>
      </c>
      <c r="E496" t="s">
        <v>424</v>
      </c>
      <c r="F496" t="s">
        <v>4698</v>
      </c>
      <c r="G496" t="s">
        <v>4699</v>
      </c>
      <c r="H496" t="s">
        <v>3704</v>
      </c>
      <c r="I496" t="s">
        <v>3709</v>
      </c>
    </row>
    <row r="497" spans="1:9" x14ac:dyDescent="0.25">
      <c r="A497" t="s">
        <v>2323</v>
      </c>
      <c r="B497" t="s">
        <v>423</v>
      </c>
      <c r="C497" t="s">
        <v>3710</v>
      </c>
      <c r="D497" t="s">
        <v>414</v>
      </c>
      <c r="E497" t="s">
        <v>424</v>
      </c>
      <c r="F497" t="s">
        <v>4700</v>
      </c>
      <c r="G497" t="s">
        <v>4701</v>
      </c>
      <c r="H497" t="s">
        <v>3713</v>
      </c>
      <c r="I497" t="s">
        <v>3714</v>
      </c>
    </row>
    <row r="498" spans="1:9" x14ac:dyDescent="0.25">
      <c r="A498" t="s">
        <v>2325</v>
      </c>
      <c r="B498" t="s">
        <v>423</v>
      </c>
      <c r="C498" t="s">
        <v>3715</v>
      </c>
      <c r="D498" t="s">
        <v>414</v>
      </c>
      <c r="E498" t="s">
        <v>424</v>
      </c>
      <c r="F498" t="s">
        <v>4702</v>
      </c>
      <c r="G498" t="s">
        <v>4703</v>
      </c>
      <c r="H498" t="s">
        <v>3704</v>
      </c>
      <c r="I498" t="s">
        <v>3700</v>
      </c>
    </row>
    <row r="499" spans="1:9" x14ac:dyDescent="0.25">
      <c r="A499" t="s">
        <v>2327</v>
      </c>
      <c r="B499" t="s">
        <v>423</v>
      </c>
      <c r="C499" t="s">
        <v>3718</v>
      </c>
      <c r="D499" t="s">
        <v>414</v>
      </c>
      <c r="E499" t="s">
        <v>424</v>
      </c>
      <c r="F499" t="s">
        <v>4704</v>
      </c>
      <c r="G499" t="s">
        <v>4705</v>
      </c>
      <c r="H499" t="s">
        <v>3713</v>
      </c>
      <c r="I499" t="s">
        <v>3721</v>
      </c>
    </row>
    <row r="500" spans="1:9" x14ac:dyDescent="0.25">
      <c r="A500" t="s">
        <v>2330</v>
      </c>
      <c r="B500" t="s">
        <v>427</v>
      </c>
      <c r="C500" t="s">
        <v>3696</v>
      </c>
      <c r="D500" t="s">
        <v>414</v>
      </c>
      <c r="E500" t="s">
        <v>428</v>
      </c>
      <c r="F500" t="s">
        <v>4706</v>
      </c>
      <c r="G500" t="s">
        <v>4707</v>
      </c>
      <c r="H500" t="s">
        <v>3699</v>
      </c>
      <c r="I500" t="s">
        <v>3700</v>
      </c>
    </row>
    <row r="501" spans="1:9" x14ac:dyDescent="0.25">
      <c r="A501" t="s">
        <v>2336</v>
      </c>
      <c r="B501" t="s">
        <v>427</v>
      </c>
      <c r="C501" t="s">
        <v>3701</v>
      </c>
      <c r="D501" t="s">
        <v>414</v>
      </c>
      <c r="E501" t="s">
        <v>428</v>
      </c>
      <c r="F501" t="s">
        <v>4708</v>
      </c>
      <c r="G501" t="s">
        <v>4709</v>
      </c>
      <c r="H501" t="s">
        <v>3704</v>
      </c>
      <c r="I501" t="s">
        <v>3705</v>
      </c>
    </row>
    <row r="502" spans="1:9" x14ac:dyDescent="0.25">
      <c r="A502" t="s">
        <v>2339</v>
      </c>
      <c r="B502" t="s">
        <v>427</v>
      </c>
      <c r="C502" t="s">
        <v>3706</v>
      </c>
      <c r="D502" t="s">
        <v>414</v>
      </c>
      <c r="E502" t="s">
        <v>428</v>
      </c>
      <c r="F502" t="s">
        <v>4710</v>
      </c>
      <c r="G502" t="s">
        <v>4711</v>
      </c>
      <c r="H502" t="s">
        <v>3704</v>
      </c>
      <c r="I502" t="s">
        <v>3709</v>
      </c>
    </row>
    <row r="503" spans="1:9" x14ac:dyDescent="0.25">
      <c r="A503" t="s">
        <v>2342</v>
      </c>
      <c r="B503" t="s">
        <v>427</v>
      </c>
      <c r="C503" t="s">
        <v>3710</v>
      </c>
      <c r="D503" t="s">
        <v>414</v>
      </c>
      <c r="E503" t="s">
        <v>428</v>
      </c>
      <c r="F503" t="s">
        <v>4712</v>
      </c>
      <c r="G503" t="s">
        <v>4713</v>
      </c>
      <c r="H503" t="s">
        <v>3713</v>
      </c>
      <c r="I503" t="s">
        <v>3714</v>
      </c>
    </row>
    <row r="504" spans="1:9" x14ac:dyDescent="0.25">
      <c r="A504" t="s">
        <v>2344</v>
      </c>
      <c r="B504" t="s">
        <v>427</v>
      </c>
      <c r="C504" t="s">
        <v>3715</v>
      </c>
      <c r="D504" t="s">
        <v>414</v>
      </c>
      <c r="E504" t="s">
        <v>428</v>
      </c>
      <c r="F504" t="s">
        <v>4714</v>
      </c>
      <c r="G504" t="s">
        <v>4715</v>
      </c>
      <c r="H504" t="s">
        <v>3704</v>
      </c>
      <c r="I504" t="s">
        <v>3700</v>
      </c>
    </row>
    <row r="505" spans="1:9" x14ac:dyDescent="0.25">
      <c r="A505" t="s">
        <v>2346</v>
      </c>
      <c r="B505" t="s">
        <v>427</v>
      </c>
      <c r="C505" t="s">
        <v>3718</v>
      </c>
      <c r="D505" t="s">
        <v>414</v>
      </c>
      <c r="E505" t="s">
        <v>428</v>
      </c>
      <c r="F505" t="s">
        <v>4716</v>
      </c>
      <c r="G505" t="s">
        <v>4717</v>
      </c>
      <c r="H505" t="s">
        <v>3713</v>
      </c>
      <c r="I505" t="s">
        <v>3721</v>
      </c>
    </row>
    <row r="506" spans="1:9" x14ac:dyDescent="0.25">
      <c r="A506" t="s">
        <v>2349</v>
      </c>
      <c r="B506" t="s">
        <v>431</v>
      </c>
      <c r="C506" t="s">
        <v>3696</v>
      </c>
      <c r="D506" t="s">
        <v>414</v>
      </c>
      <c r="E506" t="s">
        <v>433</v>
      </c>
      <c r="F506" t="s">
        <v>4718</v>
      </c>
      <c r="G506" t="s">
        <v>4719</v>
      </c>
      <c r="H506" t="s">
        <v>3699</v>
      </c>
      <c r="I506" t="s">
        <v>3700</v>
      </c>
    </row>
    <row r="507" spans="1:9" x14ac:dyDescent="0.25">
      <c r="A507" t="s">
        <v>2355</v>
      </c>
      <c r="B507" t="s">
        <v>431</v>
      </c>
      <c r="C507" t="s">
        <v>3701</v>
      </c>
      <c r="D507" t="s">
        <v>414</v>
      </c>
      <c r="E507" t="s">
        <v>433</v>
      </c>
      <c r="F507" t="s">
        <v>4720</v>
      </c>
      <c r="G507" t="s">
        <v>4721</v>
      </c>
      <c r="H507" t="s">
        <v>3704</v>
      </c>
      <c r="I507" t="s">
        <v>3705</v>
      </c>
    </row>
    <row r="508" spans="1:9" x14ac:dyDescent="0.25">
      <c r="A508" t="s">
        <v>2358</v>
      </c>
      <c r="B508" t="s">
        <v>431</v>
      </c>
      <c r="C508" t="s">
        <v>3706</v>
      </c>
      <c r="D508" t="s">
        <v>414</v>
      </c>
      <c r="E508" t="s">
        <v>433</v>
      </c>
      <c r="F508" t="s">
        <v>4722</v>
      </c>
      <c r="G508" t="s">
        <v>4723</v>
      </c>
      <c r="H508" t="s">
        <v>3704</v>
      </c>
      <c r="I508" t="s">
        <v>3709</v>
      </c>
    </row>
    <row r="509" spans="1:9" x14ac:dyDescent="0.25">
      <c r="A509" t="s">
        <v>2361</v>
      </c>
      <c r="B509" t="s">
        <v>431</v>
      </c>
      <c r="C509" t="s">
        <v>3710</v>
      </c>
      <c r="D509" t="s">
        <v>414</v>
      </c>
      <c r="E509" t="s">
        <v>433</v>
      </c>
      <c r="F509" t="s">
        <v>4724</v>
      </c>
      <c r="G509" t="s">
        <v>4725</v>
      </c>
      <c r="H509" t="s">
        <v>3713</v>
      </c>
      <c r="I509" t="s">
        <v>3714</v>
      </c>
    </row>
    <row r="510" spans="1:9" x14ac:dyDescent="0.25">
      <c r="A510" t="s">
        <v>2363</v>
      </c>
      <c r="B510" t="s">
        <v>431</v>
      </c>
      <c r="C510" t="s">
        <v>3715</v>
      </c>
      <c r="D510" t="s">
        <v>414</v>
      </c>
      <c r="E510" t="s">
        <v>433</v>
      </c>
      <c r="F510" t="s">
        <v>4726</v>
      </c>
      <c r="G510" t="s">
        <v>4727</v>
      </c>
      <c r="H510" t="s">
        <v>3704</v>
      </c>
      <c r="I510" t="s">
        <v>3700</v>
      </c>
    </row>
    <row r="511" spans="1:9" x14ac:dyDescent="0.25">
      <c r="A511" t="s">
        <v>2365</v>
      </c>
      <c r="B511" t="s">
        <v>431</v>
      </c>
      <c r="C511" t="s">
        <v>3718</v>
      </c>
      <c r="D511" t="s">
        <v>414</v>
      </c>
      <c r="E511" t="s">
        <v>433</v>
      </c>
      <c r="F511" t="s">
        <v>4728</v>
      </c>
      <c r="G511" t="s">
        <v>4729</v>
      </c>
      <c r="H511" t="s">
        <v>3713</v>
      </c>
      <c r="I511" t="s">
        <v>3721</v>
      </c>
    </row>
    <row r="512" spans="1:9" x14ac:dyDescent="0.25">
      <c r="A512" t="s">
        <v>2368</v>
      </c>
      <c r="B512" t="s">
        <v>436</v>
      </c>
      <c r="C512" t="s">
        <v>3696</v>
      </c>
      <c r="D512" t="s">
        <v>414</v>
      </c>
      <c r="E512" t="s">
        <v>437</v>
      </c>
      <c r="F512" t="s">
        <v>4730</v>
      </c>
      <c r="G512" t="s">
        <v>4731</v>
      </c>
      <c r="H512" t="s">
        <v>3699</v>
      </c>
      <c r="I512" t="s">
        <v>3700</v>
      </c>
    </row>
    <row r="513" spans="1:9" x14ac:dyDescent="0.25">
      <c r="A513" t="s">
        <v>2374</v>
      </c>
      <c r="B513" t="s">
        <v>436</v>
      </c>
      <c r="C513" t="s">
        <v>3701</v>
      </c>
      <c r="D513" t="s">
        <v>414</v>
      </c>
      <c r="E513" t="s">
        <v>437</v>
      </c>
      <c r="F513" t="s">
        <v>4732</v>
      </c>
      <c r="G513" t="s">
        <v>4733</v>
      </c>
      <c r="H513" t="s">
        <v>3704</v>
      </c>
      <c r="I513" t="s">
        <v>3705</v>
      </c>
    </row>
    <row r="514" spans="1:9" x14ac:dyDescent="0.25">
      <c r="A514" t="s">
        <v>2377</v>
      </c>
      <c r="B514" t="s">
        <v>436</v>
      </c>
      <c r="C514" t="s">
        <v>3706</v>
      </c>
      <c r="D514" t="s">
        <v>414</v>
      </c>
      <c r="E514" t="s">
        <v>437</v>
      </c>
      <c r="F514" t="s">
        <v>4734</v>
      </c>
      <c r="G514" t="s">
        <v>4735</v>
      </c>
      <c r="H514" t="s">
        <v>3704</v>
      </c>
      <c r="I514" t="s">
        <v>3709</v>
      </c>
    </row>
    <row r="515" spans="1:9" x14ac:dyDescent="0.25">
      <c r="A515" t="s">
        <v>2380</v>
      </c>
      <c r="B515" t="s">
        <v>436</v>
      </c>
      <c r="C515" t="s">
        <v>3710</v>
      </c>
      <c r="D515" t="s">
        <v>414</v>
      </c>
      <c r="E515" t="s">
        <v>437</v>
      </c>
      <c r="F515" t="s">
        <v>4736</v>
      </c>
      <c r="G515" t="s">
        <v>4737</v>
      </c>
      <c r="H515" t="s">
        <v>3713</v>
      </c>
      <c r="I515" t="s">
        <v>3714</v>
      </c>
    </row>
    <row r="516" spans="1:9" x14ac:dyDescent="0.25">
      <c r="A516" t="s">
        <v>2382</v>
      </c>
      <c r="B516" t="s">
        <v>436</v>
      </c>
      <c r="C516" t="s">
        <v>3715</v>
      </c>
      <c r="D516" t="s">
        <v>414</v>
      </c>
      <c r="E516" t="s">
        <v>437</v>
      </c>
      <c r="F516" t="s">
        <v>4738</v>
      </c>
      <c r="G516" t="s">
        <v>4739</v>
      </c>
      <c r="H516" t="s">
        <v>3704</v>
      </c>
      <c r="I516" t="s">
        <v>3700</v>
      </c>
    </row>
    <row r="517" spans="1:9" x14ac:dyDescent="0.25">
      <c r="A517" t="s">
        <v>2384</v>
      </c>
      <c r="B517" t="s">
        <v>436</v>
      </c>
      <c r="C517" t="s">
        <v>3718</v>
      </c>
      <c r="D517" t="s">
        <v>414</v>
      </c>
      <c r="E517" t="s">
        <v>437</v>
      </c>
      <c r="F517" t="s">
        <v>4740</v>
      </c>
      <c r="G517" t="s">
        <v>4741</v>
      </c>
      <c r="H517" t="s">
        <v>3713</v>
      </c>
      <c r="I517" t="s">
        <v>3721</v>
      </c>
    </row>
    <row r="518" spans="1:9" x14ac:dyDescent="0.25">
      <c r="A518" t="s">
        <v>2386</v>
      </c>
      <c r="B518" t="s">
        <v>440</v>
      </c>
      <c r="C518" t="s">
        <v>3696</v>
      </c>
      <c r="D518" t="s">
        <v>414</v>
      </c>
      <c r="E518" t="s">
        <v>441</v>
      </c>
      <c r="F518" t="s">
        <v>4742</v>
      </c>
      <c r="G518" t="s">
        <v>4743</v>
      </c>
      <c r="H518" t="s">
        <v>3699</v>
      </c>
      <c r="I518" t="s">
        <v>3700</v>
      </c>
    </row>
    <row r="519" spans="1:9" x14ac:dyDescent="0.25">
      <c r="A519" t="s">
        <v>2392</v>
      </c>
      <c r="B519" t="s">
        <v>440</v>
      </c>
      <c r="C519" t="s">
        <v>3701</v>
      </c>
      <c r="D519" t="s">
        <v>414</v>
      </c>
      <c r="E519" t="s">
        <v>441</v>
      </c>
      <c r="F519" t="s">
        <v>4744</v>
      </c>
      <c r="G519" t="s">
        <v>4745</v>
      </c>
      <c r="H519" t="s">
        <v>3704</v>
      </c>
      <c r="I519" t="s">
        <v>3705</v>
      </c>
    </row>
    <row r="520" spans="1:9" x14ac:dyDescent="0.25">
      <c r="A520" t="s">
        <v>2395</v>
      </c>
      <c r="B520" t="s">
        <v>440</v>
      </c>
      <c r="C520" t="s">
        <v>3706</v>
      </c>
      <c r="D520" t="s">
        <v>414</v>
      </c>
      <c r="E520" t="s">
        <v>441</v>
      </c>
      <c r="F520" t="s">
        <v>4746</v>
      </c>
      <c r="G520" t="s">
        <v>4747</v>
      </c>
      <c r="H520" t="s">
        <v>3704</v>
      </c>
      <c r="I520" t="s">
        <v>3709</v>
      </c>
    </row>
    <row r="521" spans="1:9" x14ac:dyDescent="0.25">
      <c r="A521" t="s">
        <v>2398</v>
      </c>
      <c r="B521" t="s">
        <v>440</v>
      </c>
      <c r="C521" t="s">
        <v>3710</v>
      </c>
      <c r="D521" t="s">
        <v>414</v>
      </c>
      <c r="E521" t="s">
        <v>441</v>
      </c>
      <c r="F521" t="s">
        <v>4748</v>
      </c>
      <c r="G521" t="s">
        <v>4749</v>
      </c>
      <c r="H521" t="s">
        <v>3713</v>
      </c>
      <c r="I521" t="s">
        <v>3714</v>
      </c>
    </row>
    <row r="522" spans="1:9" x14ac:dyDescent="0.25">
      <c r="A522" t="s">
        <v>2400</v>
      </c>
      <c r="B522" t="s">
        <v>440</v>
      </c>
      <c r="C522" t="s">
        <v>3715</v>
      </c>
      <c r="D522" t="s">
        <v>414</v>
      </c>
      <c r="E522" t="s">
        <v>441</v>
      </c>
      <c r="F522" t="s">
        <v>4750</v>
      </c>
      <c r="G522" t="s">
        <v>4751</v>
      </c>
      <c r="H522" t="s">
        <v>3704</v>
      </c>
      <c r="I522" t="s">
        <v>3700</v>
      </c>
    </row>
    <row r="523" spans="1:9" x14ac:dyDescent="0.25">
      <c r="A523" t="s">
        <v>2402</v>
      </c>
      <c r="B523" t="s">
        <v>440</v>
      </c>
      <c r="C523" t="s">
        <v>3718</v>
      </c>
      <c r="D523" t="s">
        <v>414</v>
      </c>
      <c r="E523" t="s">
        <v>441</v>
      </c>
      <c r="F523" t="s">
        <v>4752</v>
      </c>
      <c r="G523" t="s">
        <v>4753</v>
      </c>
      <c r="H523" t="s">
        <v>3713</v>
      </c>
      <c r="I523" t="s">
        <v>3721</v>
      </c>
    </row>
    <row r="524" spans="1:9" x14ac:dyDescent="0.25">
      <c r="A524" t="s">
        <v>2405</v>
      </c>
      <c r="B524" t="s">
        <v>444</v>
      </c>
      <c r="C524" t="s">
        <v>3696</v>
      </c>
      <c r="D524" t="s">
        <v>414</v>
      </c>
      <c r="E524" t="s">
        <v>445</v>
      </c>
      <c r="F524" t="s">
        <v>4754</v>
      </c>
      <c r="G524" t="s">
        <v>4755</v>
      </c>
      <c r="H524" t="s">
        <v>3699</v>
      </c>
      <c r="I524" t="s">
        <v>3700</v>
      </c>
    </row>
    <row r="525" spans="1:9" x14ac:dyDescent="0.25">
      <c r="A525" t="s">
        <v>2411</v>
      </c>
      <c r="B525" t="s">
        <v>444</v>
      </c>
      <c r="C525" t="s">
        <v>3701</v>
      </c>
      <c r="D525" t="s">
        <v>414</v>
      </c>
      <c r="E525" t="s">
        <v>445</v>
      </c>
      <c r="F525" t="s">
        <v>4756</v>
      </c>
      <c r="G525" t="s">
        <v>4757</v>
      </c>
      <c r="H525" t="s">
        <v>3704</v>
      </c>
      <c r="I525" t="s">
        <v>3705</v>
      </c>
    </row>
    <row r="526" spans="1:9" x14ac:dyDescent="0.25">
      <c r="A526" t="s">
        <v>2414</v>
      </c>
      <c r="B526" t="s">
        <v>444</v>
      </c>
      <c r="C526" t="s">
        <v>3706</v>
      </c>
      <c r="D526" t="s">
        <v>414</v>
      </c>
      <c r="E526" t="s">
        <v>445</v>
      </c>
      <c r="F526" t="s">
        <v>4758</v>
      </c>
      <c r="G526" t="s">
        <v>4759</v>
      </c>
      <c r="H526" t="s">
        <v>3704</v>
      </c>
      <c r="I526" t="s">
        <v>3709</v>
      </c>
    </row>
    <row r="527" spans="1:9" x14ac:dyDescent="0.25">
      <c r="A527" t="s">
        <v>2417</v>
      </c>
      <c r="B527" t="s">
        <v>444</v>
      </c>
      <c r="C527" t="s">
        <v>3710</v>
      </c>
      <c r="D527" t="s">
        <v>414</v>
      </c>
      <c r="E527" t="s">
        <v>445</v>
      </c>
      <c r="F527" t="s">
        <v>4760</v>
      </c>
      <c r="G527" t="s">
        <v>4761</v>
      </c>
      <c r="H527" t="s">
        <v>3713</v>
      </c>
      <c r="I527" t="s">
        <v>3714</v>
      </c>
    </row>
    <row r="528" spans="1:9" x14ac:dyDescent="0.25">
      <c r="A528" t="s">
        <v>2419</v>
      </c>
      <c r="B528" t="s">
        <v>444</v>
      </c>
      <c r="C528" t="s">
        <v>3715</v>
      </c>
      <c r="D528" t="s">
        <v>414</v>
      </c>
      <c r="E528" t="s">
        <v>445</v>
      </c>
      <c r="F528" t="s">
        <v>4762</v>
      </c>
      <c r="G528" t="s">
        <v>4763</v>
      </c>
      <c r="H528" t="s">
        <v>3704</v>
      </c>
      <c r="I528" t="s">
        <v>3700</v>
      </c>
    </row>
    <row r="529" spans="1:9" x14ac:dyDescent="0.25">
      <c r="A529" t="s">
        <v>2421</v>
      </c>
      <c r="B529" t="s">
        <v>444</v>
      </c>
      <c r="C529" t="s">
        <v>3718</v>
      </c>
      <c r="D529" t="s">
        <v>414</v>
      </c>
      <c r="E529" t="s">
        <v>445</v>
      </c>
      <c r="F529" t="s">
        <v>4764</v>
      </c>
      <c r="G529" t="s">
        <v>4765</v>
      </c>
      <c r="H529" t="s">
        <v>3713</v>
      </c>
      <c r="I529" t="s">
        <v>3721</v>
      </c>
    </row>
    <row r="530" spans="1:9" x14ac:dyDescent="0.25">
      <c r="A530" t="s">
        <v>2424</v>
      </c>
      <c r="B530" t="s">
        <v>448</v>
      </c>
      <c r="C530" t="s">
        <v>3696</v>
      </c>
      <c r="D530" t="s">
        <v>414</v>
      </c>
      <c r="E530" t="s">
        <v>450</v>
      </c>
      <c r="F530" t="s">
        <v>4766</v>
      </c>
      <c r="G530" t="s">
        <v>4767</v>
      </c>
      <c r="H530" t="s">
        <v>3699</v>
      </c>
      <c r="I530" t="s">
        <v>3700</v>
      </c>
    </row>
    <row r="531" spans="1:9" x14ac:dyDescent="0.25">
      <c r="A531" t="s">
        <v>2430</v>
      </c>
      <c r="B531" t="s">
        <v>448</v>
      </c>
      <c r="C531" t="s">
        <v>3701</v>
      </c>
      <c r="D531" t="s">
        <v>414</v>
      </c>
      <c r="E531" t="s">
        <v>450</v>
      </c>
      <c r="F531" t="s">
        <v>4768</v>
      </c>
      <c r="G531" t="s">
        <v>4769</v>
      </c>
      <c r="H531" t="s">
        <v>3704</v>
      </c>
      <c r="I531" t="s">
        <v>3705</v>
      </c>
    </row>
    <row r="532" spans="1:9" x14ac:dyDescent="0.25">
      <c r="A532" t="s">
        <v>2433</v>
      </c>
      <c r="B532" t="s">
        <v>448</v>
      </c>
      <c r="C532" t="s">
        <v>3706</v>
      </c>
      <c r="D532" t="s">
        <v>414</v>
      </c>
      <c r="E532" t="s">
        <v>450</v>
      </c>
      <c r="F532" t="s">
        <v>4770</v>
      </c>
      <c r="G532" t="s">
        <v>4771</v>
      </c>
      <c r="H532" t="s">
        <v>3704</v>
      </c>
      <c r="I532" t="s">
        <v>3709</v>
      </c>
    </row>
    <row r="533" spans="1:9" x14ac:dyDescent="0.25">
      <c r="A533" t="s">
        <v>2436</v>
      </c>
      <c r="B533" t="s">
        <v>448</v>
      </c>
      <c r="C533" t="s">
        <v>3710</v>
      </c>
      <c r="D533" t="s">
        <v>414</v>
      </c>
      <c r="E533" t="s">
        <v>450</v>
      </c>
      <c r="F533" t="s">
        <v>4772</v>
      </c>
      <c r="G533" t="s">
        <v>4773</v>
      </c>
      <c r="H533" t="s">
        <v>3713</v>
      </c>
      <c r="I533" t="s">
        <v>3714</v>
      </c>
    </row>
    <row r="534" spans="1:9" x14ac:dyDescent="0.25">
      <c r="A534" t="s">
        <v>2438</v>
      </c>
      <c r="B534" t="s">
        <v>448</v>
      </c>
      <c r="C534" t="s">
        <v>3715</v>
      </c>
      <c r="D534" t="s">
        <v>414</v>
      </c>
      <c r="E534" t="s">
        <v>450</v>
      </c>
      <c r="F534" t="s">
        <v>4774</v>
      </c>
      <c r="G534" t="s">
        <v>4775</v>
      </c>
      <c r="H534" t="s">
        <v>3704</v>
      </c>
      <c r="I534" t="s">
        <v>3700</v>
      </c>
    </row>
    <row r="535" spans="1:9" x14ac:dyDescent="0.25">
      <c r="A535" t="s">
        <v>2440</v>
      </c>
      <c r="B535" t="s">
        <v>448</v>
      </c>
      <c r="C535" t="s">
        <v>3718</v>
      </c>
      <c r="D535" t="s">
        <v>414</v>
      </c>
      <c r="E535" t="s">
        <v>450</v>
      </c>
      <c r="F535" t="s">
        <v>4776</v>
      </c>
      <c r="G535" t="s">
        <v>4777</v>
      </c>
      <c r="H535" t="s">
        <v>3713</v>
      </c>
      <c r="I535" t="s">
        <v>3721</v>
      </c>
    </row>
    <row r="536" spans="1:9" x14ac:dyDescent="0.25">
      <c r="A536" t="s">
        <v>2443</v>
      </c>
      <c r="B536" t="s">
        <v>453</v>
      </c>
      <c r="C536" t="s">
        <v>3696</v>
      </c>
      <c r="D536" t="s">
        <v>414</v>
      </c>
      <c r="E536" t="s">
        <v>454</v>
      </c>
      <c r="F536" t="s">
        <v>4778</v>
      </c>
      <c r="G536" t="s">
        <v>4779</v>
      </c>
      <c r="H536" t="s">
        <v>3699</v>
      </c>
      <c r="I536" t="s">
        <v>3700</v>
      </c>
    </row>
    <row r="537" spans="1:9" x14ac:dyDescent="0.25">
      <c r="A537" t="s">
        <v>2449</v>
      </c>
      <c r="B537" t="s">
        <v>453</v>
      </c>
      <c r="C537" t="s">
        <v>3701</v>
      </c>
      <c r="D537" t="s">
        <v>414</v>
      </c>
      <c r="E537" t="s">
        <v>454</v>
      </c>
      <c r="F537" t="s">
        <v>4780</v>
      </c>
      <c r="G537" t="s">
        <v>4781</v>
      </c>
      <c r="H537" t="s">
        <v>3704</v>
      </c>
      <c r="I537" t="s">
        <v>3705</v>
      </c>
    </row>
    <row r="538" spans="1:9" x14ac:dyDescent="0.25">
      <c r="A538" t="s">
        <v>2452</v>
      </c>
      <c r="B538" t="s">
        <v>453</v>
      </c>
      <c r="C538" t="s">
        <v>3706</v>
      </c>
      <c r="D538" t="s">
        <v>414</v>
      </c>
      <c r="E538" t="s">
        <v>454</v>
      </c>
      <c r="F538" t="s">
        <v>4782</v>
      </c>
      <c r="G538" t="s">
        <v>4783</v>
      </c>
      <c r="H538" t="s">
        <v>3704</v>
      </c>
      <c r="I538" t="s">
        <v>3709</v>
      </c>
    </row>
    <row r="539" spans="1:9" x14ac:dyDescent="0.25">
      <c r="A539" t="s">
        <v>2455</v>
      </c>
      <c r="B539" t="s">
        <v>453</v>
      </c>
      <c r="C539" t="s">
        <v>3710</v>
      </c>
      <c r="D539" t="s">
        <v>414</v>
      </c>
      <c r="E539" t="s">
        <v>454</v>
      </c>
      <c r="F539" t="s">
        <v>4784</v>
      </c>
      <c r="G539" t="s">
        <v>4785</v>
      </c>
      <c r="H539" t="s">
        <v>3713</v>
      </c>
      <c r="I539" t="s">
        <v>3714</v>
      </c>
    </row>
    <row r="540" spans="1:9" x14ac:dyDescent="0.25">
      <c r="A540" t="s">
        <v>2457</v>
      </c>
      <c r="B540" t="s">
        <v>453</v>
      </c>
      <c r="C540" t="s">
        <v>3715</v>
      </c>
      <c r="D540" t="s">
        <v>414</v>
      </c>
      <c r="E540" t="s">
        <v>454</v>
      </c>
      <c r="F540" t="s">
        <v>4786</v>
      </c>
      <c r="G540" t="s">
        <v>4787</v>
      </c>
      <c r="H540" t="s">
        <v>3704</v>
      </c>
      <c r="I540" t="s">
        <v>3700</v>
      </c>
    </row>
    <row r="541" spans="1:9" x14ac:dyDescent="0.25">
      <c r="A541" t="s">
        <v>2459</v>
      </c>
      <c r="B541" t="s">
        <v>453</v>
      </c>
      <c r="C541" t="s">
        <v>3718</v>
      </c>
      <c r="D541" t="s">
        <v>414</v>
      </c>
      <c r="E541" t="s">
        <v>454</v>
      </c>
      <c r="F541" t="s">
        <v>4788</v>
      </c>
      <c r="G541" t="s">
        <v>4789</v>
      </c>
      <c r="H541" t="s">
        <v>3713</v>
      </c>
      <c r="I541" t="s">
        <v>3721</v>
      </c>
    </row>
    <row r="542" spans="1:9" x14ac:dyDescent="0.25">
      <c r="A542" t="s">
        <v>2462</v>
      </c>
      <c r="B542" t="s">
        <v>457</v>
      </c>
      <c r="C542" t="s">
        <v>3696</v>
      </c>
      <c r="D542" t="s">
        <v>414</v>
      </c>
      <c r="E542" t="s">
        <v>458</v>
      </c>
      <c r="F542" t="s">
        <v>4790</v>
      </c>
      <c r="G542" t="s">
        <v>4791</v>
      </c>
      <c r="H542" t="s">
        <v>3699</v>
      </c>
      <c r="I542" t="s">
        <v>3700</v>
      </c>
    </row>
    <row r="543" spans="1:9" x14ac:dyDescent="0.25">
      <c r="A543" t="s">
        <v>2468</v>
      </c>
      <c r="B543" t="s">
        <v>457</v>
      </c>
      <c r="C543" t="s">
        <v>3701</v>
      </c>
      <c r="D543" t="s">
        <v>414</v>
      </c>
      <c r="E543" t="s">
        <v>458</v>
      </c>
      <c r="F543" t="s">
        <v>4792</v>
      </c>
      <c r="G543" t="s">
        <v>4793</v>
      </c>
      <c r="H543" t="s">
        <v>3704</v>
      </c>
      <c r="I543" t="s">
        <v>3705</v>
      </c>
    </row>
    <row r="544" spans="1:9" x14ac:dyDescent="0.25">
      <c r="A544" t="s">
        <v>2471</v>
      </c>
      <c r="B544" t="s">
        <v>457</v>
      </c>
      <c r="C544" t="s">
        <v>3706</v>
      </c>
      <c r="D544" t="s">
        <v>414</v>
      </c>
      <c r="E544" t="s">
        <v>458</v>
      </c>
      <c r="F544" t="s">
        <v>4794</v>
      </c>
      <c r="G544" t="s">
        <v>4795</v>
      </c>
      <c r="H544" t="s">
        <v>3704</v>
      </c>
      <c r="I544" t="s">
        <v>3709</v>
      </c>
    </row>
    <row r="545" spans="1:9" x14ac:dyDescent="0.25">
      <c r="A545" t="s">
        <v>2474</v>
      </c>
      <c r="B545" t="s">
        <v>457</v>
      </c>
      <c r="C545" t="s">
        <v>3710</v>
      </c>
      <c r="D545" t="s">
        <v>414</v>
      </c>
      <c r="E545" t="s">
        <v>458</v>
      </c>
      <c r="F545" t="s">
        <v>4796</v>
      </c>
      <c r="G545" t="s">
        <v>4797</v>
      </c>
      <c r="H545" t="s">
        <v>3713</v>
      </c>
      <c r="I545" t="s">
        <v>3714</v>
      </c>
    </row>
    <row r="546" spans="1:9" x14ac:dyDescent="0.25">
      <c r="A546" t="s">
        <v>2476</v>
      </c>
      <c r="B546" t="s">
        <v>457</v>
      </c>
      <c r="C546" t="s">
        <v>3715</v>
      </c>
      <c r="D546" t="s">
        <v>414</v>
      </c>
      <c r="E546" t="s">
        <v>458</v>
      </c>
      <c r="F546" t="s">
        <v>4798</v>
      </c>
      <c r="G546" t="s">
        <v>4799</v>
      </c>
      <c r="H546" t="s">
        <v>3704</v>
      </c>
      <c r="I546" t="s">
        <v>3700</v>
      </c>
    </row>
    <row r="547" spans="1:9" x14ac:dyDescent="0.25">
      <c r="A547" t="s">
        <v>2478</v>
      </c>
      <c r="B547" t="s">
        <v>457</v>
      </c>
      <c r="C547" t="s">
        <v>3718</v>
      </c>
      <c r="D547" t="s">
        <v>414</v>
      </c>
      <c r="E547" t="s">
        <v>458</v>
      </c>
      <c r="F547" t="s">
        <v>4800</v>
      </c>
      <c r="G547" t="s">
        <v>4801</v>
      </c>
      <c r="H547" t="s">
        <v>3713</v>
      </c>
      <c r="I547" t="s">
        <v>3721</v>
      </c>
    </row>
    <row r="548" spans="1:9" x14ac:dyDescent="0.25">
      <c r="A548" t="s">
        <v>2481</v>
      </c>
      <c r="B548" t="s">
        <v>461</v>
      </c>
      <c r="C548" t="s">
        <v>3696</v>
      </c>
      <c r="D548" t="s">
        <v>414</v>
      </c>
      <c r="E548" t="s">
        <v>463</v>
      </c>
      <c r="F548" t="s">
        <v>4802</v>
      </c>
      <c r="G548" t="s">
        <v>4803</v>
      </c>
      <c r="H548" t="s">
        <v>3699</v>
      </c>
      <c r="I548" t="s">
        <v>3700</v>
      </c>
    </row>
    <row r="549" spans="1:9" x14ac:dyDescent="0.25">
      <c r="A549" t="s">
        <v>2487</v>
      </c>
      <c r="B549" t="s">
        <v>461</v>
      </c>
      <c r="C549" t="s">
        <v>3701</v>
      </c>
      <c r="D549" t="s">
        <v>414</v>
      </c>
      <c r="E549" t="s">
        <v>463</v>
      </c>
      <c r="F549" t="s">
        <v>4804</v>
      </c>
      <c r="G549" t="s">
        <v>4805</v>
      </c>
      <c r="H549" t="s">
        <v>3704</v>
      </c>
      <c r="I549" t="s">
        <v>3705</v>
      </c>
    </row>
    <row r="550" spans="1:9" x14ac:dyDescent="0.25">
      <c r="A550" t="s">
        <v>2490</v>
      </c>
      <c r="B550" t="s">
        <v>461</v>
      </c>
      <c r="C550" t="s">
        <v>3706</v>
      </c>
      <c r="D550" t="s">
        <v>414</v>
      </c>
      <c r="E550" t="s">
        <v>463</v>
      </c>
      <c r="F550" t="s">
        <v>4806</v>
      </c>
      <c r="G550" t="s">
        <v>4807</v>
      </c>
      <c r="H550" t="s">
        <v>3704</v>
      </c>
      <c r="I550" t="s">
        <v>3709</v>
      </c>
    </row>
    <row r="551" spans="1:9" x14ac:dyDescent="0.25">
      <c r="A551" t="s">
        <v>2493</v>
      </c>
      <c r="B551" t="s">
        <v>461</v>
      </c>
      <c r="C551" t="s">
        <v>3710</v>
      </c>
      <c r="D551" t="s">
        <v>414</v>
      </c>
      <c r="E551" t="s">
        <v>463</v>
      </c>
      <c r="F551" t="s">
        <v>4808</v>
      </c>
      <c r="G551" t="s">
        <v>4809</v>
      </c>
      <c r="H551" t="s">
        <v>3713</v>
      </c>
      <c r="I551" t="s">
        <v>3714</v>
      </c>
    </row>
    <row r="552" spans="1:9" x14ac:dyDescent="0.25">
      <c r="A552" t="s">
        <v>2495</v>
      </c>
      <c r="B552" t="s">
        <v>461</v>
      </c>
      <c r="C552" t="s">
        <v>3715</v>
      </c>
      <c r="D552" t="s">
        <v>414</v>
      </c>
      <c r="E552" t="s">
        <v>463</v>
      </c>
      <c r="F552" t="s">
        <v>4810</v>
      </c>
      <c r="G552" t="s">
        <v>4811</v>
      </c>
      <c r="H552" t="s">
        <v>3704</v>
      </c>
      <c r="I552" t="s">
        <v>3700</v>
      </c>
    </row>
    <row r="553" spans="1:9" x14ac:dyDescent="0.25">
      <c r="A553" t="s">
        <v>2497</v>
      </c>
      <c r="B553" t="s">
        <v>461</v>
      </c>
      <c r="C553" t="s">
        <v>3718</v>
      </c>
      <c r="D553" t="s">
        <v>414</v>
      </c>
      <c r="E553" t="s">
        <v>463</v>
      </c>
      <c r="F553" t="s">
        <v>4812</v>
      </c>
      <c r="G553" t="s">
        <v>4813</v>
      </c>
      <c r="H553" t="s">
        <v>3713</v>
      </c>
      <c r="I553" t="s">
        <v>3721</v>
      </c>
    </row>
    <row r="554" spans="1:9" x14ac:dyDescent="0.25">
      <c r="A554" t="s">
        <v>2500</v>
      </c>
      <c r="B554" t="s">
        <v>466</v>
      </c>
      <c r="C554" t="s">
        <v>3696</v>
      </c>
      <c r="D554" t="s">
        <v>414</v>
      </c>
      <c r="E554" t="s">
        <v>467</v>
      </c>
      <c r="F554" t="s">
        <v>4814</v>
      </c>
      <c r="G554" t="s">
        <v>4815</v>
      </c>
      <c r="H554" t="s">
        <v>3699</v>
      </c>
      <c r="I554" t="s">
        <v>3700</v>
      </c>
    </row>
    <row r="555" spans="1:9" x14ac:dyDescent="0.25">
      <c r="A555" t="s">
        <v>2506</v>
      </c>
      <c r="B555" t="s">
        <v>466</v>
      </c>
      <c r="C555" t="s">
        <v>3701</v>
      </c>
      <c r="D555" t="s">
        <v>414</v>
      </c>
      <c r="E555" t="s">
        <v>467</v>
      </c>
      <c r="F555" t="s">
        <v>4816</v>
      </c>
      <c r="G555" t="s">
        <v>4817</v>
      </c>
      <c r="H555" t="s">
        <v>3704</v>
      </c>
      <c r="I555" t="s">
        <v>3705</v>
      </c>
    </row>
    <row r="556" spans="1:9" x14ac:dyDescent="0.25">
      <c r="A556" t="s">
        <v>2509</v>
      </c>
      <c r="B556" t="s">
        <v>466</v>
      </c>
      <c r="C556" t="s">
        <v>3706</v>
      </c>
      <c r="D556" t="s">
        <v>414</v>
      </c>
      <c r="E556" t="s">
        <v>467</v>
      </c>
      <c r="F556" t="s">
        <v>4818</v>
      </c>
      <c r="G556" t="s">
        <v>4819</v>
      </c>
      <c r="H556" t="s">
        <v>3704</v>
      </c>
      <c r="I556" t="s">
        <v>3709</v>
      </c>
    </row>
    <row r="557" spans="1:9" x14ac:dyDescent="0.25">
      <c r="A557" t="s">
        <v>2512</v>
      </c>
      <c r="B557" t="s">
        <v>466</v>
      </c>
      <c r="C557" t="s">
        <v>3710</v>
      </c>
      <c r="D557" t="s">
        <v>414</v>
      </c>
      <c r="E557" t="s">
        <v>467</v>
      </c>
      <c r="F557" t="s">
        <v>4820</v>
      </c>
      <c r="G557" t="s">
        <v>4821</v>
      </c>
      <c r="H557" t="s">
        <v>3713</v>
      </c>
      <c r="I557" t="s">
        <v>3714</v>
      </c>
    </row>
    <row r="558" spans="1:9" x14ac:dyDescent="0.25">
      <c r="A558" t="s">
        <v>2514</v>
      </c>
      <c r="B558" t="s">
        <v>466</v>
      </c>
      <c r="C558" t="s">
        <v>3715</v>
      </c>
      <c r="D558" t="s">
        <v>414</v>
      </c>
      <c r="E558" t="s">
        <v>467</v>
      </c>
      <c r="F558" t="s">
        <v>4822</v>
      </c>
      <c r="G558" t="s">
        <v>4823</v>
      </c>
      <c r="H558" t="s">
        <v>3704</v>
      </c>
      <c r="I558" t="s">
        <v>3700</v>
      </c>
    </row>
    <row r="559" spans="1:9" x14ac:dyDescent="0.25">
      <c r="A559" t="s">
        <v>2516</v>
      </c>
      <c r="B559" t="s">
        <v>466</v>
      </c>
      <c r="C559" t="s">
        <v>3718</v>
      </c>
      <c r="D559" t="s">
        <v>414</v>
      </c>
      <c r="E559" t="s">
        <v>467</v>
      </c>
      <c r="F559" t="s">
        <v>4824</v>
      </c>
      <c r="G559" t="s">
        <v>4825</v>
      </c>
      <c r="H559" t="s">
        <v>3713</v>
      </c>
      <c r="I559" t="s">
        <v>3721</v>
      </c>
    </row>
    <row r="560" spans="1:9" x14ac:dyDescent="0.25">
      <c r="A560" t="s">
        <v>2519</v>
      </c>
      <c r="B560" t="s">
        <v>470</v>
      </c>
      <c r="C560" t="s">
        <v>3696</v>
      </c>
      <c r="D560" t="s">
        <v>414</v>
      </c>
      <c r="E560" t="s">
        <v>471</v>
      </c>
      <c r="F560" t="s">
        <v>4826</v>
      </c>
      <c r="G560" t="s">
        <v>4827</v>
      </c>
      <c r="H560" t="s">
        <v>3699</v>
      </c>
      <c r="I560" t="s">
        <v>3700</v>
      </c>
    </row>
    <row r="561" spans="1:9" x14ac:dyDescent="0.25">
      <c r="A561" t="s">
        <v>2525</v>
      </c>
      <c r="B561" t="s">
        <v>470</v>
      </c>
      <c r="C561" t="s">
        <v>3701</v>
      </c>
      <c r="D561" t="s">
        <v>414</v>
      </c>
      <c r="E561" t="s">
        <v>471</v>
      </c>
      <c r="F561" t="s">
        <v>4828</v>
      </c>
      <c r="G561" t="s">
        <v>4829</v>
      </c>
      <c r="H561" t="s">
        <v>3704</v>
      </c>
      <c r="I561" t="s">
        <v>3705</v>
      </c>
    </row>
    <row r="562" spans="1:9" x14ac:dyDescent="0.25">
      <c r="A562" t="s">
        <v>2528</v>
      </c>
      <c r="B562" t="s">
        <v>470</v>
      </c>
      <c r="C562" t="s">
        <v>3706</v>
      </c>
      <c r="D562" t="s">
        <v>414</v>
      </c>
      <c r="E562" t="s">
        <v>471</v>
      </c>
      <c r="F562" t="s">
        <v>4830</v>
      </c>
      <c r="G562" t="s">
        <v>4831</v>
      </c>
      <c r="H562" t="s">
        <v>3704</v>
      </c>
      <c r="I562" t="s">
        <v>3709</v>
      </c>
    </row>
    <row r="563" spans="1:9" x14ac:dyDescent="0.25">
      <c r="A563" t="s">
        <v>2531</v>
      </c>
      <c r="B563" t="s">
        <v>470</v>
      </c>
      <c r="C563" t="s">
        <v>3710</v>
      </c>
      <c r="D563" t="s">
        <v>414</v>
      </c>
      <c r="E563" t="s">
        <v>471</v>
      </c>
      <c r="F563" t="s">
        <v>4832</v>
      </c>
      <c r="G563" t="s">
        <v>4833</v>
      </c>
      <c r="H563" t="s">
        <v>3713</v>
      </c>
      <c r="I563" t="s">
        <v>3714</v>
      </c>
    </row>
    <row r="564" spans="1:9" x14ac:dyDescent="0.25">
      <c r="A564" t="s">
        <v>2533</v>
      </c>
      <c r="B564" t="s">
        <v>470</v>
      </c>
      <c r="C564" t="s">
        <v>3715</v>
      </c>
      <c r="D564" t="s">
        <v>414</v>
      </c>
      <c r="E564" t="s">
        <v>471</v>
      </c>
      <c r="F564" t="s">
        <v>4834</v>
      </c>
      <c r="G564" t="s">
        <v>4835</v>
      </c>
      <c r="H564" t="s">
        <v>3704</v>
      </c>
      <c r="I564" t="s">
        <v>3700</v>
      </c>
    </row>
    <row r="565" spans="1:9" x14ac:dyDescent="0.25">
      <c r="A565" t="s">
        <v>2535</v>
      </c>
      <c r="B565" t="s">
        <v>470</v>
      </c>
      <c r="C565" t="s">
        <v>3718</v>
      </c>
      <c r="D565" t="s">
        <v>414</v>
      </c>
      <c r="E565" t="s">
        <v>471</v>
      </c>
      <c r="F565" t="s">
        <v>4836</v>
      </c>
      <c r="G565" t="s">
        <v>4837</v>
      </c>
      <c r="H565" t="s">
        <v>3713</v>
      </c>
      <c r="I565" t="s">
        <v>3721</v>
      </c>
    </row>
    <row r="566" spans="1:9" x14ac:dyDescent="0.25">
      <c r="A566" t="s">
        <v>2538</v>
      </c>
      <c r="B566" t="s">
        <v>475</v>
      </c>
      <c r="C566" t="s">
        <v>3696</v>
      </c>
      <c r="D566" t="s">
        <v>476</v>
      </c>
      <c r="E566" t="s">
        <v>478</v>
      </c>
      <c r="F566" t="s">
        <v>4838</v>
      </c>
      <c r="G566" t="s">
        <v>4839</v>
      </c>
      <c r="H566" t="s">
        <v>3699</v>
      </c>
      <c r="I566" t="s">
        <v>3700</v>
      </c>
    </row>
    <row r="567" spans="1:9" x14ac:dyDescent="0.25">
      <c r="A567" t="s">
        <v>2544</v>
      </c>
      <c r="B567" t="s">
        <v>475</v>
      </c>
      <c r="C567" t="s">
        <v>3701</v>
      </c>
      <c r="D567" t="s">
        <v>476</v>
      </c>
      <c r="E567" t="s">
        <v>478</v>
      </c>
      <c r="F567" t="s">
        <v>4840</v>
      </c>
      <c r="G567" t="s">
        <v>4841</v>
      </c>
      <c r="H567" t="s">
        <v>3704</v>
      </c>
      <c r="I567" t="s">
        <v>3705</v>
      </c>
    </row>
    <row r="568" spans="1:9" x14ac:dyDescent="0.25">
      <c r="A568" t="s">
        <v>2547</v>
      </c>
      <c r="B568" t="s">
        <v>475</v>
      </c>
      <c r="C568" t="s">
        <v>3706</v>
      </c>
      <c r="D568" t="s">
        <v>476</v>
      </c>
      <c r="E568" t="s">
        <v>478</v>
      </c>
      <c r="F568" t="s">
        <v>4842</v>
      </c>
      <c r="G568" t="s">
        <v>4843</v>
      </c>
      <c r="H568" t="s">
        <v>3704</v>
      </c>
      <c r="I568" t="s">
        <v>3709</v>
      </c>
    </row>
    <row r="569" spans="1:9" x14ac:dyDescent="0.25">
      <c r="A569" t="s">
        <v>2550</v>
      </c>
      <c r="B569" t="s">
        <v>475</v>
      </c>
      <c r="C569" t="s">
        <v>3710</v>
      </c>
      <c r="D569" t="s">
        <v>476</v>
      </c>
      <c r="E569" t="s">
        <v>478</v>
      </c>
      <c r="F569" t="s">
        <v>4844</v>
      </c>
      <c r="G569" t="s">
        <v>4845</v>
      </c>
      <c r="H569" t="s">
        <v>3713</v>
      </c>
      <c r="I569" t="s">
        <v>3714</v>
      </c>
    </row>
    <row r="570" spans="1:9" x14ac:dyDescent="0.25">
      <c r="A570" t="s">
        <v>2552</v>
      </c>
      <c r="B570" t="s">
        <v>475</v>
      </c>
      <c r="C570" t="s">
        <v>3715</v>
      </c>
      <c r="D570" t="s">
        <v>476</v>
      </c>
      <c r="E570" t="s">
        <v>478</v>
      </c>
      <c r="F570" t="s">
        <v>4846</v>
      </c>
      <c r="G570" t="s">
        <v>4847</v>
      </c>
      <c r="H570" t="s">
        <v>3704</v>
      </c>
      <c r="I570" t="s">
        <v>3700</v>
      </c>
    </row>
    <row r="571" spans="1:9" x14ac:dyDescent="0.25">
      <c r="A571" t="s">
        <v>2554</v>
      </c>
      <c r="B571" t="s">
        <v>475</v>
      </c>
      <c r="C571" t="s">
        <v>3718</v>
      </c>
      <c r="D571" t="s">
        <v>476</v>
      </c>
      <c r="E571" t="s">
        <v>478</v>
      </c>
      <c r="F571" t="s">
        <v>4848</v>
      </c>
      <c r="G571" t="s">
        <v>4849</v>
      </c>
      <c r="H571" t="s">
        <v>3713</v>
      </c>
      <c r="I571" t="s">
        <v>3721</v>
      </c>
    </row>
    <row r="572" spans="1:9" x14ac:dyDescent="0.25">
      <c r="A572" t="s">
        <v>2557</v>
      </c>
      <c r="B572" t="s">
        <v>481</v>
      </c>
      <c r="C572" t="s">
        <v>3696</v>
      </c>
      <c r="D572" t="s">
        <v>476</v>
      </c>
      <c r="E572" t="s">
        <v>482</v>
      </c>
      <c r="F572" t="s">
        <v>4850</v>
      </c>
      <c r="G572" t="s">
        <v>4851</v>
      </c>
      <c r="H572" t="s">
        <v>3699</v>
      </c>
      <c r="I572" t="s">
        <v>3700</v>
      </c>
    </row>
    <row r="573" spans="1:9" x14ac:dyDescent="0.25">
      <c r="A573" t="s">
        <v>2563</v>
      </c>
      <c r="B573" t="s">
        <v>481</v>
      </c>
      <c r="C573" t="s">
        <v>3701</v>
      </c>
      <c r="D573" t="s">
        <v>476</v>
      </c>
      <c r="E573" t="s">
        <v>482</v>
      </c>
      <c r="F573" t="s">
        <v>4852</v>
      </c>
      <c r="G573" t="s">
        <v>4853</v>
      </c>
      <c r="H573" t="s">
        <v>3704</v>
      </c>
      <c r="I573" t="s">
        <v>3705</v>
      </c>
    </row>
    <row r="574" spans="1:9" x14ac:dyDescent="0.25">
      <c r="A574" t="s">
        <v>2566</v>
      </c>
      <c r="B574" t="s">
        <v>481</v>
      </c>
      <c r="C574" t="s">
        <v>3706</v>
      </c>
      <c r="D574" t="s">
        <v>476</v>
      </c>
      <c r="E574" t="s">
        <v>482</v>
      </c>
      <c r="F574" t="s">
        <v>4854</v>
      </c>
      <c r="G574" t="s">
        <v>4855</v>
      </c>
      <c r="H574" t="s">
        <v>3704</v>
      </c>
      <c r="I574" t="s">
        <v>3709</v>
      </c>
    </row>
    <row r="575" spans="1:9" x14ac:dyDescent="0.25">
      <c r="A575" t="s">
        <v>2569</v>
      </c>
      <c r="B575" t="s">
        <v>481</v>
      </c>
      <c r="C575" t="s">
        <v>3710</v>
      </c>
      <c r="D575" t="s">
        <v>476</v>
      </c>
      <c r="E575" t="s">
        <v>482</v>
      </c>
      <c r="F575" t="s">
        <v>4856</v>
      </c>
      <c r="G575" t="s">
        <v>4857</v>
      </c>
      <c r="H575" t="s">
        <v>3713</v>
      </c>
      <c r="I575" t="s">
        <v>3714</v>
      </c>
    </row>
    <row r="576" spans="1:9" x14ac:dyDescent="0.25">
      <c r="A576" t="s">
        <v>2571</v>
      </c>
      <c r="B576" t="s">
        <v>481</v>
      </c>
      <c r="C576" t="s">
        <v>3715</v>
      </c>
      <c r="D576" t="s">
        <v>476</v>
      </c>
      <c r="E576" t="s">
        <v>482</v>
      </c>
      <c r="F576" t="s">
        <v>4858</v>
      </c>
      <c r="G576" t="s">
        <v>4859</v>
      </c>
      <c r="H576" t="s">
        <v>3704</v>
      </c>
      <c r="I576" t="s">
        <v>3700</v>
      </c>
    </row>
    <row r="577" spans="1:9" x14ac:dyDescent="0.25">
      <c r="A577" t="s">
        <v>2573</v>
      </c>
      <c r="B577" t="s">
        <v>481</v>
      </c>
      <c r="C577" t="s">
        <v>3718</v>
      </c>
      <c r="D577" t="s">
        <v>476</v>
      </c>
      <c r="E577" t="s">
        <v>482</v>
      </c>
      <c r="F577" t="s">
        <v>4860</v>
      </c>
      <c r="G577" t="s">
        <v>4861</v>
      </c>
      <c r="H577" t="s">
        <v>3713</v>
      </c>
      <c r="I577" t="s">
        <v>3721</v>
      </c>
    </row>
    <row r="578" spans="1:9" x14ac:dyDescent="0.25">
      <c r="A578" t="s">
        <v>2576</v>
      </c>
      <c r="B578" t="s">
        <v>485</v>
      </c>
      <c r="C578" t="s">
        <v>3696</v>
      </c>
      <c r="D578" t="s">
        <v>476</v>
      </c>
      <c r="E578" t="s">
        <v>486</v>
      </c>
      <c r="F578" t="s">
        <v>4862</v>
      </c>
      <c r="G578" t="s">
        <v>4863</v>
      </c>
      <c r="H578" t="s">
        <v>3699</v>
      </c>
      <c r="I578" t="s">
        <v>3700</v>
      </c>
    </row>
    <row r="579" spans="1:9" x14ac:dyDescent="0.25">
      <c r="A579" t="s">
        <v>2582</v>
      </c>
      <c r="B579" t="s">
        <v>485</v>
      </c>
      <c r="C579" t="s">
        <v>3701</v>
      </c>
      <c r="D579" t="s">
        <v>476</v>
      </c>
      <c r="E579" t="s">
        <v>486</v>
      </c>
      <c r="F579" t="s">
        <v>4864</v>
      </c>
      <c r="G579" t="s">
        <v>4865</v>
      </c>
      <c r="H579" t="s">
        <v>3704</v>
      </c>
      <c r="I579" t="s">
        <v>3705</v>
      </c>
    </row>
    <row r="580" spans="1:9" x14ac:dyDescent="0.25">
      <c r="A580" t="s">
        <v>2585</v>
      </c>
      <c r="B580" t="s">
        <v>485</v>
      </c>
      <c r="C580" t="s">
        <v>3706</v>
      </c>
      <c r="D580" t="s">
        <v>476</v>
      </c>
      <c r="E580" t="s">
        <v>486</v>
      </c>
      <c r="F580" t="s">
        <v>4866</v>
      </c>
      <c r="G580" t="s">
        <v>4867</v>
      </c>
      <c r="H580" t="s">
        <v>3704</v>
      </c>
      <c r="I580" t="s">
        <v>3709</v>
      </c>
    </row>
    <row r="581" spans="1:9" x14ac:dyDescent="0.25">
      <c r="A581" t="s">
        <v>2588</v>
      </c>
      <c r="B581" t="s">
        <v>485</v>
      </c>
      <c r="C581" t="s">
        <v>3710</v>
      </c>
      <c r="D581" t="s">
        <v>476</v>
      </c>
      <c r="E581" t="s">
        <v>486</v>
      </c>
      <c r="F581" t="s">
        <v>4868</v>
      </c>
      <c r="G581" t="s">
        <v>4869</v>
      </c>
      <c r="H581" t="s">
        <v>3713</v>
      </c>
      <c r="I581" t="s">
        <v>3714</v>
      </c>
    </row>
    <row r="582" spans="1:9" x14ac:dyDescent="0.25">
      <c r="A582" t="s">
        <v>2590</v>
      </c>
      <c r="B582" t="s">
        <v>485</v>
      </c>
      <c r="C582" t="s">
        <v>3715</v>
      </c>
      <c r="D582" t="s">
        <v>476</v>
      </c>
      <c r="E582" t="s">
        <v>486</v>
      </c>
      <c r="F582" t="s">
        <v>4870</v>
      </c>
      <c r="G582" t="s">
        <v>4871</v>
      </c>
      <c r="H582" t="s">
        <v>3704</v>
      </c>
      <c r="I582" t="s">
        <v>3700</v>
      </c>
    </row>
    <row r="583" spans="1:9" x14ac:dyDescent="0.25">
      <c r="A583" t="s">
        <v>2592</v>
      </c>
      <c r="B583" t="s">
        <v>485</v>
      </c>
      <c r="C583" t="s">
        <v>3718</v>
      </c>
      <c r="D583" t="s">
        <v>476</v>
      </c>
      <c r="E583" t="s">
        <v>486</v>
      </c>
      <c r="F583" t="s">
        <v>4872</v>
      </c>
      <c r="G583" t="s">
        <v>4873</v>
      </c>
      <c r="H583" t="s">
        <v>3713</v>
      </c>
      <c r="I583" t="s">
        <v>3721</v>
      </c>
    </row>
    <row r="584" spans="1:9" x14ac:dyDescent="0.25">
      <c r="A584" t="s">
        <v>2595</v>
      </c>
      <c r="B584" t="s">
        <v>489</v>
      </c>
      <c r="C584" t="s">
        <v>3696</v>
      </c>
      <c r="D584" t="s">
        <v>476</v>
      </c>
      <c r="E584" t="s">
        <v>490</v>
      </c>
      <c r="F584" t="s">
        <v>4874</v>
      </c>
      <c r="G584" t="s">
        <v>4875</v>
      </c>
      <c r="H584" t="s">
        <v>3699</v>
      </c>
      <c r="I584" t="s">
        <v>3700</v>
      </c>
    </row>
    <row r="585" spans="1:9" x14ac:dyDescent="0.25">
      <c r="A585" t="s">
        <v>2601</v>
      </c>
      <c r="B585" t="s">
        <v>489</v>
      </c>
      <c r="C585" t="s">
        <v>3701</v>
      </c>
      <c r="D585" t="s">
        <v>476</v>
      </c>
      <c r="E585" t="s">
        <v>490</v>
      </c>
      <c r="F585" t="s">
        <v>4876</v>
      </c>
      <c r="G585" t="s">
        <v>4877</v>
      </c>
      <c r="H585" t="s">
        <v>3704</v>
      </c>
      <c r="I585" t="s">
        <v>3705</v>
      </c>
    </row>
    <row r="586" spans="1:9" x14ac:dyDescent="0.25">
      <c r="A586" t="s">
        <v>2604</v>
      </c>
      <c r="B586" t="s">
        <v>489</v>
      </c>
      <c r="C586" t="s">
        <v>3706</v>
      </c>
      <c r="D586" t="s">
        <v>476</v>
      </c>
      <c r="E586" t="s">
        <v>490</v>
      </c>
      <c r="F586" t="s">
        <v>4878</v>
      </c>
      <c r="G586" t="s">
        <v>4879</v>
      </c>
      <c r="H586" t="s">
        <v>3704</v>
      </c>
      <c r="I586" t="s">
        <v>3709</v>
      </c>
    </row>
    <row r="587" spans="1:9" x14ac:dyDescent="0.25">
      <c r="A587" t="s">
        <v>2607</v>
      </c>
      <c r="B587" t="s">
        <v>489</v>
      </c>
      <c r="C587" t="s">
        <v>3710</v>
      </c>
      <c r="D587" t="s">
        <v>476</v>
      </c>
      <c r="E587" t="s">
        <v>490</v>
      </c>
      <c r="F587" t="s">
        <v>4880</v>
      </c>
      <c r="G587" t="s">
        <v>4881</v>
      </c>
      <c r="H587" t="s">
        <v>3713</v>
      </c>
      <c r="I587" t="s">
        <v>3714</v>
      </c>
    </row>
    <row r="588" spans="1:9" x14ac:dyDescent="0.25">
      <c r="A588" t="s">
        <v>2609</v>
      </c>
      <c r="B588" t="s">
        <v>489</v>
      </c>
      <c r="C588" t="s">
        <v>3715</v>
      </c>
      <c r="D588" t="s">
        <v>476</v>
      </c>
      <c r="E588" t="s">
        <v>490</v>
      </c>
      <c r="F588" t="s">
        <v>4882</v>
      </c>
      <c r="G588" t="s">
        <v>4883</v>
      </c>
      <c r="H588" t="s">
        <v>3704</v>
      </c>
      <c r="I588" t="s">
        <v>3700</v>
      </c>
    </row>
    <row r="589" spans="1:9" x14ac:dyDescent="0.25">
      <c r="A589" t="s">
        <v>2611</v>
      </c>
      <c r="B589" t="s">
        <v>489</v>
      </c>
      <c r="C589" t="s">
        <v>3718</v>
      </c>
      <c r="D589" t="s">
        <v>476</v>
      </c>
      <c r="E589" t="s">
        <v>490</v>
      </c>
      <c r="F589" t="s">
        <v>4884</v>
      </c>
      <c r="G589" t="s">
        <v>4885</v>
      </c>
      <c r="H589" t="s">
        <v>3713</v>
      </c>
      <c r="I589" t="s">
        <v>3721</v>
      </c>
    </row>
    <row r="590" spans="1:9" x14ac:dyDescent="0.25">
      <c r="A590" t="s">
        <v>2614</v>
      </c>
      <c r="B590" t="s">
        <v>493</v>
      </c>
      <c r="C590" t="s">
        <v>3696</v>
      </c>
      <c r="D590" t="s">
        <v>476</v>
      </c>
      <c r="E590" t="s">
        <v>494</v>
      </c>
      <c r="F590" t="s">
        <v>4886</v>
      </c>
      <c r="G590" t="s">
        <v>4887</v>
      </c>
      <c r="H590" t="s">
        <v>3699</v>
      </c>
      <c r="I590" t="s">
        <v>3700</v>
      </c>
    </row>
    <row r="591" spans="1:9" x14ac:dyDescent="0.25">
      <c r="A591" t="s">
        <v>2620</v>
      </c>
      <c r="B591" t="s">
        <v>493</v>
      </c>
      <c r="C591" t="s">
        <v>3701</v>
      </c>
      <c r="D591" t="s">
        <v>476</v>
      </c>
      <c r="E591" t="s">
        <v>494</v>
      </c>
      <c r="F591" t="s">
        <v>4888</v>
      </c>
      <c r="G591" t="s">
        <v>4889</v>
      </c>
      <c r="H591" t="s">
        <v>3704</v>
      </c>
      <c r="I591" t="s">
        <v>3705</v>
      </c>
    </row>
    <row r="592" spans="1:9" x14ac:dyDescent="0.25">
      <c r="A592" t="s">
        <v>2623</v>
      </c>
      <c r="B592" t="s">
        <v>493</v>
      </c>
      <c r="C592" t="s">
        <v>3706</v>
      </c>
      <c r="D592" t="s">
        <v>476</v>
      </c>
      <c r="E592" t="s">
        <v>494</v>
      </c>
      <c r="F592" t="s">
        <v>4890</v>
      </c>
      <c r="G592" t="s">
        <v>4891</v>
      </c>
      <c r="H592" t="s">
        <v>3704</v>
      </c>
      <c r="I592" t="s">
        <v>3709</v>
      </c>
    </row>
    <row r="593" spans="1:9" x14ac:dyDescent="0.25">
      <c r="A593" t="s">
        <v>2626</v>
      </c>
      <c r="B593" t="s">
        <v>493</v>
      </c>
      <c r="C593" t="s">
        <v>3710</v>
      </c>
      <c r="D593" t="s">
        <v>476</v>
      </c>
      <c r="E593" t="s">
        <v>494</v>
      </c>
      <c r="F593" t="s">
        <v>4892</v>
      </c>
      <c r="G593" t="s">
        <v>4893</v>
      </c>
      <c r="H593" t="s">
        <v>3713</v>
      </c>
      <c r="I593" t="s">
        <v>3714</v>
      </c>
    </row>
    <row r="594" spans="1:9" x14ac:dyDescent="0.25">
      <c r="A594" t="s">
        <v>2628</v>
      </c>
      <c r="B594" t="s">
        <v>493</v>
      </c>
      <c r="C594" t="s">
        <v>3715</v>
      </c>
      <c r="D594" t="s">
        <v>476</v>
      </c>
      <c r="E594" t="s">
        <v>494</v>
      </c>
      <c r="F594" t="s">
        <v>4894</v>
      </c>
      <c r="G594" t="s">
        <v>4895</v>
      </c>
      <c r="H594" t="s">
        <v>3704</v>
      </c>
      <c r="I594" t="s">
        <v>3700</v>
      </c>
    </row>
    <row r="595" spans="1:9" x14ac:dyDescent="0.25">
      <c r="A595" t="s">
        <v>2630</v>
      </c>
      <c r="B595" t="s">
        <v>493</v>
      </c>
      <c r="C595" t="s">
        <v>3718</v>
      </c>
      <c r="D595" t="s">
        <v>476</v>
      </c>
      <c r="E595" t="s">
        <v>494</v>
      </c>
      <c r="F595" t="s">
        <v>4896</v>
      </c>
      <c r="G595" t="s">
        <v>4897</v>
      </c>
      <c r="H595" t="s">
        <v>3713</v>
      </c>
      <c r="I595" t="s">
        <v>3721</v>
      </c>
    </row>
    <row r="596" spans="1:9" x14ac:dyDescent="0.25">
      <c r="A596" t="s">
        <v>2633</v>
      </c>
      <c r="B596" t="s">
        <v>497</v>
      </c>
      <c r="C596" t="s">
        <v>3696</v>
      </c>
      <c r="D596" t="s">
        <v>476</v>
      </c>
      <c r="E596" t="s">
        <v>499</v>
      </c>
      <c r="F596" t="s">
        <v>4898</v>
      </c>
      <c r="G596" t="s">
        <v>4899</v>
      </c>
      <c r="H596" t="s">
        <v>3699</v>
      </c>
      <c r="I596" t="s">
        <v>3700</v>
      </c>
    </row>
    <row r="597" spans="1:9" x14ac:dyDescent="0.25">
      <c r="A597" t="s">
        <v>2639</v>
      </c>
      <c r="B597" t="s">
        <v>497</v>
      </c>
      <c r="C597" t="s">
        <v>3701</v>
      </c>
      <c r="D597" t="s">
        <v>476</v>
      </c>
      <c r="E597" t="s">
        <v>499</v>
      </c>
      <c r="F597" t="s">
        <v>4900</v>
      </c>
      <c r="G597" t="s">
        <v>4901</v>
      </c>
      <c r="H597" t="s">
        <v>3704</v>
      </c>
      <c r="I597" t="s">
        <v>3705</v>
      </c>
    </row>
    <row r="598" spans="1:9" x14ac:dyDescent="0.25">
      <c r="A598" t="s">
        <v>2642</v>
      </c>
      <c r="B598" t="s">
        <v>497</v>
      </c>
      <c r="C598" t="s">
        <v>3706</v>
      </c>
      <c r="D598" t="s">
        <v>476</v>
      </c>
      <c r="E598" t="s">
        <v>499</v>
      </c>
      <c r="F598" t="s">
        <v>4902</v>
      </c>
      <c r="G598" t="s">
        <v>4903</v>
      </c>
      <c r="H598" t="s">
        <v>3704</v>
      </c>
      <c r="I598" t="s">
        <v>3709</v>
      </c>
    </row>
    <row r="599" spans="1:9" x14ac:dyDescent="0.25">
      <c r="A599" t="s">
        <v>2645</v>
      </c>
      <c r="B599" t="s">
        <v>497</v>
      </c>
      <c r="C599" t="s">
        <v>3710</v>
      </c>
      <c r="D599" t="s">
        <v>476</v>
      </c>
      <c r="E599" t="s">
        <v>499</v>
      </c>
      <c r="F599" t="s">
        <v>4904</v>
      </c>
      <c r="G599" t="s">
        <v>4905</v>
      </c>
      <c r="H599" t="s">
        <v>3713</v>
      </c>
      <c r="I599" t="s">
        <v>3714</v>
      </c>
    </row>
    <row r="600" spans="1:9" x14ac:dyDescent="0.25">
      <c r="A600" t="s">
        <v>2647</v>
      </c>
      <c r="B600" t="s">
        <v>497</v>
      </c>
      <c r="C600" t="s">
        <v>3715</v>
      </c>
      <c r="D600" t="s">
        <v>476</v>
      </c>
      <c r="E600" t="s">
        <v>499</v>
      </c>
      <c r="F600" t="s">
        <v>4906</v>
      </c>
      <c r="G600" t="s">
        <v>4907</v>
      </c>
      <c r="H600" t="s">
        <v>3704</v>
      </c>
      <c r="I600" t="s">
        <v>3700</v>
      </c>
    </row>
    <row r="601" spans="1:9" x14ac:dyDescent="0.25">
      <c r="A601" t="s">
        <v>2649</v>
      </c>
      <c r="B601" t="s">
        <v>497</v>
      </c>
      <c r="C601" t="s">
        <v>3718</v>
      </c>
      <c r="D601" t="s">
        <v>476</v>
      </c>
      <c r="E601" t="s">
        <v>499</v>
      </c>
      <c r="F601" t="s">
        <v>4908</v>
      </c>
      <c r="G601" t="s">
        <v>4909</v>
      </c>
      <c r="H601" t="s">
        <v>3713</v>
      </c>
      <c r="I601" t="s">
        <v>3721</v>
      </c>
    </row>
    <row r="602" spans="1:9" x14ac:dyDescent="0.25">
      <c r="A602" t="s">
        <v>2652</v>
      </c>
      <c r="B602" t="s">
        <v>503</v>
      </c>
      <c r="C602" t="s">
        <v>3696</v>
      </c>
      <c r="D602" t="s">
        <v>476</v>
      </c>
      <c r="E602" t="s">
        <v>504</v>
      </c>
      <c r="F602" t="s">
        <v>4910</v>
      </c>
      <c r="G602" t="s">
        <v>4911</v>
      </c>
      <c r="H602" t="s">
        <v>3699</v>
      </c>
      <c r="I602" t="s">
        <v>3700</v>
      </c>
    </row>
    <row r="603" spans="1:9" x14ac:dyDescent="0.25">
      <c r="A603" t="s">
        <v>2658</v>
      </c>
      <c r="B603" t="s">
        <v>503</v>
      </c>
      <c r="C603" t="s">
        <v>3701</v>
      </c>
      <c r="D603" t="s">
        <v>476</v>
      </c>
      <c r="E603" t="s">
        <v>504</v>
      </c>
      <c r="F603" t="s">
        <v>4912</v>
      </c>
      <c r="G603" t="s">
        <v>4913</v>
      </c>
      <c r="H603" t="s">
        <v>3704</v>
      </c>
      <c r="I603" t="s">
        <v>3705</v>
      </c>
    </row>
    <row r="604" spans="1:9" x14ac:dyDescent="0.25">
      <c r="A604" t="s">
        <v>2661</v>
      </c>
      <c r="B604" t="s">
        <v>503</v>
      </c>
      <c r="C604" t="s">
        <v>3706</v>
      </c>
      <c r="D604" t="s">
        <v>476</v>
      </c>
      <c r="E604" t="s">
        <v>504</v>
      </c>
      <c r="F604" t="s">
        <v>4914</v>
      </c>
      <c r="G604" t="s">
        <v>4915</v>
      </c>
      <c r="H604" t="s">
        <v>3704</v>
      </c>
      <c r="I604" t="s">
        <v>3709</v>
      </c>
    </row>
    <row r="605" spans="1:9" x14ac:dyDescent="0.25">
      <c r="A605" t="s">
        <v>2664</v>
      </c>
      <c r="B605" t="s">
        <v>503</v>
      </c>
      <c r="C605" t="s">
        <v>3710</v>
      </c>
      <c r="D605" t="s">
        <v>476</v>
      </c>
      <c r="E605" t="s">
        <v>504</v>
      </c>
      <c r="F605" t="s">
        <v>4916</v>
      </c>
      <c r="G605" t="s">
        <v>4917</v>
      </c>
      <c r="H605" t="s">
        <v>3713</v>
      </c>
      <c r="I605" t="s">
        <v>3714</v>
      </c>
    </row>
    <row r="606" spans="1:9" x14ac:dyDescent="0.25">
      <c r="A606" t="s">
        <v>2666</v>
      </c>
      <c r="B606" t="s">
        <v>503</v>
      </c>
      <c r="C606" t="s">
        <v>3715</v>
      </c>
      <c r="D606" t="s">
        <v>476</v>
      </c>
      <c r="E606" t="s">
        <v>504</v>
      </c>
      <c r="F606" t="s">
        <v>4918</v>
      </c>
      <c r="G606" t="s">
        <v>4919</v>
      </c>
      <c r="H606" t="s">
        <v>3704</v>
      </c>
      <c r="I606" t="s">
        <v>3700</v>
      </c>
    </row>
    <row r="607" spans="1:9" x14ac:dyDescent="0.25">
      <c r="A607" t="s">
        <v>2668</v>
      </c>
      <c r="B607" t="s">
        <v>503</v>
      </c>
      <c r="C607" t="s">
        <v>3718</v>
      </c>
      <c r="D607" t="s">
        <v>476</v>
      </c>
      <c r="E607" t="s">
        <v>504</v>
      </c>
      <c r="F607" t="s">
        <v>4920</v>
      </c>
      <c r="G607" t="s">
        <v>4921</v>
      </c>
      <c r="H607" t="s">
        <v>3713</v>
      </c>
      <c r="I607" t="s">
        <v>3721</v>
      </c>
    </row>
    <row r="608" spans="1:9" x14ac:dyDescent="0.25">
      <c r="A608" t="s">
        <v>2671</v>
      </c>
      <c r="B608" t="s">
        <v>507</v>
      </c>
      <c r="C608" t="s">
        <v>3696</v>
      </c>
      <c r="D608" t="s">
        <v>476</v>
      </c>
      <c r="E608" t="s">
        <v>508</v>
      </c>
      <c r="F608" t="s">
        <v>4922</v>
      </c>
      <c r="G608" t="s">
        <v>4923</v>
      </c>
      <c r="H608" t="s">
        <v>3699</v>
      </c>
      <c r="I608" t="s">
        <v>3700</v>
      </c>
    </row>
    <row r="609" spans="1:9" x14ac:dyDescent="0.25">
      <c r="A609" t="s">
        <v>2677</v>
      </c>
      <c r="B609" t="s">
        <v>507</v>
      </c>
      <c r="C609" t="s">
        <v>3701</v>
      </c>
      <c r="D609" t="s">
        <v>476</v>
      </c>
      <c r="E609" t="s">
        <v>508</v>
      </c>
      <c r="F609" t="s">
        <v>4924</v>
      </c>
      <c r="G609" t="s">
        <v>4925</v>
      </c>
      <c r="H609" t="s">
        <v>3704</v>
      </c>
      <c r="I609" t="s">
        <v>3705</v>
      </c>
    </row>
    <row r="610" spans="1:9" x14ac:dyDescent="0.25">
      <c r="A610" t="s">
        <v>2680</v>
      </c>
      <c r="B610" t="s">
        <v>507</v>
      </c>
      <c r="C610" t="s">
        <v>3706</v>
      </c>
      <c r="D610" t="s">
        <v>476</v>
      </c>
      <c r="E610" t="s">
        <v>508</v>
      </c>
      <c r="F610" t="s">
        <v>4926</v>
      </c>
      <c r="G610" t="s">
        <v>4927</v>
      </c>
      <c r="H610" t="s">
        <v>3704</v>
      </c>
      <c r="I610" t="s">
        <v>3709</v>
      </c>
    </row>
    <row r="611" spans="1:9" x14ac:dyDescent="0.25">
      <c r="A611" t="s">
        <v>2683</v>
      </c>
      <c r="B611" t="s">
        <v>507</v>
      </c>
      <c r="C611" t="s">
        <v>3710</v>
      </c>
      <c r="D611" t="s">
        <v>476</v>
      </c>
      <c r="E611" t="s">
        <v>508</v>
      </c>
      <c r="F611" t="s">
        <v>4928</v>
      </c>
      <c r="G611" t="s">
        <v>4929</v>
      </c>
      <c r="H611" t="s">
        <v>3713</v>
      </c>
      <c r="I611" t="s">
        <v>3714</v>
      </c>
    </row>
    <row r="612" spans="1:9" x14ac:dyDescent="0.25">
      <c r="A612" t="s">
        <v>2685</v>
      </c>
      <c r="B612" t="s">
        <v>507</v>
      </c>
      <c r="C612" t="s">
        <v>3715</v>
      </c>
      <c r="D612" t="s">
        <v>476</v>
      </c>
      <c r="E612" t="s">
        <v>508</v>
      </c>
      <c r="F612" t="s">
        <v>4930</v>
      </c>
      <c r="G612" t="s">
        <v>4931</v>
      </c>
      <c r="H612" t="s">
        <v>3704</v>
      </c>
      <c r="I612" t="s">
        <v>3700</v>
      </c>
    </row>
    <row r="613" spans="1:9" x14ac:dyDescent="0.25">
      <c r="A613" t="s">
        <v>2687</v>
      </c>
      <c r="B613" t="s">
        <v>507</v>
      </c>
      <c r="C613" t="s">
        <v>3718</v>
      </c>
      <c r="D613" t="s">
        <v>476</v>
      </c>
      <c r="E613" t="s">
        <v>508</v>
      </c>
      <c r="F613" t="s">
        <v>4932</v>
      </c>
      <c r="G613" t="s">
        <v>4933</v>
      </c>
      <c r="H613" t="s">
        <v>3713</v>
      </c>
      <c r="I613" t="s">
        <v>3721</v>
      </c>
    </row>
    <row r="614" spans="1:9" x14ac:dyDescent="0.25">
      <c r="A614" t="s">
        <v>2689</v>
      </c>
      <c r="B614" t="s">
        <v>511</v>
      </c>
      <c r="C614" t="s">
        <v>3696</v>
      </c>
      <c r="D614" t="s">
        <v>476</v>
      </c>
      <c r="E614" t="s">
        <v>512</v>
      </c>
      <c r="F614" t="s">
        <v>4934</v>
      </c>
      <c r="G614" t="s">
        <v>4935</v>
      </c>
      <c r="H614" t="s">
        <v>3699</v>
      </c>
      <c r="I614" t="s">
        <v>3700</v>
      </c>
    </row>
    <row r="615" spans="1:9" x14ac:dyDescent="0.25">
      <c r="A615" t="s">
        <v>2694</v>
      </c>
      <c r="B615" t="s">
        <v>511</v>
      </c>
      <c r="C615" t="s">
        <v>3701</v>
      </c>
      <c r="D615" t="s">
        <v>476</v>
      </c>
      <c r="E615" t="s">
        <v>512</v>
      </c>
      <c r="F615" t="s">
        <v>4936</v>
      </c>
      <c r="G615" t="s">
        <v>4937</v>
      </c>
      <c r="H615" t="s">
        <v>3704</v>
      </c>
      <c r="I615" t="s">
        <v>3705</v>
      </c>
    </row>
    <row r="616" spans="1:9" x14ac:dyDescent="0.25">
      <c r="A616" t="s">
        <v>2697</v>
      </c>
      <c r="B616" t="s">
        <v>511</v>
      </c>
      <c r="C616" t="s">
        <v>3706</v>
      </c>
      <c r="D616" t="s">
        <v>476</v>
      </c>
      <c r="E616" t="s">
        <v>512</v>
      </c>
      <c r="F616" t="s">
        <v>4938</v>
      </c>
      <c r="G616" t="s">
        <v>4939</v>
      </c>
      <c r="H616" t="s">
        <v>3704</v>
      </c>
      <c r="I616" t="s">
        <v>3709</v>
      </c>
    </row>
    <row r="617" spans="1:9" x14ac:dyDescent="0.25">
      <c r="A617" t="s">
        <v>2700</v>
      </c>
      <c r="B617" t="s">
        <v>511</v>
      </c>
      <c r="C617" t="s">
        <v>3710</v>
      </c>
      <c r="D617" t="s">
        <v>476</v>
      </c>
      <c r="E617" t="s">
        <v>512</v>
      </c>
      <c r="F617" t="s">
        <v>4940</v>
      </c>
      <c r="G617" t="s">
        <v>4941</v>
      </c>
      <c r="H617" t="s">
        <v>3713</v>
      </c>
      <c r="I617" t="s">
        <v>3714</v>
      </c>
    </row>
    <row r="618" spans="1:9" x14ac:dyDescent="0.25">
      <c r="A618" t="s">
        <v>2702</v>
      </c>
      <c r="B618" t="s">
        <v>511</v>
      </c>
      <c r="C618" t="s">
        <v>3715</v>
      </c>
      <c r="D618" t="s">
        <v>476</v>
      </c>
      <c r="E618" t="s">
        <v>512</v>
      </c>
      <c r="F618" t="s">
        <v>4942</v>
      </c>
      <c r="G618" t="s">
        <v>4943</v>
      </c>
      <c r="H618" t="s">
        <v>3704</v>
      </c>
      <c r="I618" t="s">
        <v>3700</v>
      </c>
    </row>
    <row r="619" spans="1:9" x14ac:dyDescent="0.25">
      <c r="A619" t="s">
        <v>2704</v>
      </c>
      <c r="B619" t="s">
        <v>511</v>
      </c>
      <c r="C619" t="s">
        <v>3718</v>
      </c>
      <c r="D619" t="s">
        <v>476</v>
      </c>
      <c r="E619" t="s">
        <v>512</v>
      </c>
      <c r="F619" t="s">
        <v>4944</v>
      </c>
      <c r="G619" t="s">
        <v>4945</v>
      </c>
      <c r="H619" t="s">
        <v>3713</v>
      </c>
      <c r="I619" t="s">
        <v>3721</v>
      </c>
    </row>
    <row r="620" spans="1:9" x14ac:dyDescent="0.25">
      <c r="A620" t="s">
        <v>2707</v>
      </c>
      <c r="B620" t="s">
        <v>515</v>
      </c>
      <c r="C620" t="s">
        <v>3696</v>
      </c>
      <c r="D620" t="s">
        <v>476</v>
      </c>
      <c r="E620" t="s">
        <v>516</v>
      </c>
      <c r="F620" t="s">
        <v>4946</v>
      </c>
      <c r="G620" t="s">
        <v>4947</v>
      </c>
      <c r="H620" t="s">
        <v>3699</v>
      </c>
      <c r="I620" t="s">
        <v>3700</v>
      </c>
    </row>
    <row r="621" spans="1:9" x14ac:dyDescent="0.25">
      <c r="A621" t="s">
        <v>2713</v>
      </c>
      <c r="B621" t="s">
        <v>515</v>
      </c>
      <c r="C621" t="s">
        <v>3701</v>
      </c>
      <c r="D621" t="s">
        <v>476</v>
      </c>
      <c r="E621" t="s">
        <v>516</v>
      </c>
      <c r="F621" t="s">
        <v>4948</v>
      </c>
      <c r="G621" t="s">
        <v>4949</v>
      </c>
      <c r="H621" t="s">
        <v>3704</v>
      </c>
      <c r="I621" t="s">
        <v>3705</v>
      </c>
    </row>
    <row r="622" spans="1:9" x14ac:dyDescent="0.25">
      <c r="A622" t="s">
        <v>2716</v>
      </c>
      <c r="B622" t="s">
        <v>515</v>
      </c>
      <c r="C622" t="s">
        <v>3706</v>
      </c>
      <c r="D622" t="s">
        <v>476</v>
      </c>
      <c r="E622" t="s">
        <v>516</v>
      </c>
      <c r="F622" t="s">
        <v>4950</v>
      </c>
      <c r="G622" t="s">
        <v>4951</v>
      </c>
      <c r="H622" t="s">
        <v>3704</v>
      </c>
      <c r="I622" t="s">
        <v>3709</v>
      </c>
    </row>
    <row r="623" spans="1:9" x14ac:dyDescent="0.25">
      <c r="A623" t="s">
        <v>2719</v>
      </c>
      <c r="B623" t="s">
        <v>515</v>
      </c>
      <c r="C623" t="s">
        <v>3710</v>
      </c>
      <c r="D623" t="s">
        <v>476</v>
      </c>
      <c r="E623" t="s">
        <v>516</v>
      </c>
      <c r="F623" t="s">
        <v>4952</v>
      </c>
      <c r="G623" t="s">
        <v>4953</v>
      </c>
      <c r="H623" t="s">
        <v>3713</v>
      </c>
      <c r="I623" t="s">
        <v>3714</v>
      </c>
    </row>
    <row r="624" spans="1:9" x14ac:dyDescent="0.25">
      <c r="A624" t="s">
        <v>2721</v>
      </c>
      <c r="B624" t="s">
        <v>515</v>
      </c>
      <c r="C624" t="s">
        <v>3715</v>
      </c>
      <c r="D624" t="s">
        <v>476</v>
      </c>
      <c r="E624" t="s">
        <v>516</v>
      </c>
      <c r="F624" t="s">
        <v>4954</v>
      </c>
      <c r="G624" t="s">
        <v>4955</v>
      </c>
      <c r="H624" t="s">
        <v>3704</v>
      </c>
      <c r="I624" t="s">
        <v>3700</v>
      </c>
    </row>
    <row r="625" spans="1:9" x14ac:dyDescent="0.25">
      <c r="A625" t="s">
        <v>2723</v>
      </c>
      <c r="B625" t="s">
        <v>515</v>
      </c>
      <c r="C625" t="s">
        <v>3718</v>
      </c>
      <c r="D625" t="s">
        <v>476</v>
      </c>
      <c r="E625" t="s">
        <v>516</v>
      </c>
      <c r="F625" t="s">
        <v>4956</v>
      </c>
      <c r="G625" t="s">
        <v>4957</v>
      </c>
      <c r="H625" t="s">
        <v>3713</v>
      </c>
      <c r="I625" t="s">
        <v>3721</v>
      </c>
    </row>
    <row r="626" spans="1:9" x14ac:dyDescent="0.25">
      <c r="A626" t="s">
        <v>2726</v>
      </c>
      <c r="B626" t="s">
        <v>519</v>
      </c>
      <c r="C626" t="s">
        <v>3696</v>
      </c>
      <c r="D626" t="s">
        <v>476</v>
      </c>
      <c r="E626" t="s">
        <v>521</v>
      </c>
      <c r="F626" t="s">
        <v>4958</v>
      </c>
      <c r="G626" t="s">
        <v>4959</v>
      </c>
      <c r="H626" t="s">
        <v>3699</v>
      </c>
      <c r="I626" t="s">
        <v>3700</v>
      </c>
    </row>
    <row r="627" spans="1:9" x14ac:dyDescent="0.25">
      <c r="A627" t="s">
        <v>2732</v>
      </c>
      <c r="B627" t="s">
        <v>519</v>
      </c>
      <c r="C627" t="s">
        <v>3701</v>
      </c>
      <c r="D627" t="s">
        <v>476</v>
      </c>
      <c r="E627" t="s">
        <v>521</v>
      </c>
      <c r="F627" t="s">
        <v>4960</v>
      </c>
      <c r="G627" t="s">
        <v>4961</v>
      </c>
      <c r="H627" t="s">
        <v>3704</v>
      </c>
      <c r="I627" t="s">
        <v>3705</v>
      </c>
    </row>
    <row r="628" spans="1:9" x14ac:dyDescent="0.25">
      <c r="A628" t="s">
        <v>2735</v>
      </c>
      <c r="B628" t="s">
        <v>519</v>
      </c>
      <c r="C628" t="s">
        <v>3706</v>
      </c>
      <c r="D628" t="s">
        <v>476</v>
      </c>
      <c r="E628" t="s">
        <v>521</v>
      </c>
      <c r="F628" t="s">
        <v>4962</v>
      </c>
      <c r="G628" t="s">
        <v>4963</v>
      </c>
      <c r="H628" t="s">
        <v>3704</v>
      </c>
      <c r="I628" t="s">
        <v>3709</v>
      </c>
    </row>
    <row r="629" spans="1:9" x14ac:dyDescent="0.25">
      <c r="A629" t="s">
        <v>2738</v>
      </c>
      <c r="B629" t="s">
        <v>519</v>
      </c>
      <c r="C629" t="s">
        <v>3710</v>
      </c>
      <c r="D629" t="s">
        <v>476</v>
      </c>
      <c r="E629" t="s">
        <v>521</v>
      </c>
      <c r="F629" t="s">
        <v>4964</v>
      </c>
      <c r="G629" t="s">
        <v>4965</v>
      </c>
      <c r="H629" t="s">
        <v>3713</v>
      </c>
      <c r="I629" t="s">
        <v>3714</v>
      </c>
    </row>
    <row r="630" spans="1:9" x14ac:dyDescent="0.25">
      <c r="A630" t="s">
        <v>2740</v>
      </c>
      <c r="B630" t="s">
        <v>519</v>
      </c>
      <c r="C630" t="s">
        <v>3715</v>
      </c>
      <c r="D630" t="s">
        <v>476</v>
      </c>
      <c r="E630" t="s">
        <v>521</v>
      </c>
      <c r="F630" t="s">
        <v>4966</v>
      </c>
      <c r="G630" t="s">
        <v>4967</v>
      </c>
      <c r="H630" t="s">
        <v>3704</v>
      </c>
      <c r="I630" t="s">
        <v>3700</v>
      </c>
    </row>
    <row r="631" spans="1:9" x14ac:dyDescent="0.25">
      <c r="A631" t="s">
        <v>2742</v>
      </c>
      <c r="B631" t="s">
        <v>519</v>
      </c>
      <c r="C631" t="s">
        <v>3718</v>
      </c>
      <c r="D631" t="s">
        <v>476</v>
      </c>
      <c r="E631" t="s">
        <v>521</v>
      </c>
      <c r="F631" t="s">
        <v>4968</v>
      </c>
      <c r="G631" t="s">
        <v>4969</v>
      </c>
      <c r="H631" t="s">
        <v>3713</v>
      </c>
      <c r="I631" t="s">
        <v>3721</v>
      </c>
    </row>
    <row r="632" spans="1:9" x14ac:dyDescent="0.25">
      <c r="A632" t="s">
        <v>2745</v>
      </c>
      <c r="B632" t="s">
        <v>524</v>
      </c>
      <c r="C632" t="s">
        <v>3696</v>
      </c>
      <c r="D632" t="s">
        <v>476</v>
      </c>
      <c r="E632" t="s">
        <v>525</v>
      </c>
      <c r="F632" t="s">
        <v>4970</v>
      </c>
      <c r="G632" t="s">
        <v>4971</v>
      </c>
      <c r="H632" t="s">
        <v>3699</v>
      </c>
      <c r="I632" t="s">
        <v>3700</v>
      </c>
    </row>
    <row r="633" spans="1:9" x14ac:dyDescent="0.25">
      <c r="A633" t="s">
        <v>2751</v>
      </c>
      <c r="B633" t="s">
        <v>524</v>
      </c>
      <c r="C633" t="s">
        <v>3701</v>
      </c>
      <c r="D633" t="s">
        <v>476</v>
      </c>
      <c r="E633" t="s">
        <v>525</v>
      </c>
      <c r="F633" t="s">
        <v>4972</v>
      </c>
      <c r="G633" t="s">
        <v>4973</v>
      </c>
      <c r="H633" t="s">
        <v>3704</v>
      </c>
      <c r="I633" t="s">
        <v>3705</v>
      </c>
    </row>
    <row r="634" spans="1:9" x14ac:dyDescent="0.25">
      <c r="A634" t="s">
        <v>2754</v>
      </c>
      <c r="B634" t="s">
        <v>524</v>
      </c>
      <c r="C634" t="s">
        <v>3706</v>
      </c>
      <c r="D634" t="s">
        <v>476</v>
      </c>
      <c r="E634" t="s">
        <v>525</v>
      </c>
      <c r="F634" t="s">
        <v>4974</v>
      </c>
      <c r="G634" t="s">
        <v>4975</v>
      </c>
      <c r="H634" t="s">
        <v>3704</v>
      </c>
      <c r="I634" t="s">
        <v>3709</v>
      </c>
    </row>
    <row r="635" spans="1:9" x14ac:dyDescent="0.25">
      <c r="A635" t="s">
        <v>2757</v>
      </c>
      <c r="B635" t="s">
        <v>524</v>
      </c>
      <c r="C635" t="s">
        <v>3710</v>
      </c>
      <c r="D635" t="s">
        <v>476</v>
      </c>
      <c r="E635" t="s">
        <v>525</v>
      </c>
      <c r="F635" t="s">
        <v>4976</v>
      </c>
      <c r="G635" t="s">
        <v>4977</v>
      </c>
      <c r="H635" t="s">
        <v>3713</v>
      </c>
      <c r="I635" t="s">
        <v>3714</v>
      </c>
    </row>
    <row r="636" spans="1:9" x14ac:dyDescent="0.25">
      <c r="A636" t="s">
        <v>2759</v>
      </c>
      <c r="B636" t="s">
        <v>524</v>
      </c>
      <c r="C636" t="s">
        <v>3715</v>
      </c>
      <c r="D636" t="s">
        <v>476</v>
      </c>
      <c r="E636" t="s">
        <v>525</v>
      </c>
      <c r="F636" t="s">
        <v>4978</v>
      </c>
      <c r="G636" t="s">
        <v>4979</v>
      </c>
      <c r="H636" t="s">
        <v>3704</v>
      </c>
      <c r="I636" t="s">
        <v>3700</v>
      </c>
    </row>
    <row r="637" spans="1:9" x14ac:dyDescent="0.25">
      <c r="A637" t="s">
        <v>2761</v>
      </c>
      <c r="B637" t="s">
        <v>524</v>
      </c>
      <c r="C637" t="s">
        <v>3718</v>
      </c>
      <c r="D637" t="s">
        <v>476</v>
      </c>
      <c r="E637" t="s">
        <v>525</v>
      </c>
      <c r="F637" t="s">
        <v>4980</v>
      </c>
      <c r="G637" t="s">
        <v>4981</v>
      </c>
      <c r="H637" t="s">
        <v>3713</v>
      </c>
      <c r="I637" t="s">
        <v>3721</v>
      </c>
    </row>
    <row r="638" spans="1:9" x14ac:dyDescent="0.25">
      <c r="A638" t="s">
        <v>2764</v>
      </c>
      <c r="B638" t="s">
        <v>528</v>
      </c>
      <c r="C638" t="s">
        <v>3696</v>
      </c>
      <c r="D638" t="s">
        <v>476</v>
      </c>
      <c r="E638" t="s">
        <v>529</v>
      </c>
      <c r="F638" t="s">
        <v>4982</v>
      </c>
      <c r="G638" t="s">
        <v>4983</v>
      </c>
      <c r="H638" t="s">
        <v>3699</v>
      </c>
      <c r="I638" t="s">
        <v>3700</v>
      </c>
    </row>
    <row r="639" spans="1:9" x14ac:dyDescent="0.25">
      <c r="A639" t="s">
        <v>2770</v>
      </c>
      <c r="B639" t="s">
        <v>528</v>
      </c>
      <c r="C639" t="s">
        <v>3701</v>
      </c>
      <c r="D639" t="s">
        <v>476</v>
      </c>
      <c r="E639" t="s">
        <v>529</v>
      </c>
      <c r="F639" t="s">
        <v>4984</v>
      </c>
      <c r="G639" t="s">
        <v>4985</v>
      </c>
      <c r="H639" t="s">
        <v>3704</v>
      </c>
      <c r="I639" t="s">
        <v>3705</v>
      </c>
    </row>
    <row r="640" spans="1:9" x14ac:dyDescent="0.25">
      <c r="A640" t="s">
        <v>2773</v>
      </c>
      <c r="B640" t="s">
        <v>528</v>
      </c>
      <c r="C640" t="s">
        <v>3706</v>
      </c>
      <c r="D640" t="s">
        <v>476</v>
      </c>
      <c r="E640" t="s">
        <v>529</v>
      </c>
      <c r="F640" t="s">
        <v>4986</v>
      </c>
      <c r="G640" t="s">
        <v>4987</v>
      </c>
      <c r="H640" t="s">
        <v>3704</v>
      </c>
      <c r="I640" t="s">
        <v>3709</v>
      </c>
    </row>
    <row r="641" spans="1:9" x14ac:dyDescent="0.25">
      <c r="A641" t="s">
        <v>2776</v>
      </c>
      <c r="B641" t="s">
        <v>528</v>
      </c>
      <c r="C641" t="s">
        <v>3710</v>
      </c>
      <c r="D641" t="s">
        <v>476</v>
      </c>
      <c r="E641" t="s">
        <v>529</v>
      </c>
      <c r="F641" t="s">
        <v>4988</v>
      </c>
      <c r="G641" t="s">
        <v>4989</v>
      </c>
      <c r="H641" t="s">
        <v>3713</v>
      </c>
      <c r="I641" t="s">
        <v>3714</v>
      </c>
    </row>
    <row r="642" spans="1:9" x14ac:dyDescent="0.25">
      <c r="A642" t="s">
        <v>2778</v>
      </c>
      <c r="B642" t="s">
        <v>528</v>
      </c>
      <c r="C642" t="s">
        <v>3715</v>
      </c>
      <c r="D642" t="s">
        <v>476</v>
      </c>
      <c r="E642" t="s">
        <v>529</v>
      </c>
      <c r="F642" t="s">
        <v>4990</v>
      </c>
      <c r="G642" t="s">
        <v>4991</v>
      </c>
      <c r="H642" t="s">
        <v>3704</v>
      </c>
      <c r="I642" t="s">
        <v>3700</v>
      </c>
    </row>
    <row r="643" spans="1:9" x14ac:dyDescent="0.25">
      <c r="A643" t="s">
        <v>2780</v>
      </c>
      <c r="B643" t="s">
        <v>528</v>
      </c>
      <c r="C643" t="s">
        <v>3718</v>
      </c>
      <c r="D643" t="s">
        <v>476</v>
      </c>
      <c r="E643" t="s">
        <v>529</v>
      </c>
      <c r="F643" t="s">
        <v>4992</v>
      </c>
      <c r="G643" t="s">
        <v>4993</v>
      </c>
      <c r="H643" t="s">
        <v>3713</v>
      </c>
      <c r="I643" t="s">
        <v>3721</v>
      </c>
    </row>
    <row r="644" spans="1:9" x14ac:dyDescent="0.25">
      <c r="A644" t="s">
        <v>2783</v>
      </c>
      <c r="B644" t="s">
        <v>532</v>
      </c>
      <c r="C644" t="s">
        <v>3696</v>
      </c>
      <c r="D644" t="s">
        <v>476</v>
      </c>
      <c r="E644" t="s">
        <v>533</v>
      </c>
      <c r="F644" t="s">
        <v>4994</v>
      </c>
      <c r="G644" t="s">
        <v>4995</v>
      </c>
      <c r="H644" t="s">
        <v>3699</v>
      </c>
      <c r="I644" t="s">
        <v>3700</v>
      </c>
    </row>
    <row r="645" spans="1:9" x14ac:dyDescent="0.25">
      <c r="A645" t="s">
        <v>2789</v>
      </c>
      <c r="B645" t="s">
        <v>532</v>
      </c>
      <c r="C645" t="s">
        <v>3701</v>
      </c>
      <c r="D645" t="s">
        <v>476</v>
      </c>
      <c r="E645" t="s">
        <v>533</v>
      </c>
      <c r="F645" t="s">
        <v>4996</v>
      </c>
      <c r="G645" t="s">
        <v>4997</v>
      </c>
      <c r="H645" t="s">
        <v>3704</v>
      </c>
      <c r="I645" t="s">
        <v>3705</v>
      </c>
    </row>
    <row r="646" spans="1:9" x14ac:dyDescent="0.25">
      <c r="A646" t="s">
        <v>2792</v>
      </c>
      <c r="B646" t="s">
        <v>532</v>
      </c>
      <c r="C646" t="s">
        <v>3706</v>
      </c>
      <c r="D646" t="s">
        <v>476</v>
      </c>
      <c r="E646" t="s">
        <v>533</v>
      </c>
      <c r="F646" t="s">
        <v>4998</v>
      </c>
      <c r="G646" t="s">
        <v>4999</v>
      </c>
      <c r="H646" t="s">
        <v>3704</v>
      </c>
      <c r="I646" t="s">
        <v>3709</v>
      </c>
    </row>
    <row r="647" spans="1:9" x14ac:dyDescent="0.25">
      <c r="A647" t="s">
        <v>2795</v>
      </c>
      <c r="B647" t="s">
        <v>532</v>
      </c>
      <c r="C647" t="s">
        <v>3710</v>
      </c>
      <c r="D647" t="s">
        <v>476</v>
      </c>
      <c r="E647" t="s">
        <v>533</v>
      </c>
      <c r="F647" t="s">
        <v>5000</v>
      </c>
      <c r="G647" t="s">
        <v>5001</v>
      </c>
      <c r="H647" t="s">
        <v>3713</v>
      </c>
      <c r="I647" t="s">
        <v>3714</v>
      </c>
    </row>
    <row r="648" spans="1:9" x14ac:dyDescent="0.25">
      <c r="A648" t="s">
        <v>2797</v>
      </c>
      <c r="B648" t="s">
        <v>532</v>
      </c>
      <c r="C648" t="s">
        <v>3715</v>
      </c>
      <c r="D648" t="s">
        <v>476</v>
      </c>
      <c r="E648" t="s">
        <v>533</v>
      </c>
      <c r="F648" t="s">
        <v>5002</v>
      </c>
      <c r="G648" t="s">
        <v>5003</v>
      </c>
      <c r="H648" t="s">
        <v>3704</v>
      </c>
      <c r="I648" t="s">
        <v>3700</v>
      </c>
    </row>
    <row r="649" spans="1:9" x14ac:dyDescent="0.25">
      <c r="A649" t="s">
        <v>2799</v>
      </c>
      <c r="B649" t="s">
        <v>532</v>
      </c>
      <c r="C649" t="s">
        <v>3718</v>
      </c>
      <c r="D649" t="s">
        <v>476</v>
      </c>
      <c r="E649" t="s">
        <v>533</v>
      </c>
      <c r="F649" t="s">
        <v>5004</v>
      </c>
      <c r="G649" t="s">
        <v>5005</v>
      </c>
      <c r="H649" t="s">
        <v>3713</v>
      </c>
      <c r="I649" t="s">
        <v>3721</v>
      </c>
    </row>
    <row r="650" spans="1:9" x14ac:dyDescent="0.25">
      <c r="A650" t="s">
        <v>2802</v>
      </c>
      <c r="B650" t="s">
        <v>536</v>
      </c>
      <c r="C650" t="s">
        <v>3696</v>
      </c>
      <c r="D650" t="s">
        <v>537</v>
      </c>
      <c r="E650" t="s">
        <v>539</v>
      </c>
      <c r="F650" t="s">
        <v>5006</v>
      </c>
      <c r="G650" t="s">
        <v>5007</v>
      </c>
      <c r="H650" t="s">
        <v>3699</v>
      </c>
      <c r="I650" t="s">
        <v>3700</v>
      </c>
    </row>
    <row r="651" spans="1:9" x14ac:dyDescent="0.25">
      <c r="A651" t="s">
        <v>2808</v>
      </c>
      <c r="B651" t="s">
        <v>536</v>
      </c>
      <c r="C651" t="s">
        <v>3701</v>
      </c>
      <c r="D651" t="s">
        <v>537</v>
      </c>
      <c r="E651" t="s">
        <v>539</v>
      </c>
      <c r="F651" t="s">
        <v>5008</v>
      </c>
      <c r="G651" t="s">
        <v>5009</v>
      </c>
      <c r="H651" t="s">
        <v>3704</v>
      </c>
      <c r="I651" t="s">
        <v>3705</v>
      </c>
    </row>
    <row r="652" spans="1:9" x14ac:dyDescent="0.25">
      <c r="A652" t="s">
        <v>2811</v>
      </c>
      <c r="B652" t="s">
        <v>536</v>
      </c>
      <c r="C652" t="s">
        <v>3706</v>
      </c>
      <c r="D652" t="s">
        <v>537</v>
      </c>
      <c r="E652" t="s">
        <v>539</v>
      </c>
      <c r="F652" t="s">
        <v>5010</v>
      </c>
      <c r="G652" t="s">
        <v>5011</v>
      </c>
      <c r="H652" t="s">
        <v>3704</v>
      </c>
      <c r="I652" t="s">
        <v>3709</v>
      </c>
    </row>
    <row r="653" spans="1:9" x14ac:dyDescent="0.25">
      <c r="A653" t="s">
        <v>2814</v>
      </c>
      <c r="B653" t="s">
        <v>536</v>
      </c>
      <c r="C653" t="s">
        <v>3710</v>
      </c>
      <c r="D653" t="s">
        <v>537</v>
      </c>
      <c r="E653" t="s">
        <v>539</v>
      </c>
      <c r="F653" t="s">
        <v>5012</v>
      </c>
      <c r="G653" t="s">
        <v>5013</v>
      </c>
      <c r="H653" t="s">
        <v>3713</v>
      </c>
      <c r="I653" t="s">
        <v>3714</v>
      </c>
    </row>
    <row r="654" spans="1:9" x14ac:dyDescent="0.25">
      <c r="A654" t="s">
        <v>2816</v>
      </c>
      <c r="B654" t="s">
        <v>536</v>
      </c>
      <c r="C654" t="s">
        <v>3715</v>
      </c>
      <c r="D654" t="s">
        <v>537</v>
      </c>
      <c r="E654" t="s">
        <v>539</v>
      </c>
      <c r="F654" t="s">
        <v>5014</v>
      </c>
      <c r="G654" t="s">
        <v>5015</v>
      </c>
      <c r="H654" t="s">
        <v>3704</v>
      </c>
      <c r="I654" t="s">
        <v>3700</v>
      </c>
    </row>
    <row r="655" spans="1:9" x14ac:dyDescent="0.25">
      <c r="A655" t="s">
        <v>2818</v>
      </c>
      <c r="B655" t="s">
        <v>536</v>
      </c>
      <c r="C655" t="s">
        <v>3718</v>
      </c>
      <c r="D655" t="s">
        <v>537</v>
      </c>
      <c r="E655" t="s">
        <v>539</v>
      </c>
      <c r="F655" t="s">
        <v>5016</v>
      </c>
      <c r="G655" t="s">
        <v>5017</v>
      </c>
      <c r="H655" t="s">
        <v>3713</v>
      </c>
      <c r="I655" t="s">
        <v>3721</v>
      </c>
    </row>
    <row r="656" spans="1:9" x14ac:dyDescent="0.25">
      <c r="A656" t="s">
        <v>2821</v>
      </c>
      <c r="B656" t="s">
        <v>542</v>
      </c>
      <c r="C656" t="s">
        <v>3696</v>
      </c>
      <c r="D656" t="s">
        <v>537</v>
      </c>
      <c r="E656" t="s">
        <v>543</v>
      </c>
      <c r="F656" t="s">
        <v>5018</v>
      </c>
      <c r="G656" t="s">
        <v>5019</v>
      </c>
      <c r="H656" t="s">
        <v>3699</v>
      </c>
      <c r="I656" t="s">
        <v>3700</v>
      </c>
    </row>
    <row r="657" spans="1:9" x14ac:dyDescent="0.25">
      <c r="A657" t="s">
        <v>2827</v>
      </c>
      <c r="B657" t="s">
        <v>542</v>
      </c>
      <c r="C657" t="s">
        <v>3701</v>
      </c>
      <c r="D657" t="s">
        <v>537</v>
      </c>
      <c r="E657" t="s">
        <v>543</v>
      </c>
      <c r="F657" t="s">
        <v>5020</v>
      </c>
      <c r="G657" t="s">
        <v>5021</v>
      </c>
      <c r="H657" t="s">
        <v>3704</v>
      </c>
      <c r="I657" t="s">
        <v>3705</v>
      </c>
    </row>
    <row r="658" spans="1:9" x14ac:dyDescent="0.25">
      <c r="A658" t="s">
        <v>2830</v>
      </c>
      <c r="B658" t="s">
        <v>542</v>
      </c>
      <c r="C658" t="s">
        <v>3706</v>
      </c>
      <c r="D658" t="s">
        <v>537</v>
      </c>
      <c r="E658" t="s">
        <v>543</v>
      </c>
      <c r="F658" t="s">
        <v>5022</v>
      </c>
      <c r="G658" t="s">
        <v>5023</v>
      </c>
      <c r="H658" t="s">
        <v>3704</v>
      </c>
      <c r="I658" t="s">
        <v>3709</v>
      </c>
    </row>
    <row r="659" spans="1:9" x14ac:dyDescent="0.25">
      <c r="A659" t="s">
        <v>2833</v>
      </c>
      <c r="B659" t="s">
        <v>542</v>
      </c>
      <c r="C659" t="s">
        <v>3710</v>
      </c>
      <c r="D659" t="s">
        <v>537</v>
      </c>
      <c r="E659" t="s">
        <v>543</v>
      </c>
      <c r="F659" t="s">
        <v>5024</v>
      </c>
      <c r="G659" t="s">
        <v>5025</v>
      </c>
      <c r="H659" t="s">
        <v>3713</v>
      </c>
      <c r="I659" t="s">
        <v>3714</v>
      </c>
    </row>
    <row r="660" spans="1:9" x14ac:dyDescent="0.25">
      <c r="A660" t="s">
        <v>2835</v>
      </c>
      <c r="B660" t="s">
        <v>542</v>
      </c>
      <c r="C660" t="s">
        <v>3715</v>
      </c>
      <c r="D660" t="s">
        <v>537</v>
      </c>
      <c r="E660" t="s">
        <v>543</v>
      </c>
      <c r="F660" t="s">
        <v>5026</v>
      </c>
      <c r="G660" t="s">
        <v>5027</v>
      </c>
      <c r="H660" t="s">
        <v>3704</v>
      </c>
      <c r="I660" t="s">
        <v>3700</v>
      </c>
    </row>
    <row r="661" spans="1:9" x14ac:dyDescent="0.25">
      <c r="A661" t="s">
        <v>2837</v>
      </c>
      <c r="B661" t="s">
        <v>542</v>
      </c>
      <c r="C661" t="s">
        <v>3718</v>
      </c>
      <c r="D661" t="s">
        <v>537</v>
      </c>
      <c r="E661" t="s">
        <v>543</v>
      </c>
      <c r="F661" t="s">
        <v>5028</v>
      </c>
      <c r="G661" t="s">
        <v>5029</v>
      </c>
      <c r="H661" t="s">
        <v>3713</v>
      </c>
      <c r="I661" t="s">
        <v>3721</v>
      </c>
    </row>
    <row r="662" spans="1:9" x14ac:dyDescent="0.25">
      <c r="A662" t="s">
        <v>2840</v>
      </c>
      <c r="B662" t="s">
        <v>546</v>
      </c>
      <c r="C662" t="s">
        <v>3696</v>
      </c>
      <c r="D662" t="s">
        <v>537</v>
      </c>
      <c r="E662" t="s">
        <v>547</v>
      </c>
      <c r="F662" t="s">
        <v>5030</v>
      </c>
      <c r="G662" t="s">
        <v>5031</v>
      </c>
      <c r="H662" t="s">
        <v>3699</v>
      </c>
      <c r="I662" t="s">
        <v>3700</v>
      </c>
    </row>
    <row r="663" spans="1:9" x14ac:dyDescent="0.25">
      <c r="A663" t="s">
        <v>2846</v>
      </c>
      <c r="B663" t="s">
        <v>546</v>
      </c>
      <c r="C663" t="s">
        <v>3701</v>
      </c>
      <c r="D663" t="s">
        <v>537</v>
      </c>
      <c r="E663" t="s">
        <v>547</v>
      </c>
      <c r="F663" t="s">
        <v>5032</v>
      </c>
      <c r="G663" t="s">
        <v>5033</v>
      </c>
      <c r="H663" t="s">
        <v>3704</v>
      </c>
      <c r="I663" t="s">
        <v>3705</v>
      </c>
    </row>
    <row r="664" spans="1:9" x14ac:dyDescent="0.25">
      <c r="A664" t="s">
        <v>2849</v>
      </c>
      <c r="B664" t="s">
        <v>546</v>
      </c>
      <c r="C664" t="s">
        <v>3706</v>
      </c>
      <c r="D664" t="s">
        <v>537</v>
      </c>
      <c r="E664" t="s">
        <v>547</v>
      </c>
      <c r="F664" t="s">
        <v>5034</v>
      </c>
      <c r="G664" t="s">
        <v>5035</v>
      </c>
      <c r="H664" t="s">
        <v>3704</v>
      </c>
      <c r="I664" t="s">
        <v>3709</v>
      </c>
    </row>
    <row r="665" spans="1:9" x14ac:dyDescent="0.25">
      <c r="A665" t="s">
        <v>2852</v>
      </c>
      <c r="B665" t="s">
        <v>546</v>
      </c>
      <c r="C665" t="s">
        <v>3710</v>
      </c>
      <c r="D665" t="s">
        <v>537</v>
      </c>
      <c r="E665" t="s">
        <v>547</v>
      </c>
      <c r="F665" t="s">
        <v>5036</v>
      </c>
      <c r="G665" t="s">
        <v>5037</v>
      </c>
      <c r="H665" t="s">
        <v>3713</v>
      </c>
      <c r="I665" t="s">
        <v>3714</v>
      </c>
    </row>
    <row r="666" spans="1:9" x14ac:dyDescent="0.25">
      <c r="A666" t="s">
        <v>2854</v>
      </c>
      <c r="B666" t="s">
        <v>546</v>
      </c>
      <c r="C666" t="s">
        <v>3715</v>
      </c>
      <c r="D666" t="s">
        <v>537</v>
      </c>
      <c r="E666" t="s">
        <v>547</v>
      </c>
      <c r="F666" t="s">
        <v>5038</v>
      </c>
      <c r="G666" t="s">
        <v>5039</v>
      </c>
      <c r="H666" t="s">
        <v>3704</v>
      </c>
      <c r="I666" t="s">
        <v>3700</v>
      </c>
    </row>
    <row r="667" spans="1:9" x14ac:dyDescent="0.25">
      <c r="A667" t="s">
        <v>2856</v>
      </c>
      <c r="B667" t="s">
        <v>546</v>
      </c>
      <c r="C667" t="s">
        <v>3718</v>
      </c>
      <c r="D667" t="s">
        <v>537</v>
      </c>
      <c r="E667" t="s">
        <v>547</v>
      </c>
      <c r="F667" t="s">
        <v>5040</v>
      </c>
      <c r="G667" t="s">
        <v>5041</v>
      </c>
      <c r="H667" t="s">
        <v>3713</v>
      </c>
      <c r="I667" t="s">
        <v>3721</v>
      </c>
    </row>
    <row r="668" spans="1:9" x14ac:dyDescent="0.25">
      <c r="A668" t="s">
        <v>2859</v>
      </c>
      <c r="B668" t="s">
        <v>550</v>
      </c>
      <c r="C668" t="s">
        <v>3696</v>
      </c>
      <c r="D668" t="s">
        <v>537</v>
      </c>
      <c r="E668" t="s">
        <v>551</v>
      </c>
      <c r="F668" t="s">
        <v>5042</v>
      </c>
      <c r="G668" t="s">
        <v>5043</v>
      </c>
      <c r="H668" t="s">
        <v>3699</v>
      </c>
      <c r="I668" t="s">
        <v>3700</v>
      </c>
    </row>
    <row r="669" spans="1:9" x14ac:dyDescent="0.25">
      <c r="A669" t="s">
        <v>2865</v>
      </c>
      <c r="B669" t="s">
        <v>550</v>
      </c>
      <c r="C669" t="s">
        <v>3701</v>
      </c>
      <c r="D669" t="s">
        <v>537</v>
      </c>
      <c r="E669" t="s">
        <v>551</v>
      </c>
      <c r="F669" t="s">
        <v>5044</v>
      </c>
      <c r="G669" t="s">
        <v>5045</v>
      </c>
      <c r="H669" t="s">
        <v>3704</v>
      </c>
      <c r="I669" t="s">
        <v>3705</v>
      </c>
    </row>
    <row r="670" spans="1:9" x14ac:dyDescent="0.25">
      <c r="A670" t="s">
        <v>2868</v>
      </c>
      <c r="B670" t="s">
        <v>550</v>
      </c>
      <c r="C670" t="s">
        <v>3706</v>
      </c>
      <c r="D670" t="s">
        <v>537</v>
      </c>
      <c r="E670" t="s">
        <v>551</v>
      </c>
      <c r="F670" t="s">
        <v>5046</v>
      </c>
      <c r="G670" t="s">
        <v>5047</v>
      </c>
      <c r="H670" t="s">
        <v>3704</v>
      </c>
      <c r="I670" t="s">
        <v>3709</v>
      </c>
    </row>
    <row r="671" spans="1:9" x14ac:dyDescent="0.25">
      <c r="A671" t="s">
        <v>2871</v>
      </c>
      <c r="B671" t="s">
        <v>550</v>
      </c>
      <c r="C671" t="s">
        <v>3710</v>
      </c>
      <c r="D671" t="s">
        <v>537</v>
      </c>
      <c r="E671" t="s">
        <v>551</v>
      </c>
      <c r="F671" t="s">
        <v>5048</v>
      </c>
      <c r="G671" t="s">
        <v>5049</v>
      </c>
      <c r="H671" t="s">
        <v>3713</v>
      </c>
      <c r="I671" t="s">
        <v>3714</v>
      </c>
    </row>
    <row r="672" spans="1:9" x14ac:dyDescent="0.25">
      <c r="A672" t="s">
        <v>2873</v>
      </c>
      <c r="B672" t="s">
        <v>550</v>
      </c>
      <c r="C672" t="s">
        <v>3715</v>
      </c>
      <c r="D672" t="s">
        <v>537</v>
      </c>
      <c r="E672" t="s">
        <v>551</v>
      </c>
      <c r="F672" t="s">
        <v>5050</v>
      </c>
      <c r="G672" t="s">
        <v>5051</v>
      </c>
      <c r="H672" t="s">
        <v>3704</v>
      </c>
      <c r="I672" t="s">
        <v>3700</v>
      </c>
    </row>
    <row r="673" spans="1:9" x14ac:dyDescent="0.25">
      <c r="A673" t="s">
        <v>2875</v>
      </c>
      <c r="B673" t="s">
        <v>550</v>
      </c>
      <c r="C673" t="s">
        <v>3718</v>
      </c>
      <c r="D673" t="s">
        <v>537</v>
      </c>
      <c r="E673" t="s">
        <v>551</v>
      </c>
      <c r="F673" t="s">
        <v>5052</v>
      </c>
      <c r="G673" t="s">
        <v>5053</v>
      </c>
      <c r="H673" t="s">
        <v>3713</v>
      </c>
      <c r="I673" t="s">
        <v>3721</v>
      </c>
    </row>
    <row r="674" spans="1:9" x14ac:dyDescent="0.25">
      <c r="A674" t="s">
        <v>2878</v>
      </c>
      <c r="B674" t="s">
        <v>554</v>
      </c>
      <c r="C674" t="s">
        <v>3696</v>
      </c>
      <c r="D674" t="s">
        <v>537</v>
      </c>
      <c r="E674" t="s">
        <v>556</v>
      </c>
      <c r="F674" t="s">
        <v>5054</v>
      </c>
      <c r="G674" t="s">
        <v>5055</v>
      </c>
      <c r="H674" t="s">
        <v>3699</v>
      </c>
      <c r="I674" t="s">
        <v>3700</v>
      </c>
    </row>
    <row r="675" spans="1:9" x14ac:dyDescent="0.25">
      <c r="A675" t="s">
        <v>2884</v>
      </c>
      <c r="B675" t="s">
        <v>554</v>
      </c>
      <c r="C675" t="s">
        <v>3701</v>
      </c>
      <c r="D675" t="s">
        <v>537</v>
      </c>
      <c r="E675" t="s">
        <v>556</v>
      </c>
      <c r="F675" t="s">
        <v>5056</v>
      </c>
      <c r="G675" t="s">
        <v>5057</v>
      </c>
      <c r="H675" t="s">
        <v>3704</v>
      </c>
      <c r="I675" t="s">
        <v>3705</v>
      </c>
    </row>
    <row r="676" spans="1:9" x14ac:dyDescent="0.25">
      <c r="A676" t="s">
        <v>2887</v>
      </c>
      <c r="B676" t="s">
        <v>554</v>
      </c>
      <c r="C676" t="s">
        <v>3706</v>
      </c>
      <c r="D676" t="s">
        <v>537</v>
      </c>
      <c r="E676" t="s">
        <v>556</v>
      </c>
      <c r="F676" t="s">
        <v>5058</v>
      </c>
      <c r="G676" t="s">
        <v>5059</v>
      </c>
      <c r="H676" t="s">
        <v>3704</v>
      </c>
      <c r="I676" t="s">
        <v>3709</v>
      </c>
    </row>
    <row r="677" spans="1:9" x14ac:dyDescent="0.25">
      <c r="A677" t="s">
        <v>2890</v>
      </c>
      <c r="B677" t="s">
        <v>554</v>
      </c>
      <c r="C677" t="s">
        <v>3710</v>
      </c>
      <c r="D677" t="s">
        <v>537</v>
      </c>
      <c r="E677" t="s">
        <v>556</v>
      </c>
      <c r="F677" t="s">
        <v>5060</v>
      </c>
      <c r="G677" t="s">
        <v>5061</v>
      </c>
      <c r="H677" t="s">
        <v>3713</v>
      </c>
      <c r="I677" t="s">
        <v>3714</v>
      </c>
    </row>
    <row r="678" spans="1:9" x14ac:dyDescent="0.25">
      <c r="A678" t="s">
        <v>2892</v>
      </c>
      <c r="B678" t="s">
        <v>554</v>
      </c>
      <c r="C678" t="s">
        <v>3715</v>
      </c>
      <c r="D678" t="s">
        <v>537</v>
      </c>
      <c r="E678" t="s">
        <v>556</v>
      </c>
      <c r="F678" t="s">
        <v>5062</v>
      </c>
      <c r="G678" t="s">
        <v>5063</v>
      </c>
      <c r="H678" t="s">
        <v>3704</v>
      </c>
      <c r="I678" t="s">
        <v>3700</v>
      </c>
    </row>
    <row r="679" spans="1:9" x14ac:dyDescent="0.25">
      <c r="A679" t="s">
        <v>2894</v>
      </c>
      <c r="B679" t="s">
        <v>554</v>
      </c>
      <c r="C679" t="s">
        <v>3718</v>
      </c>
      <c r="D679" t="s">
        <v>537</v>
      </c>
      <c r="E679" t="s">
        <v>556</v>
      </c>
      <c r="F679" t="s">
        <v>5064</v>
      </c>
      <c r="G679" t="s">
        <v>5065</v>
      </c>
      <c r="H679" t="s">
        <v>3713</v>
      </c>
      <c r="I679" t="s">
        <v>3721</v>
      </c>
    </row>
    <row r="680" spans="1:9" x14ac:dyDescent="0.25">
      <c r="A680" t="s">
        <v>2897</v>
      </c>
      <c r="B680" t="s">
        <v>559</v>
      </c>
      <c r="C680" t="s">
        <v>3696</v>
      </c>
      <c r="D680" t="s">
        <v>537</v>
      </c>
      <c r="E680" t="s">
        <v>560</v>
      </c>
      <c r="F680" t="s">
        <v>5066</v>
      </c>
      <c r="G680" t="s">
        <v>5067</v>
      </c>
      <c r="H680" t="s">
        <v>3699</v>
      </c>
      <c r="I680" t="s">
        <v>3700</v>
      </c>
    </row>
    <row r="681" spans="1:9" x14ac:dyDescent="0.25">
      <c r="A681" t="s">
        <v>2903</v>
      </c>
      <c r="B681" t="s">
        <v>559</v>
      </c>
      <c r="C681" t="s">
        <v>3701</v>
      </c>
      <c r="D681" t="s">
        <v>537</v>
      </c>
      <c r="E681" t="s">
        <v>560</v>
      </c>
      <c r="F681" t="s">
        <v>5068</v>
      </c>
      <c r="G681" t="s">
        <v>5069</v>
      </c>
      <c r="H681" t="s">
        <v>3704</v>
      </c>
      <c r="I681" t="s">
        <v>3705</v>
      </c>
    </row>
    <row r="682" spans="1:9" x14ac:dyDescent="0.25">
      <c r="A682" t="s">
        <v>2906</v>
      </c>
      <c r="B682" t="s">
        <v>559</v>
      </c>
      <c r="C682" t="s">
        <v>3706</v>
      </c>
      <c r="D682" t="s">
        <v>537</v>
      </c>
      <c r="E682" t="s">
        <v>560</v>
      </c>
      <c r="F682" t="s">
        <v>5070</v>
      </c>
      <c r="G682" t="s">
        <v>5071</v>
      </c>
      <c r="H682" t="s">
        <v>3704</v>
      </c>
      <c r="I682" t="s">
        <v>3709</v>
      </c>
    </row>
    <row r="683" spans="1:9" x14ac:dyDescent="0.25">
      <c r="A683" t="s">
        <v>2909</v>
      </c>
      <c r="B683" t="s">
        <v>559</v>
      </c>
      <c r="C683" t="s">
        <v>3710</v>
      </c>
      <c r="D683" t="s">
        <v>537</v>
      </c>
      <c r="E683" t="s">
        <v>560</v>
      </c>
      <c r="F683" t="s">
        <v>5072</v>
      </c>
      <c r="G683" t="s">
        <v>5073</v>
      </c>
      <c r="H683" t="s">
        <v>3713</v>
      </c>
      <c r="I683" t="s">
        <v>3714</v>
      </c>
    </row>
    <row r="684" spans="1:9" x14ac:dyDescent="0.25">
      <c r="A684" t="s">
        <v>2911</v>
      </c>
      <c r="B684" t="s">
        <v>559</v>
      </c>
      <c r="C684" t="s">
        <v>3715</v>
      </c>
      <c r="D684" t="s">
        <v>537</v>
      </c>
      <c r="E684" t="s">
        <v>560</v>
      </c>
      <c r="F684" t="s">
        <v>5074</v>
      </c>
      <c r="G684" t="s">
        <v>5075</v>
      </c>
      <c r="H684" t="s">
        <v>3704</v>
      </c>
      <c r="I684" t="s">
        <v>3700</v>
      </c>
    </row>
    <row r="685" spans="1:9" x14ac:dyDescent="0.25">
      <c r="A685" t="s">
        <v>2913</v>
      </c>
      <c r="B685" t="s">
        <v>559</v>
      </c>
      <c r="C685" t="s">
        <v>3718</v>
      </c>
      <c r="D685" t="s">
        <v>537</v>
      </c>
      <c r="E685" t="s">
        <v>560</v>
      </c>
      <c r="F685" t="s">
        <v>5076</v>
      </c>
      <c r="G685" t="s">
        <v>5077</v>
      </c>
      <c r="H685" t="s">
        <v>3713</v>
      </c>
      <c r="I685" t="s">
        <v>3721</v>
      </c>
    </row>
    <row r="686" spans="1:9" x14ac:dyDescent="0.25">
      <c r="A686" t="s">
        <v>2916</v>
      </c>
      <c r="B686" t="s">
        <v>564</v>
      </c>
      <c r="C686" t="s">
        <v>3696</v>
      </c>
      <c r="D686" t="s">
        <v>537</v>
      </c>
      <c r="E686" t="s">
        <v>565</v>
      </c>
      <c r="F686" t="s">
        <v>5078</v>
      </c>
      <c r="G686" t="s">
        <v>5079</v>
      </c>
      <c r="H686" t="s">
        <v>3699</v>
      </c>
      <c r="I686" t="s">
        <v>3700</v>
      </c>
    </row>
    <row r="687" spans="1:9" x14ac:dyDescent="0.25">
      <c r="A687" t="s">
        <v>2921</v>
      </c>
      <c r="B687" t="s">
        <v>564</v>
      </c>
      <c r="C687" t="s">
        <v>3701</v>
      </c>
      <c r="D687" t="s">
        <v>537</v>
      </c>
      <c r="E687" t="s">
        <v>565</v>
      </c>
      <c r="F687" t="s">
        <v>5080</v>
      </c>
      <c r="G687" t="s">
        <v>5081</v>
      </c>
      <c r="H687" t="s">
        <v>3704</v>
      </c>
      <c r="I687" t="s">
        <v>3705</v>
      </c>
    </row>
    <row r="688" spans="1:9" x14ac:dyDescent="0.25">
      <c r="A688" t="s">
        <v>2924</v>
      </c>
      <c r="B688" t="s">
        <v>564</v>
      </c>
      <c r="C688" t="s">
        <v>3706</v>
      </c>
      <c r="D688" t="s">
        <v>537</v>
      </c>
      <c r="E688" t="s">
        <v>565</v>
      </c>
      <c r="F688" t="s">
        <v>5082</v>
      </c>
      <c r="G688" t="s">
        <v>5083</v>
      </c>
      <c r="H688" t="s">
        <v>3704</v>
      </c>
      <c r="I688" t="s">
        <v>3709</v>
      </c>
    </row>
    <row r="689" spans="1:9" x14ac:dyDescent="0.25">
      <c r="A689" t="s">
        <v>2927</v>
      </c>
      <c r="B689" t="s">
        <v>564</v>
      </c>
      <c r="C689" t="s">
        <v>3710</v>
      </c>
      <c r="D689" t="s">
        <v>537</v>
      </c>
      <c r="E689" t="s">
        <v>565</v>
      </c>
      <c r="F689" t="s">
        <v>5084</v>
      </c>
      <c r="G689" t="s">
        <v>5085</v>
      </c>
      <c r="H689" t="s">
        <v>3713</v>
      </c>
      <c r="I689" t="s">
        <v>3714</v>
      </c>
    </row>
    <row r="690" spans="1:9" x14ac:dyDescent="0.25">
      <c r="A690" t="s">
        <v>2929</v>
      </c>
      <c r="B690" t="s">
        <v>564</v>
      </c>
      <c r="C690" t="s">
        <v>3715</v>
      </c>
      <c r="D690" t="s">
        <v>537</v>
      </c>
      <c r="E690" t="s">
        <v>565</v>
      </c>
      <c r="F690" t="s">
        <v>5086</v>
      </c>
      <c r="G690" t="s">
        <v>5087</v>
      </c>
      <c r="H690" t="s">
        <v>3704</v>
      </c>
      <c r="I690" t="s">
        <v>3700</v>
      </c>
    </row>
    <row r="691" spans="1:9" x14ac:dyDescent="0.25">
      <c r="A691" t="s">
        <v>2931</v>
      </c>
      <c r="B691" t="s">
        <v>564</v>
      </c>
      <c r="C691" t="s">
        <v>3718</v>
      </c>
      <c r="D691" t="s">
        <v>537</v>
      </c>
      <c r="E691" t="s">
        <v>565</v>
      </c>
      <c r="F691" t="s">
        <v>5088</v>
      </c>
      <c r="G691" t="s">
        <v>5089</v>
      </c>
      <c r="H691" t="s">
        <v>3713</v>
      </c>
      <c r="I691" t="s">
        <v>3721</v>
      </c>
    </row>
    <row r="692" spans="1:9" x14ac:dyDescent="0.25">
      <c r="A692" t="s">
        <v>2934</v>
      </c>
      <c r="B692" t="s">
        <v>568</v>
      </c>
      <c r="C692" t="s">
        <v>3696</v>
      </c>
      <c r="D692" t="s">
        <v>537</v>
      </c>
      <c r="E692" t="s">
        <v>569</v>
      </c>
      <c r="F692" t="s">
        <v>5090</v>
      </c>
      <c r="G692" t="s">
        <v>5091</v>
      </c>
      <c r="H692" t="s">
        <v>3699</v>
      </c>
      <c r="I692" t="s">
        <v>3700</v>
      </c>
    </row>
    <row r="693" spans="1:9" x14ac:dyDescent="0.25">
      <c r="A693" t="s">
        <v>2940</v>
      </c>
      <c r="B693" t="s">
        <v>568</v>
      </c>
      <c r="C693" t="s">
        <v>3701</v>
      </c>
      <c r="D693" t="s">
        <v>537</v>
      </c>
      <c r="E693" t="s">
        <v>569</v>
      </c>
      <c r="F693" t="s">
        <v>5092</v>
      </c>
      <c r="G693" t="s">
        <v>5093</v>
      </c>
      <c r="H693" t="s">
        <v>3704</v>
      </c>
      <c r="I693" t="s">
        <v>3705</v>
      </c>
    </row>
    <row r="694" spans="1:9" x14ac:dyDescent="0.25">
      <c r="A694" t="s">
        <v>2943</v>
      </c>
      <c r="B694" t="s">
        <v>568</v>
      </c>
      <c r="C694" t="s">
        <v>3706</v>
      </c>
      <c r="D694" t="s">
        <v>537</v>
      </c>
      <c r="E694" t="s">
        <v>569</v>
      </c>
      <c r="F694" t="s">
        <v>5094</v>
      </c>
      <c r="G694" t="s">
        <v>5095</v>
      </c>
      <c r="H694" t="s">
        <v>3704</v>
      </c>
      <c r="I694" t="s">
        <v>3709</v>
      </c>
    </row>
    <row r="695" spans="1:9" x14ac:dyDescent="0.25">
      <c r="A695" t="s">
        <v>2946</v>
      </c>
      <c r="B695" t="s">
        <v>568</v>
      </c>
      <c r="C695" t="s">
        <v>3710</v>
      </c>
      <c r="D695" t="s">
        <v>537</v>
      </c>
      <c r="E695" t="s">
        <v>569</v>
      </c>
      <c r="F695" t="s">
        <v>5096</v>
      </c>
      <c r="G695" t="s">
        <v>5097</v>
      </c>
      <c r="H695" t="s">
        <v>3713</v>
      </c>
      <c r="I695" t="s">
        <v>3714</v>
      </c>
    </row>
    <row r="696" spans="1:9" x14ac:dyDescent="0.25">
      <c r="A696" t="s">
        <v>2948</v>
      </c>
      <c r="B696" t="s">
        <v>568</v>
      </c>
      <c r="C696" t="s">
        <v>3715</v>
      </c>
      <c r="D696" t="s">
        <v>537</v>
      </c>
      <c r="E696" t="s">
        <v>569</v>
      </c>
      <c r="F696" t="s">
        <v>5098</v>
      </c>
      <c r="G696" t="s">
        <v>5099</v>
      </c>
      <c r="H696" t="s">
        <v>3704</v>
      </c>
      <c r="I696" t="s">
        <v>3700</v>
      </c>
    </row>
    <row r="697" spans="1:9" x14ac:dyDescent="0.25">
      <c r="A697" t="s">
        <v>2950</v>
      </c>
      <c r="B697" t="s">
        <v>568</v>
      </c>
      <c r="C697" t="s">
        <v>3718</v>
      </c>
      <c r="D697" t="s">
        <v>537</v>
      </c>
      <c r="E697" t="s">
        <v>569</v>
      </c>
      <c r="F697" t="s">
        <v>5100</v>
      </c>
      <c r="G697" t="s">
        <v>5101</v>
      </c>
      <c r="H697" t="s">
        <v>3713</v>
      </c>
      <c r="I697" t="s">
        <v>3721</v>
      </c>
    </row>
    <row r="698" spans="1:9" x14ac:dyDescent="0.25">
      <c r="A698" t="s">
        <v>2953</v>
      </c>
      <c r="B698" t="s">
        <v>572</v>
      </c>
      <c r="C698" t="s">
        <v>3696</v>
      </c>
      <c r="D698" t="s">
        <v>537</v>
      </c>
      <c r="E698" t="s">
        <v>574</v>
      </c>
      <c r="F698" t="s">
        <v>5102</v>
      </c>
      <c r="G698" t="s">
        <v>5103</v>
      </c>
      <c r="H698" t="s">
        <v>3699</v>
      </c>
      <c r="I698" t="s">
        <v>3700</v>
      </c>
    </row>
    <row r="699" spans="1:9" x14ac:dyDescent="0.25">
      <c r="A699" t="s">
        <v>2959</v>
      </c>
      <c r="B699" t="s">
        <v>572</v>
      </c>
      <c r="C699" t="s">
        <v>3701</v>
      </c>
      <c r="D699" t="s">
        <v>537</v>
      </c>
      <c r="E699" t="s">
        <v>574</v>
      </c>
      <c r="F699" t="s">
        <v>5104</v>
      </c>
      <c r="G699" t="s">
        <v>5105</v>
      </c>
      <c r="H699" t="s">
        <v>3704</v>
      </c>
      <c r="I699" t="s">
        <v>3705</v>
      </c>
    </row>
    <row r="700" spans="1:9" x14ac:dyDescent="0.25">
      <c r="A700" t="s">
        <v>2962</v>
      </c>
      <c r="B700" t="s">
        <v>572</v>
      </c>
      <c r="C700" t="s">
        <v>3706</v>
      </c>
      <c r="D700" t="s">
        <v>537</v>
      </c>
      <c r="E700" t="s">
        <v>574</v>
      </c>
      <c r="F700" t="s">
        <v>5106</v>
      </c>
      <c r="G700" t="s">
        <v>5107</v>
      </c>
      <c r="H700" t="s">
        <v>3704</v>
      </c>
      <c r="I700" t="s">
        <v>3709</v>
      </c>
    </row>
    <row r="701" spans="1:9" x14ac:dyDescent="0.25">
      <c r="A701" t="s">
        <v>2965</v>
      </c>
      <c r="B701" t="s">
        <v>572</v>
      </c>
      <c r="C701" t="s">
        <v>3710</v>
      </c>
      <c r="D701" t="s">
        <v>537</v>
      </c>
      <c r="E701" t="s">
        <v>574</v>
      </c>
      <c r="F701" t="s">
        <v>5108</v>
      </c>
      <c r="G701" t="s">
        <v>5109</v>
      </c>
      <c r="H701" t="s">
        <v>3713</v>
      </c>
      <c r="I701" t="s">
        <v>3714</v>
      </c>
    </row>
    <row r="702" spans="1:9" x14ac:dyDescent="0.25">
      <c r="A702" t="s">
        <v>2967</v>
      </c>
      <c r="B702" t="s">
        <v>572</v>
      </c>
      <c r="C702" t="s">
        <v>3715</v>
      </c>
      <c r="D702" t="s">
        <v>537</v>
      </c>
      <c r="E702" t="s">
        <v>574</v>
      </c>
      <c r="F702" t="s">
        <v>5110</v>
      </c>
      <c r="G702" t="s">
        <v>5111</v>
      </c>
      <c r="H702" t="s">
        <v>3704</v>
      </c>
      <c r="I702" t="s">
        <v>3700</v>
      </c>
    </row>
    <row r="703" spans="1:9" x14ac:dyDescent="0.25">
      <c r="A703" t="s">
        <v>2969</v>
      </c>
      <c r="B703" t="s">
        <v>572</v>
      </c>
      <c r="C703" t="s">
        <v>3718</v>
      </c>
      <c r="D703" t="s">
        <v>537</v>
      </c>
      <c r="E703" t="s">
        <v>574</v>
      </c>
      <c r="F703" t="s">
        <v>5112</v>
      </c>
      <c r="G703" t="s">
        <v>5113</v>
      </c>
      <c r="H703" t="s">
        <v>3713</v>
      </c>
      <c r="I703" t="s">
        <v>3721</v>
      </c>
    </row>
    <row r="704" spans="1:9" x14ac:dyDescent="0.25">
      <c r="A704" t="s">
        <v>2972</v>
      </c>
      <c r="B704" t="s">
        <v>577</v>
      </c>
      <c r="C704" t="s">
        <v>3696</v>
      </c>
      <c r="D704" t="s">
        <v>537</v>
      </c>
      <c r="E704" t="s">
        <v>578</v>
      </c>
      <c r="F704" t="s">
        <v>5114</v>
      </c>
      <c r="G704" t="s">
        <v>5115</v>
      </c>
      <c r="H704" t="s">
        <v>3699</v>
      </c>
      <c r="I704" t="s">
        <v>3700</v>
      </c>
    </row>
    <row r="705" spans="1:9" x14ac:dyDescent="0.25">
      <c r="A705" t="s">
        <v>2977</v>
      </c>
      <c r="B705" t="s">
        <v>577</v>
      </c>
      <c r="C705" t="s">
        <v>3701</v>
      </c>
      <c r="D705" t="s">
        <v>537</v>
      </c>
      <c r="E705" t="s">
        <v>578</v>
      </c>
      <c r="F705" t="s">
        <v>5116</v>
      </c>
      <c r="G705" t="s">
        <v>5117</v>
      </c>
      <c r="H705" t="s">
        <v>3704</v>
      </c>
      <c r="I705" t="s">
        <v>3705</v>
      </c>
    </row>
    <row r="706" spans="1:9" x14ac:dyDescent="0.25">
      <c r="A706" t="s">
        <v>2980</v>
      </c>
      <c r="B706" t="s">
        <v>577</v>
      </c>
      <c r="C706" t="s">
        <v>3706</v>
      </c>
      <c r="D706" t="s">
        <v>537</v>
      </c>
      <c r="E706" t="s">
        <v>578</v>
      </c>
      <c r="F706" t="s">
        <v>5118</v>
      </c>
      <c r="G706" t="s">
        <v>5119</v>
      </c>
      <c r="H706" t="s">
        <v>3704</v>
      </c>
      <c r="I706" t="s">
        <v>3709</v>
      </c>
    </row>
    <row r="707" spans="1:9" x14ac:dyDescent="0.25">
      <c r="A707" t="s">
        <v>2983</v>
      </c>
      <c r="B707" t="s">
        <v>577</v>
      </c>
      <c r="C707" t="s">
        <v>3710</v>
      </c>
      <c r="D707" t="s">
        <v>537</v>
      </c>
      <c r="E707" t="s">
        <v>578</v>
      </c>
      <c r="F707" t="s">
        <v>5120</v>
      </c>
      <c r="G707" t="s">
        <v>5121</v>
      </c>
      <c r="H707" t="s">
        <v>3713</v>
      </c>
      <c r="I707" t="s">
        <v>3714</v>
      </c>
    </row>
    <row r="708" spans="1:9" x14ac:dyDescent="0.25">
      <c r="A708" t="s">
        <v>2985</v>
      </c>
      <c r="B708" t="s">
        <v>577</v>
      </c>
      <c r="C708" t="s">
        <v>3715</v>
      </c>
      <c r="D708" t="s">
        <v>537</v>
      </c>
      <c r="E708" t="s">
        <v>578</v>
      </c>
      <c r="F708" t="s">
        <v>5122</v>
      </c>
      <c r="G708" t="s">
        <v>5123</v>
      </c>
      <c r="H708" t="s">
        <v>3704</v>
      </c>
      <c r="I708" t="s">
        <v>3700</v>
      </c>
    </row>
    <row r="709" spans="1:9" x14ac:dyDescent="0.25">
      <c r="A709" t="s">
        <v>2987</v>
      </c>
      <c r="B709" t="s">
        <v>577</v>
      </c>
      <c r="C709" t="s">
        <v>3718</v>
      </c>
      <c r="D709" t="s">
        <v>537</v>
      </c>
      <c r="E709" t="s">
        <v>578</v>
      </c>
      <c r="F709" t="s">
        <v>5124</v>
      </c>
      <c r="G709" t="s">
        <v>5125</v>
      </c>
      <c r="H709" t="s">
        <v>3713</v>
      </c>
      <c r="I709" t="s">
        <v>3721</v>
      </c>
    </row>
    <row r="710" spans="1:9" x14ac:dyDescent="0.25">
      <c r="A710" t="s">
        <v>2990</v>
      </c>
      <c r="B710" t="s">
        <v>581</v>
      </c>
      <c r="C710" t="s">
        <v>3696</v>
      </c>
      <c r="D710" t="s">
        <v>537</v>
      </c>
      <c r="E710" t="s">
        <v>582</v>
      </c>
      <c r="F710" t="s">
        <v>5126</v>
      </c>
      <c r="G710" t="s">
        <v>5127</v>
      </c>
      <c r="H710" t="s">
        <v>3699</v>
      </c>
      <c r="I710" t="s">
        <v>3700</v>
      </c>
    </row>
    <row r="711" spans="1:9" x14ac:dyDescent="0.25">
      <c r="A711" t="s">
        <v>2996</v>
      </c>
      <c r="B711" t="s">
        <v>581</v>
      </c>
      <c r="C711" t="s">
        <v>3701</v>
      </c>
      <c r="D711" t="s">
        <v>537</v>
      </c>
      <c r="E711" t="s">
        <v>582</v>
      </c>
      <c r="F711" t="s">
        <v>5128</v>
      </c>
      <c r="G711" t="s">
        <v>5129</v>
      </c>
      <c r="H711" t="s">
        <v>3704</v>
      </c>
      <c r="I711" t="s">
        <v>3705</v>
      </c>
    </row>
    <row r="712" spans="1:9" x14ac:dyDescent="0.25">
      <c r="A712" t="s">
        <v>2999</v>
      </c>
      <c r="B712" t="s">
        <v>581</v>
      </c>
      <c r="C712" t="s">
        <v>3706</v>
      </c>
      <c r="D712" t="s">
        <v>537</v>
      </c>
      <c r="E712" t="s">
        <v>582</v>
      </c>
      <c r="F712" t="s">
        <v>5130</v>
      </c>
      <c r="G712" t="s">
        <v>5131</v>
      </c>
      <c r="H712" t="s">
        <v>3704</v>
      </c>
      <c r="I712" t="s">
        <v>3709</v>
      </c>
    </row>
    <row r="713" spans="1:9" x14ac:dyDescent="0.25">
      <c r="A713" t="s">
        <v>3002</v>
      </c>
      <c r="B713" t="s">
        <v>581</v>
      </c>
      <c r="C713" t="s">
        <v>3710</v>
      </c>
      <c r="D713" t="s">
        <v>537</v>
      </c>
      <c r="E713" t="s">
        <v>582</v>
      </c>
      <c r="F713" t="s">
        <v>5132</v>
      </c>
      <c r="G713" t="s">
        <v>5133</v>
      </c>
      <c r="H713" t="s">
        <v>3713</v>
      </c>
      <c r="I713" t="s">
        <v>3714</v>
      </c>
    </row>
    <row r="714" spans="1:9" x14ac:dyDescent="0.25">
      <c r="A714" t="s">
        <v>3004</v>
      </c>
      <c r="B714" t="s">
        <v>581</v>
      </c>
      <c r="C714" t="s">
        <v>3715</v>
      </c>
      <c r="D714" t="s">
        <v>537</v>
      </c>
      <c r="E714" t="s">
        <v>582</v>
      </c>
      <c r="F714" t="s">
        <v>5134</v>
      </c>
      <c r="G714" t="s">
        <v>5135</v>
      </c>
      <c r="H714" t="s">
        <v>3704</v>
      </c>
      <c r="I714" t="s">
        <v>3700</v>
      </c>
    </row>
    <row r="715" spans="1:9" x14ac:dyDescent="0.25">
      <c r="A715" t="s">
        <v>3006</v>
      </c>
      <c r="B715" t="s">
        <v>581</v>
      </c>
      <c r="C715" t="s">
        <v>3718</v>
      </c>
      <c r="D715" t="s">
        <v>537</v>
      </c>
      <c r="E715" t="s">
        <v>582</v>
      </c>
      <c r="F715" t="s">
        <v>5136</v>
      </c>
      <c r="G715" t="s">
        <v>5137</v>
      </c>
      <c r="H715" t="s">
        <v>3713</v>
      </c>
      <c r="I715" t="s">
        <v>3721</v>
      </c>
    </row>
    <row r="716" spans="1:9" x14ac:dyDescent="0.25">
      <c r="A716" t="s">
        <v>3009</v>
      </c>
      <c r="B716" t="s">
        <v>585</v>
      </c>
      <c r="C716" t="s">
        <v>3696</v>
      </c>
      <c r="D716" t="s">
        <v>537</v>
      </c>
      <c r="E716" t="s">
        <v>586</v>
      </c>
      <c r="F716" t="s">
        <v>5138</v>
      </c>
      <c r="G716" t="s">
        <v>5139</v>
      </c>
      <c r="H716" t="s">
        <v>3699</v>
      </c>
      <c r="I716" t="s">
        <v>3700</v>
      </c>
    </row>
    <row r="717" spans="1:9" x14ac:dyDescent="0.25">
      <c r="A717" t="s">
        <v>3015</v>
      </c>
      <c r="B717" t="s">
        <v>585</v>
      </c>
      <c r="C717" t="s">
        <v>3701</v>
      </c>
      <c r="D717" t="s">
        <v>537</v>
      </c>
      <c r="E717" t="s">
        <v>586</v>
      </c>
      <c r="F717" t="s">
        <v>5140</v>
      </c>
      <c r="G717" t="s">
        <v>5141</v>
      </c>
      <c r="H717" t="s">
        <v>3704</v>
      </c>
      <c r="I717" t="s">
        <v>3705</v>
      </c>
    </row>
    <row r="718" spans="1:9" x14ac:dyDescent="0.25">
      <c r="A718" t="s">
        <v>3018</v>
      </c>
      <c r="B718" t="s">
        <v>585</v>
      </c>
      <c r="C718" t="s">
        <v>3706</v>
      </c>
      <c r="D718" t="s">
        <v>537</v>
      </c>
      <c r="E718" t="s">
        <v>586</v>
      </c>
      <c r="F718" t="s">
        <v>5142</v>
      </c>
      <c r="G718" t="s">
        <v>5143</v>
      </c>
      <c r="H718" t="s">
        <v>3704</v>
      </c>
      <c r="I718" t="s">
        <v>3709</v>
      </c>
    </row>
    <row r="719" spans="1:9" x14ac:dyDescent="0.25">
      <c r="A719" t="s">
        <v>3021</v>
      </c>
      <c r="B719" t="s">
        <v>585</v>
      </c>
      <c r="C719" t="s">
        <v>3710</v>
      </c>
      <c r="D719" t="s">
        <v>537</v>
      </c>
      <c r="E719" t="s">
        <v>586</v>
      </c>
      <c r="F719" t="s">
        <v>5144</v>
      </c>
      <c r="G719" t="s">
        <v>5145</v>
      </c>
      <c r="H719" t="s">
        <v>3713</v>
      </c>
      <c r="I719" t="s">
        <v>3714</v>
      </c>
    </row>
    <row r="720" spans="1:9" x14ac:dyDescent="0.25">
      <c r="A720" t="s">
        <v>3023</v>
      </c>
      <c r="B720" t="s">
        <v>585</v>
      </c>
      <c r="C720" t="s">
        <v>3715</v>
      </c>
      <c r="D720" t="s">
        <v>537</v>
      </c>
      <c r="E720" t="s">
        <v>586</v>
      </c>
      <c r="F720" t="s">
        <v>5146</v>
      </c>
      <c r="G720" t="s">
        <v>5147</v>
      </c>
      <c r="H720" t="s">
        <v>3704</v>
      </c>
      <c r="I720" t="s">
        <v>3700</v>
      </c>
    </row>
    <row r="721" spans="1:9" x14ac:dyDescent="0.25">
      <c r="A721" t="s">
        <v>3025</v>
      </c>
      <c r="B721" t="s">
        <v>585</v>
      </c>
      <c r="C721" t="s">
        <v>3718</v>
      </c>
      <c r="D721" t="s">
        <v>537</v>
      </c>
      <c r="E721" t="s">
        <v>586</v>
      </c>
      <c r="F721" t="s">
        <v>5148</v>
      </c>
      <c r="G721" t="s">
        <v>5149</v>
      </c>
      <c r="H721" t="s">
        <v>3713</v>
      </c>
      <c r="I721" t="s">
        <v>3721</v>
      </c>
    </row>
    <row r="722" spans="1:9" x14ac:dyDescent="0.25">
      <c r="A722" t="s">
        <v>3028</v>
      </c>
      <c r="B722" t="s">
        <v>589</v>
      </c>
      <c r="C722" t="s">
        <v>3696</v>
      </c>
      <c r="D722" t="s">
        <v>537</v>
      </c>
      <c r="E722" t="s">
        <v>591</v>
      </c>
      <c r="F722" t="s">
        <v>5150</v>
      </c>
      <c r="G722" t="s">
        <v>5151</v>
      </c>
      <c r="H722" t="s">
        <v>3699</v>
      </c>
      <c r="I722" t="s">
        <v>3700</v>
      </c>
    </row>
    <row r="723" spans="1:9" x14ac:dyDescent="0.25">
      <c r="A723" t="s">
        <v>3034</v>
      </c>
      <c r="B723" t="s">
        <v>589</v>
      </c>
      <c r="C723" t="s">
        <v>3701</v>
      </c>
      <c r="D723" t="s">
        <v>537</v>
      </c>
      <c r="E723" t="s">
        <v>591</v>
      </c>
      <c r="F723" t="s">
        <v>5152</v>
      </c>
      <c r="G723" t="s">
        <v>5153</v>
      </c>
      <c r="H723" t="s">
        <v>3704</v>
      </c>
      <c r="I723" t="s">
        <v>3705</v>
      </c>
    </row>
    <row r="724" spans="1:9" x14ac:dyDescent="0.25">
      <c r="A724" t="s">
        <v>3037</v>
      </c>
      <c r="B724" t="s">
        <v>589</v>
      </c>
      <c r="C724" t="s">
        <v>3706</v>
      </c>
      <c r="D724" t="s">
        <v>537</v>
      </c>
      <c r="E724" t="s">
        <v>591</v>
      </c>
      <c r="F724" t="s">
        <v>5154</v>
      </c>
      <c r="G724" t="s">
        <v>5155</v>
      </c>
      <c r="H724" t="s">
        <v>3704</v>
      </c>
      <c r="I724" t="s">
        <v>3709</v>
      </c>
    </row>
    <row r="725" spans="1:9" x14ac:dyDescent="0.25">
      <c r="A725" t="s">
        <v>3040</v>
      </c>
      <c r="B725" t="s">
        <v>589</v>
      </c>
      <c r="C725" t="s">
        <v>3710</v>
      </c>
      <c r="D725" t="s">
        <v>537</v>
      </c>
      <c r="E725" t="s">
        <v>591</v>
      </c>
      <c r="F725" t="s">
        <v>5156</v>
      </c>
      <c r="G725" t="s">
        <v>5157</v>
      </c>
      <c r="H725" t="s">
        <v>3713</v>
      </c>
      <c r="I725" t="s">
        <v>3714</v>
      </c>
    </row>
    <row r="726" spans="1:9" x14ac:dyDescent="0.25">
      <c r="A726" t="s">
        <v>3042</v>
      </c>
      <c r="B726" t="s">
        <v>589</v>
      </c>
      <c r="C726" t="s">
        <v>3715</v>
      </c>
      <c r="D726" t="s">
        <v>537</v>
      </c>
      <c r="E726" t="s">
        <v>591</v>
      </c>
      <c r="F726" t="s">
        <v>5158</v>
      </c>
      <c r="G726" t="s">
        <v>5159</v>
      </c>
      <c r="H726" t="s">
        <v>3704</v>
      </c>
      <c r="I726" t="s">
        <v>3700</v>
      </c>
    </row>
    <row r="727" spans="1:9" x14ac:dyDescent="0.25">
      <c r="A727" t="s">
        <v>3044</v>
      </c>
      <c r="B727" t="s">
        <v>589</v>
      </c>
      <c r="C727" t="s">
        <v>3718</v>
      </c>
      <c r="D727" t="s">
        <v>537</v>
      </c>
      <c r="E727" t="s">
        <v>591</v>
      </c>
      <c r="F727" t="s">
        <v>5160</v>
      </c>
      <c r="G727" t="s">
        <v>5161</v>
      </c>
      <c r="H727" t="s">
        <v>3713</v>
      </c>
      <c r="I727" t="s">
        <v>3721</v>
      </c>
    </row>
    <row r="728" spans="1:9" x14ac:dyDescent="0.25">
      <c r="A728" t="s">
        <v>3047</v>
      </c>
      <c r="B728" t="s">
        <v>594</v>
      </c>
      <c r="C728" t="s">
        <v>3696</v>
      </c>
      <c r="D728" t="s">
        <v>537</v>
      </c>
      <c r="E728" t="s">
        <v>595</v>
      </c>
      <c r="F728" t="s">
        <v>5162</v>
      </c>
      <c r="G728" t="s">
        <v>5163</v>
      </c>
      <c r="H728" t="s">
        <v>3699</v>
      </c>
      <c r="I728" t="s">
        <v>3700</v>
      </c>
    </row>
    <row r="729" spans="1:9" x14ac:dyDescent="0.25">
      <c r="A729" t="s">
        <v>3053</v>
      </c>
      <c r="B729" t="s">
        <v>594</v>
      </c>
      <c r="C729" t="s">
        <v>3701</v>
      </c>
      <c r="D729" t="s">
        <v>537</v>
      </c>
      <c r="E729" t="s">
        <v>595</v>
      </c>
      <c r="F729" t="s">
        <v>5164</v>
      </c>
      <c r="G729" t="s">
        <v>5165</v>
      </c>
      <c r="H729" t="s">
        <v>3704</v>
      </c>
      <c r="I729" t="s">
        <v>3705</v>
      </c>
    </row>
    <row r="730" spans="1:9" x14ac:dyDescent="0.25">
      <c r="A730" t="s">
        <v>3056</v>
      </c>
      <c r="B730" t="s">
        <v>594</v>
      </c>
      <c r="C730" t="s">
        <v>3706</v>
      </c>
      <c r="D730" t="s">
        <v>537</v>
      </c>
      <c r="E730" t="s">
        <v>595</v>
      </c>
      <c r="F730" t="s">
        <v>5166</v>
      </c>
      <c r="G730" t="s">
        <v>5167</v>
      </c>
      <c r="H730" t="s">
        <v>3704</v>
      </c>
      <c r="I730" t="s">
        <v>3709</v>
      </c>
    </row>
    <row r="731" spans="1:9" x14ac:dyDescent="0.25">
      <c r="A731" t="s">
        <v>3059</v>
      </c>
      <c r="B731" t="s">
        <v>594</v>
      </c>
      <c r="C731" t="s">
        <v>3710</v>
      </c>
      <c r="D731" t="s">
        <v>537</v>
      </c>
      <c r="E731" t="s">
        <v>595</v>
      </c>
      <c r="F731" t="s">
        <v>5168</v>
      </c>
      <c r="G731" t="s">
        <v>5169</v>
      </c>
      <c r="H731" t="s">
        <v>3713</v>
      </c>
      <c r="I731" t="s">
        <v>3714</v>
      </c>
    </row>
    <row r="732" spans="1:9" x14ac:dyDescent="0.25">
      <c r="A732" t="s">
        <v>3061</v>
      </c>
      <c r="B732" t="s">
        <v>594</v>
      </c>
      <c r="C732" t="s">
        <v>3715</v>
      </c>
      <c r="D732" t="s">
        <v>537</v>
      </c>
      <c r="E732" t="s">
        <v>595</v>
      </c>
      <c r="F732" t="s">
        <v>5170</v>
      </c>
      <c r="G732" t="s">
        <v>5171</v>
      </c>
      <c r="H732" t="s">
        <v>3704</v>
      </c>
      <c r="I732" t="s">
        <v>3700</v>
      </c>
    </row>
    <row r="733" spans="1:9" x14ac:dyDescent="0.25">
      <c r="A733" t="s">
        <v>3063</v>
      </c>
      <c r="B733" t="s">
        <v>594</v>
      </c>
      <c r="C733" t="s">
        <v>3718</v>
      </c>
      <c r="D733" t="s">
        <v>537</v>
      </c>
      <c r="E733" t="s">
        <v>595</v>
      </c>
      <c r="F733" t="s">
        <v>5172</v>
      </c>
      <c r="G733" t="s">
        <v>5173</v>
      </c>
      <c r="H733" t="s">
        <v>3713</v>
      </c>
      <c r="I733" t="s">
        <v>3721</v>
      </c>
    </row>
    <row r="734" spans="1:9" x14ac:dyDescent="0.25">
      <c r="A734" t="s">
        <v>3066</v>
      </c>
      <c r="B734" t="s">
        <v>598</v>
      </c>
      <c r="C734" t="s">
        <v>3696</v>
      </c>
      <c r="D734" t="s">
        <v>537</v>
      </c>
      <c r="E734" t="s">
        <v>599</v>
      </c>
      <c r="F734" t="s">
        <v>5174</v>
      </c>
      <c r="G734" t="s">
        <v>5175</v>
      </c>
      <c r="H734" t="s">
        <v>3699</v>
      </c>
      <c r="I734" t="s">
        <v>3700</v>
      </c>
    </row>
    <row r="735" spans="1:9" x14ac:dyDescent="0.25">
      <c r="A735" t="s">
        <v>3072</v>
      </c>
      <c r="B735" t="s">
        <v>598</v>
      </c>
      <c r="C735" t="s">
        <v>3701</v>
      </c>
      <c r="D735" t="s">
        <v>537</v>
      </c>
      <c r="E735" t="s">
        <v>599</v>
      </c>
      <c r="F735" t="s">
        <v>5176</v>
      </c>
      <c r="G735" t="s">
        <v>5177</v>
      </c>
      <c r="H735" t="s">
        <v>3704</v>
      </c>
      <c r="I735" t="s">
        <v>3705</v>
      </c>
    </row>
    <row r="736" spans="1:9" x14ac:dyDescent="0.25">
      <c r="A736" t="s">
        <v>3075</v>
      </c>
      <c r="B736" t="s">
        <v>598</v>
      </c>
      <c r="C736" t="s">
        <v>3706</v>
      </c>
      <c r="D736" t="s">
        <v>537</v>
      </c>
      <c r="E736" t="s">
        <v>599</v>
      </c>
      <c r="F736" t="s">
        <v>5178</v>
      </c>
      <c r="G736" t="s">
        <v>5179</v>
      </c>
      <c r="H736" t="s">
        <v>3704</v>
      </c>
      <c r="I736" t="s">
        <v>3709</v>
      </c>
    </row>
    <row r="737" spans="1:9" x14ac:dyDescent="0.25">
      <c r="A737" t="s">
        <v>3078</v>
      </c>
      <c r="B737" t="s">
        <v>598</v>
      </c>
      <c r="C737" t="s">
        <v>3710</v>
      </c>
      <c r="D737" t="s">
        <v>537</v>
      </c>
      <c r="E737" t="s">
        <v>599</v>
      </c>
      <c r="F737" t="s">
        <v>5180</v>
      </c>
      <c r="G737" t="s">
        <v>5181</v>
      </c>
      <c r="H737" t="s">
        <v>3713</v>
      </c>
      <c r="I737" t="s">
        <v>3714</v>
      </c>
    </row>
    <row r="738" spans="1:9" x14ac:dyDescent="0.25">
      <c r="A738" t="s">
        <v>3080</v>
      </c>
      <c r="B738" t="s">
        <v>598</v>
      </c>
      <c r="C738" t="s">
        <v>3715</v>
      </c>
      <c r="D738" t="s">
        <v>537</v>
      </c>
      <c r="E738" t="s">
        <v>599</v>
      </c>
      <c r="F738" t="s">
        <v>5182</v>
      </c>
      <c r="G738" t="s">
        <v>5183</v>
      </c>
      <c r="H738" t="s">
        <v>3704</v>
      </c>
      <c r="I738" t="s">
        <v>3700</v>
      </c>
    </row>
    <row r="739" spans="1:9" x14ac:dyDescent="0.25">
      <c r="A739" t="s">
        <v>3082</v>
      </c>
      <c r="B739" t="s">
        <v>598</v>
      </c>
      <c r="C739" t="s">
        <v>3718</v>
      </c>
      <c r="D739" t="s">
        <v>537</v>
      </c>
      <c r="E739" t="s">
        <v>599</v>
      </c>
      <c r="F739" t="s">
        <v>5184</v>
      </c>
      <c r="G739" t="s">
        <v>5185</v>
      </c>
      <c r="H739" t="s">
        <v>3713</v>
      </c>
      <c r="I739" t="s">
        <v>3721</v>
      </c>
    </row>
    <row r="740" spans="1:9" x14ac:dyDescent="0.25">
      <c r="A740" t="s">
        <v>3085</v>
      </c>
      <c r="B740" t="s">
        <v>602</v>
      </c>
      <c r="C740" t="s">
        <v>3696</v>
      </c>
      <c r="D740" t="s">
        <v>537</v>
      </c>
      <c r="E740" t="s">
        <v>603</v>
      </c>
      <c r="F740" t="s">
        <v>5186</v>
      </c>
      <c r="G740" t="s">
        <v>5187</v>
      </c>
      <c r="H740" t="s">
        <v>3699</v>
      </c>
      <c r="I740" t="s">
        <v>3700</v>
      </c>
    </row>
    <row r="741" spans="1:9" x14ac:dyDescent="0.25">
      <c r="A741" t="s">
        <v>3091</v>
      </c>
      <c r="B741" t="s">
        <v>602</v>
      </c>
      <c r="C741" t="s">
        <v>3701</v>
      </c>
      <c r="D741" t="s">
        <v>537</v>
      </c>
      <c r="E741" t="s">
        <v>603</v>
      </c>
      <c r="F741" t="s">
        <v>5188</v>
      </c>
      <c r="G741" t="s">
        <v>5189</v>
      </c>
      <c r="H741" t="s">
        <v>3704</v>
      </c>
      <c r="I741" t="s">
        <v>3705</v>
      </c>
    </row>
    <row r="742" spans="1:9" x14ac:dyDescent="0.25">
      <c r="A742" t="s">
        <v>3094</v>
      </c>
      <c r="B742" t="s">
        <v>602</v>
      </c>
      <c r="C742" t="s">
        <v>3706</v>
      </c>
      <c r="D742" t="s">
        <v>537</v>
      </c>
      <c r="E742" t="s">
        <v>603</v>
      </c>
      <c r="F742" t="s">
        <v>5190</v>
      </c>
      <c r="G742" t="s">
        <v>5191</v>
      </c>
      <c r="H742" t="s">
        <v>3704</v>
      </c>
      <c r="I742" t="s">
        <v>3709</v>
      </c>
    </row>
    <row r="743" spans="1:9" x14ac:dyDescent="0.25">
      <c r="A743" t="s">
        <v>3097</v>
      </c>
      <c r="B743" t="s">
        <v>602</v>
      </c>
      <c r="C743" t="s">
        <v>3710</v>
      </c>
      <c r="D743" t="s">
        <v>537</v>
      </c>
      <c r="E743" t="s">
        <v>603</v>
      </c>
      <c r="F743" t="s">
        <v>5192</v>
      </c>
      <c r="G743" t="s">
        <v>5193</v>
      </c>
      <c r="H743" t="s">
        <v>3713</v>
      </c>
      <c r="I743" t="s">
        <v>3714</v>
      </c>
    </row>
    <row r="744" spans="1:9" x14ac:dyDescent="0.25">
      <c r="A744" t="s">
        <v>3099</v>
      </c>
      <c r="B744" t="s">
        <v>602</v>
      </c>
      <c r="C744" t="s">
        <v>3715</v>
      </c>
      <c r="D744" t="s">
        <v>537</v>
      </c>
      <c r="E744" t="s">
        <v>603</v>
      </c>
      <c r="F744" t="s">
        <v>5194</v>
      </c>
      <c r="G744" t="s">
        <v>5195</v>
      </c>
      <c r="H744" t="s">
        <v>3704</v>
      </c>
      <c r="I744" t="s">
        <v>3700</v>
      </c>
    </row>
    <row r="745" spans="1:9" x14ac:dyDescent="0.25">
      <c r="A745" t="s">
        <v>3101</v>
      </c>
      <c r="B745" t="s">
        <v>602</v>
      </c>
      <c r="C745" t="s">
        <v>3718</v>
      </c>
      <c r="D745" t="s">
        <v>537</v>
      </c>
      <c r="E745" t="s">
        <v>603</v>
      </c>
      <c r="F745" t="s">
        <v>5196</v>
      </c>
      <c r="G745" t="s">
        <v>5197</v>
      </c>
      <c r="H745" t="s">
        <v>3713</v>
      </c>
      <c r="I745" t="s">
        <v>3721</v>
      </c>
    </row>
    <row r="746" spans="1:9" x14ac:dyDescent="0.25">
      <c r="A746" t="s">
        <v>3104</v>
      </c>
      <c r="B746" t="s">
        <v>606</v>
      </c>
      <c r="C746" t="s">
        <v>3696</v>
      </c>
      <c r="D746" t="s">
        <v>607</v>
      </c>
      <c r="E746" t="s">
        <v>609</v>
      </c>
      <c r="F746" t="s">
        <v>5198</v>
      </c>
      <c r="G746" t="s">
        <v>5199</v>
      </c>
      <c r="H746" t="s">
        <v>3699</v>
      </c>
      <c r="I746" t="s">
        <v>3700</v>
      </c>
    </row>
    <row r="747" spans="1:9" x14ac:dyDescent="0.25">
      <c r="A747" t="s">
        <v>3110</v>
      </c>
      <c r="B747" t="s">
        <v>606</v>
      </c>
      <c r="C747" t="s">
        <v>3701</v>
      </c>
      <c r="D747" t="s">
        <v>607</v>
      </c>
      <c r="E747" t="s">
        <v>609</v>
      </c>
      <c r="F747" t="s">
        <v>5200</v>
      </c>
      <c r="G747" t="s">
        <v>5201</v>
      </c>
      <c r="H747" t="s">
        <v>3704</v>
      </c>
      <c r="I747" t="s">
        <v>3705</v>
      </c>
    </row>
    <row r="748" spans="1:9" x14ac:dyDescent="0.25">
      <c r="A748" t="s">
        <v>3113</v>
      </c>
      <c r="B748" t="s">
        <v>606</v>
      </c>
      <c r="C748" t="s">
        <v>3706</v>
      </c>
      <c r="D748" t="s">
        <v>607</v>
      </c>
      <c r="E748" t="s">
        <v>609</v>
      </c>
      <c r="F748" t="s">
        <v>5202</v>
      </c>
      <c r="G748" t="s">
        <v>5203</v>
      </c>
      <c r="H748" t="s">
        <v>3704</v>
      </c>
      <c r="I748" t="s">
        <v>3709</v>
      </c>
    </row>
    <row r="749" spans="1:9" x14ac:dyDescent="0.25">
      <c r="A749" t="s">
        <v>3116</v>
      </c>
      <c r="B749" t="s">
        <v>606</v>
      </c>
      <c r="C749" t="s">
        <v>3710</v>
      </c>
      <c r="D749" t="s">
        <v>607</v>
      </c>
      <c r="E749" t="s">
        <v>609</v>
      </c>
      <c r="F749" t="s">
        <v>5204</v>
      </c>
      <c r="G749" t="s">
        <v>5205</v>
      </c>
      <c r="H749" t="s">
        <v>3713</v>
      </c>
      <c r="I749" t="s">
        <v>3714</v>
      </c>
    </row>
    <row r="750" spans="1:9" x14ac:dyDescent="0.25">
      <c r="A750" t="s">
        <v>3118</v>
      </c>
      <c r="B750" t="s">
        <v>606</v>
      </c>
      <c r="C750" t="s">
        <v>3715</v>
      </c>
      <c r="D750" t="s">
        <v>607</v>
      </c>
      <c r="E750" t="s">
        <v>609</v>
      </c>
      <c r="F750" t="s">
        <v>5206</v>
      </c>
      <c r="G750" t="s">
        <v>5207</v>
      </c>
      <c r="H750" t="s">
        <v>3704</v>
      </c>
      <c r="I750" t="s">
        <v>3700</v>
      </c>
    </row>
    <row r="751" spans="1:9" x14ac:dyDescent="0.25">
      <c r="A751" t="s">
        <v>3120</v>
      </c>
      <c r="B751" t="s">
        <v>606</v>
      </c>
      <c r="C751" t="s">
        <v>3718</v>
      </c>
      <c r="D751" t="s">
        <v>607</v>
      </c>
      <c r="E751" t="s">
        <v>609</v>
      </c>
      <c r="F751" t="s">
        <v>5208</v>
      </c>
      <c r="G751" t="s">
        <v>5209</v>
      </c>
      <c r="H751" t="s">
        <v>3713</v>
      </c>
      <c r="I751" t="s">
        <v>3721</v>
      </c>
    </row>
    <row r="752" spans="1:9" x14ac:dyDescent="0.25">
      <c r="A752" t="s">
        <v>3123</v>
      </c>
      <c r="B752" t="s">
        <v>612</v>
      </c>
      <c r="C752" t="s">
        <v>3696</v>
      </c>
      <c r="D752" t="s">
        <v>607</v>
      </c>
      <c r="E752" t="s">
        <v>613</v>
      </c>
      <c r="F752" t="s">
        <v>5210</v>
      </c>
      <c r="G752" t="s">
        <v>5211</v>
      </c>
      <c r="H752" t="s">
        <v>3699</v>
      </c>
      <c r="I752" t="s">
        <v>3700</v>
      </c>
    </row>
    <row r="753" spans="1:9" x14ac:dyDescent="0.25">
      <c r="A753" t="s">
        <v>3129</v>
      </c>
      <c r="B753" t="s">
        <v>612</v>
      </c>
      <c r="C753" t="s">
        <v>3701</v>
      </c>
      <c r="D753" t="s">
        <v>607</v>
      </c>
      <c r="E753" t="s">
        <v>613</v>
      </c>
      <c r="F753" t="s">
        <v>5212</v>
      </c>
      <c r="G753" t="s">
        <v>5213</v>
      </c>
      <c r="H753" t="s">
        <v>3704</v>
      </c>
      <c r="I753" t="s">
        <v>3705</v>
      </c>
    </row>
    <row r="754" spans="1:9" x14ac:dyDescent="0.25">
      <c r="A754" t="s">
        <v>3132</v>
      </c>
      <c r="B754" t="s">
        <v>612</v>
      </c>
      <c r="C754" t="s">
        <v>3706</v>
      </c>
      <c r="D754" t="s">
        <v>607</v>
      </c>
      <c r="E754" t="s">
        <v>613</v>
      </c>
      <c r="F754" t="s">
        <v>5214</v>
      </c>
      <c r="G754" t="s">
        <v>5215</v>
      </c>
      <c r="H754" t="s">
        <v>3704</v>
      </c>
      <c r="I754" t="s">
        <v>3709</v>
      </c>
    </row>
    <row r="755" spans="1:9" x14ac:dyDescent="0.25">
      <c r="A755" t="s">
        <v>3135</v>
      </c>
      <c r="B755" t="s">
        <v>612</v>
      </c>
      <c r="C755" t="s">
        <v>3710</v>
      </c>
      <c r="D755" t="s">
        <v>607</v>
      </c>
      <c r="E755" t="s">
        <v>613</v>
      </c>
      <c r="F755" t="s">
        <v>5216</v>
      </c>
      <c r="G755" t="s">
        <v>5217</v>
      </c>
      <c r="H755" t="s">
        <v>3713</v>
      </c>
      <c r="I755" t="s">
        <v>3714</v>
      </c>
    </row>
    <row r="756" spans="1:9" x14ac:dyDescent="0.25">
      <c r="A756" t="s">
        <v>3137</v>
      </c>
      <c r="B756" t="s">
        <v>612</v>
      </c>
      <c r="C756" t="s">
        <v>3715</v>
      </c>
      <c r="D756" t="s">
        <v>607</v>
      </c>
      <c r="E756" t="s">
        <v>613</v>
      </c>
      <c r="F756" t="s">
        <v>5218</v>
      </c>
      <c r="G756" t="s">
        <v>5219</v>
      </c>
      <c r="H756" t="s">
        <v>3704</v>
      </c>
      <c r="I756" t="s">
        <v>3700</v>
      </c>
    </row>
    <row r="757" spans="1:9" x14ac:dyDescent="0.25">
      <c r="A757" t="s">
        <v>3139</v>
      </c>
      <c r="B757" t="s">
        <v>612</v>
      </c>
      <c r="C757" t="s">
        <v>3718</v>
      </c>
      <c r="D757" t="s">
        <v>607</v>
      </c>
      <c r="E757" t="s">
        <v>613</v>
      </c>
      <c r="F757" t="s">
        <v>5220</v>
      </c>
      <c r="G757" t="s">
        <v>5221</v>
      </c>
      <c r="H757" t="s">
        <v>3713</v>
      </c>
      <c r="I757" t="s">
        <v>3721</v>
      </c>
    </row>
    <row r="758" spans="1:9" x14ac:dyDescent="0.25">
      <c r="A758" t="s">
        <v>3142</v>
      </c>
      <c r="B758" t="s">
        <v>616</v>
      </c>
      <c r="C758" t="s">
        <v>3696</v>
      </c>
      <c r="D758" t="s">
        <v>607</v>
      </c>
      <c r="E758" t="s">
        <v>617</v>
      </c>
      <c r="F758" t="s">
        <v>5222</v>
      </c>
      <c r="G758" t="s">
        <v>5223</v>
      </c>
      <c r="H758" t="s">
        <v>3699</v>
      </c>
      <c r="I758" t="s">
        <v>3700</v>
      </c>
    </row>
    <row r="759" spans="1:9" x14ac:dyDescent="0.25">
      <c r="A759" t="s">
        <v>3148</v>
      </c>
      <c r="B759" t="s">
        <v>616</v>
      </c>
      <c r="C759" t="s">
        <v>3701</v>
      </c>
      <c r="D759" t="s">
        <v>607</v>
      </c>
      <c r="E759" t="s">
        <v>617</v>
      </c>
      <c r="F759" t="s">
        <v>5224</v>
      </c>
      <c r="G759" t="s">
        <v>5225</v>
      </c>
      <c r="H759" t="s">
        <v>3704</v>
      </c>
      <c r="I759" t="s">
        <v>3705</v>
      </c>
    </row>
    <row r="760" spans="1:9" x14ac:dyDescent="0.25">
      <c r="A760" t="s">
        <v>3151</v>
      </c>
      <c r="B760" t="s">
        <v>616</v>
      </c>
      <c r="C760" t="s">
        <v>3706</v>
      </c>
      <c r="D760" t="s">
        <v>607</v>
      </c>
      <c r="E760" t="s">
        <v>617</v>
      </c>
      <c r="F760" t="s">
        <v>5226</v>
      </c>
      <c r="G760" t="s">
        <v>5227</v>
      </c>
      <c r="H760" t="s">
        <v>3704</v>
      </c>
      <c r="I760" t="s">
        <v>3709</v>
      </c>
    </row>
    <row r="761" spans="1:9" x14ac:dyDescent="0.25">
      <c r="A761" t="s">
        <v>3154</v>
      </c>
      <c r="B761" t="s">
        <v>616</v>
      </c>
      <c r="C761" t="s">
        <v>3710</v>
      </c>
      <c r="D761" t="s">
        <v>607</v>
      </c>
      <c r="E761" t="s">
        <v>617</v>
      </c>
      <c r="F761" t="s">
        <v>5228</v>
      </c>
      <c r="G761" t="s">
        <v>5229</v>
      </c>
      <c r="H761" t="s">
        <v>3713</v>
      </c>
      <c r="I761" t="s">
        <v>3714</v>
      </c>
    </row>
    <row r="762" spans="1:9" x14ac:dyDescent="0.25">
      <c r="A762" t="s">
        <v>3156</v>
      </c>
      <c r="B762" t="s">
        <v>616</v>
      </c>
      <c r="C762" t="s">
        <v>3715</v>
      </c>
      <c r="D762" t="s">
        <v>607</v>
      </c>
      <c r="E762" t="s">
        <v>617</v>
      </c>
      <c r="F762" t="s">
        <v>5230</v>
      </c>
      <c r="G762" t="s">
        <v>5231</v>
      </c>
      <c r="H762" t="s">
        <v>3704</v>
      </c>
      <c r="I762" t="s">
        <v>3700</v>
      </c>
    </row>
    <row r="763" spans="1:9" x14ac:dyDescent="0.25">
      <c r="A763" t="s">
        <v>3158</v>
      </c>
      <c r="B763" t="s">
        <v>616</v>
      </c>
      <c r="C763" t="s">
        <v>3718</v>
      </c>
      <c r="D763" t="s">
        <v>607</v>
      </c>
      <c r="E763" t="s">
        <v>617</v>
      </c>
      <c r="F763" t="s">
        <v>5232</v>
      </c>
      <c r="G763" t="s">
        <v>5233</v>
      </c>
      <c r="H763" t="s">
        <v>3713</v>
      </c>
      <c r="I763" t="s">
        <v>3721</v>
      </c>
    </row>
    <row r="764" spans="1:9" x14ac:dyDescent="0.25">
      <c r="A764" t="s">
        <v>3161</v>
      </c>
      <c r="B764" t="s">
        <v>620</v>
      </c>
      <c r="C764" t="s">
        <v>3696</v>
      </c>
      <c r="D764" t="s">
        <v>607</v>
      </c>
      <c r="E764" t="s">
        <v>621</v>
      </c>
      <c r="F764" t="s">
        <v>5234</v>
      </c>
      <c r="G764" t="s">
        <v>5235</v>
      </c>
      <c r="H764" t="s">
        <v>3699</v>
      </c>
      <c r="I764" t="s">
        <v>3700</v>
      </c>
    </row>
    <row r="765" spans="1:9" x14ac:dyDescent="0.25">
      <c r="A765" t="s">
        <v>3167</v>
      </c>
      <c r="B765" t="s">
        <v>620</v>
      </c>
      <c r="C765" t="s">
        <v>3701</v>
      </c>
      <c r="D765" t="s">
        <v>607</v>
      </c>
      <c r="E765" t="s">
        <v>621</v>
      </c>
      <c r="F765" t="s">
        <v>5236</v>
      </c>
      <c r="G765" t="s">
        <v>5237</v>
      </c>
      <c r="H765" t="s">
        <v>3704</v>
      </c>
      <c r="I765" t="s">
        <v>3705</v>
      </c>
    </row>
    <row r="766" spans="1:9" x14ac:dyDescent="0.25">
      <c r="A766" t="s">
        <v>3170</v>
      </c>
      <c r="B766" t="s">
        <v>620</v>
      </c>
      <c r="C766" t="s">
        <v>3706</v>
      </c>
      <c r="D766" t="s">
        <v>607</v>
      </c>
      <c r="E766" t="s">
        <v>621</v>
      </c>
      <c r="F766" t="s">
        <v>5238</v>
      </c>
      <c r="G766" t="s">
        <v>5239</v>
      </c>
      <c r="H766" t="s">
        <v>3704</v>
      </c>
      <c r="I766" t="s">
        <v>3709</v>
      </c>
    </row>
    <row r="767" spans="1:9" x14ac:dyDescent="0.25">
      <c r="A767" t="s">
        <v>3173</v>
      </c>
      <c r="B767" t="s">
        <v>620</v>
      </c>
      <c r="C767" t="s">
        <v>3710</v>
      </c>
      <c r="D767" t="s">
        <v>607</v>
      </c>
      <c r="E767" t="s">
        <v>621</v>
      </c>
      <c r="F767" t="s">
        <v>5240</v>
      </c>
      <c r="G767" t="s">
        <v>5241</v>
      </c>
      <c r="H767" t="s">
        <v>3713</v>
      </c>
      <c r="I767" t="s">
        <v>3714</v>
      </c>
    </row>
    <row r="768" spans="1:9" x14ac:dyDescent="0.25">
      <c r="A768" t="s">
        <v>3175</v>
      </c>
      <c r="B768" t="s">
        <v>620</v>
      </c>
      <c r="C768" t="s">
        <v>3715</v>
      </c>
      <c r="D768" t="s">
        <v>607</v>
      </c>
      <c r="E768" t="s">
        <v>621</v>
      </c>
      <c r="F768" t="s">
        <v>5242</v>
      </c>
      <c r="G768" t="s">
        <v>5243</v>
      </c>
      <c r="H768" t="s">
        <v>3704</v>
      </c>
      <c r="I768" t="s">
        <v>3700</v>
      </c>
    </row>
    <row r="769" spans="1:9" x14ac:dyDescent="0.25">
      <c r="A769" t="s">
        <v>3177</v>
      </c>
      <c r="B769" t="s">
        <v>620</v>
      </c>
      <c r="C769" t="s">
        <v>3718</v>
      </c>
      <c r="D769" t="s">
        <v>607</v>
      </c>
      <c r="E769" t="s">
        <v>621</v>
      </c>
      <c r="F769" t="s">
        <v>5244</v>
      </c>
      <c r="G769" t="s">
        <v>5245</v>
      </c>
      <c r="H769" t="s">
        <v>3713</v>
      </c>
      <c r="I769" t="s">
        <v>3721</v>
      </c>
    </row>
    <row r="770" spans="1:9" x14ac:dyDescent="0.25">
      <c r="A770" t="s">
        <v>3180</v>
      </c>
      <c r="B770" t="s">
        <v>624</v>
      </c>
      <c r="C770" t="s">
        <v>3696</v>
      </c>
      <c r="D770" t="s">
        <v>607</v>
      </c>
      <c r="E770" t="s">
        <v>626</v>
      </c>
      <c r="F770" t="s">
        <v>5246</v>
      </c>
      <c r="G770" t="s">
        <v>5247</v>
      </c>
      <c r="H770" t="s">
        <v>3699</v>
      </c>
      <c r="I770" t="s">
        <v>3700</v>
      </c>
    </row>
    <row r="771" spans="1:9" x14ac:dyDescent="0.25">
      <c r="A771" t="s">
        <v>3186</v>
      </c>
      <c r="B771" t="s">
        <v>624</v>
      </c>
      <c r="C771" t="s">
        <v>3701</v>
      </c>
      <c r="D771" t="s">
        <v>607</v>
      </c>
      <c r="E771" t="s">
        <v>626</v>
      </c>
      <c r="F771" t="s">
        <v>5248</v>
      </c>
      <c r="G771" t="s">
        <v>5249</v>
      </c>
      <c r="H771" t="s">
        <v>3704</v>
      </c>
      <c r="I771" t="s">
        <v>3705</v>
      </c>
    </row>
    <row r="772" spans="1:9" x14ac:dyDescent="0.25">
      <c r="A772" t="s">
        <v>3189</v>
      </c>
      <c r="B772" t="s">
        <v>624</v>
      </c>
      <c r="C772" t="s">
        <v>3706</v>
      </c>
      <c r="D772" t="s">
        <v>607</v>
      </c>
      <c r="E772" t="s">
        <v>626</v>
      </c>
      <c r="F772" t="s">
        <v>5250</v>
      </c>
      <c r="G772" t="s">
        <v>5251</v>
      </c>
      <c r="H772" t="s">
        <v>3704</v>
      </c>
      <c r="I772" t="s">
        <v>3709</v>
      </c>
    </row>
    <row r="773" spans="1:9" x14ac:dyDescent="0.25">
      <c r="A773" t="s">
        <v>3192</v>
      </c>
      <c r="B773" t="s">
        <v>624</v>
      </c>
      <c r="C773" t="s">
        <v>3710</v>
      </c>
      <c r="D773" t="s">
        <v>607</v>
      </c>
      <c r="E773" t="s">
        <v>626</v>
      </c>
      <c r="F773" t="s">
        <v>5252</v>
      </c>
      <c r="G773" t="s">
        <v>5253</v>
      </c>
      <c r="H773" t="s">
        <v>3713</v>
      </c>
      <c r="I773" t="s">
        <v>3714</v>
      </c>
    </row>
    <row r="774" spans="1:9" x14ac:dyDescent="0.25">
      <c r="A774" t="s">
        <v>3194</v>
      </c>
      <c r="B774" t="s">
        <v>624</v>
      </c>
      <c r="C774" t="s">
        <v>3715</v>
      </c>
      <c r="D774" t="s">
        <v>607</v>
      </c>
      <c r="E774" t="s">
        <v>626</v>
      </c>
      <c r="F774" t="s">
        <v>5254</v>
      </c>
      <c r="G774" t="s">
        <v>5255</v>
      </c>
      <c r="H774" t="s">
        <v>3704</v>
      </c>
      <c r="I774" t="s">
        <v>3700</v>
      </c>
    </row>
    <row r="775" spans="1:9" x14ac:dyDescent="0.25">
      <c r="A775" t="s">
        <v>3196</v>
      </c>
      <c r="B775" t="s">
        <v>624</v>
      </c>
      <c r="C775" t="s">
        <v>3718</v>
      </c>
      <c r="D775" t="s">
        <v>607</v>
      </c>
      <c r="E775" t="s">
        <v>626</v>
      </c>
      <c r="F775" t="s">
        <v>5256</v>
      </c>
      <c r="G775" t="s">
        <v>5257</v>
      </c>
      <c r="H775" t="s">
        <v>3713</v>
      </c>
      <c r="I775" t="s">
        <v>3721</v>
      </c>
    </row>
    <row r="776" spans="1:9" x14ac:dyDescent="0.25">
      <c r="A776" t="s">
        <v>3199</v>
      </c>
      <c r="B776" t="s">
        <v>629</v>
      </c>
      <c r="C776" t="s">
        <v>3696</v>
      </c>
      <c r="D776" t="s">
        <v>607</v>
      </c>
      <c r="E776" t="s">
        <v>630</v>
      </c>
      <c r="F776" t="s">
        <v>5258</v>
      </c>
      <c r="G776" t="s">
        <v>5259</v>
      </c>
      <c r="H776" t="s">
        <v>3699</v>
      </c>
      <c r="I776" t="s">
        <v>3700</v>
      </c>
    </row>
    <row r="777" spans="1:9" x14ac:dyDescent="0.25">
      <c r="A777" t="s">
        <v>3205</v>
      </c>
      <c r="B777" t="s">
        <v>629</v>
      </c>
      <c r="C777" t="s">
        <v>3701</v>
      </c>
      <c r="D777" t="s">
        <v>607</v>
      </c>
      <c r="E777" t="s">
        <v>630</v>
      </c>
      <c r="F777" t="s">
        <v>5260</v>
      </c>
      <c r="G777" t="s">
        <v>5261</v>
      </c>
      <c r="H777" t="s">
        <v>3704</v>
      </c>
      <c r="I777" t="s">
        <v>3705</v>
      </c>
    </row>
    <row r="778" spans="1:9" x14ac:dyDescent="0.25">
      <c r="A778" t="s">
        <v>3208</v>
      </c>
      <c r="B778" t="s">
        <v>629</v>
      </c>
      <c r="C778" t="s">
        <v>3706</v>
      </c>
      <c r="D778" t="s">
        <v>607</v>
      </c>
      <c r="E778" t="s">
        <v>630</v>
      </c>
      <c r="F778" t="s">
        <v>5262</v>
      </c>
      <c r="G778" t="s">
        <v>5263</v>
      </c>
      <c r="H778" t="s">
        <v>3704</v>
      </c>
      <c r="I778" t="s">
        <v>3709</v>
      </c>
    </row>
    <row r="779" spans="1:9" x14ac:dyDescent="0.25">
      <c r="A779" t="s">
        <v>3211</v>
      </c>
      <c r="B779" t="s">
        <v>629</v>
      </c>
      <c r="C779" t="s">
        <v>3710</v>
      </c>
      <c r="D779" t="s">
        <v>607</v>
      </c>
      <c r="E779" t="s">
        <v>630</v>
      </c>
      <c r="F779" t="s">
        <v>5264</v>
      </c>
      <c r="G779" t="s">
        <v>5265</v>
      </c>
      <c r="H779" t="s">
        <v>3713</v>
      </c>
      <c r="I779" t="s">
        <v>3714</v>
      </c>
    </row>
    <row r="780" spans="1:9" x14ac:dyDescent="0.25">
      <c r="A780" t="s">
        <v>3213</v>
      </c>
      <c r="B780" t="s">
        <v>629</v>
      </c>
      <c r="C780" t="s">
        <v>3715</v>
      </c>
      <c r="D780" t="s">
        <v>607</v>
      </c>
      <c r="E780" t="s">
        <v>630</v>
      </c>
      <c r="F780" t="s">
        <v>5266</v>
      </c>
      <c r="G780" t="s">
        <v>5267</v>
      </c>
      <c r="H780" t="s">
        <v>3704</v>
      </c>
      <c r="I780" t="s">
        <v>3700</v>
      </c>
    </row>
    <row r="781" spans="1:9" x14ac:dyDescent="0.25">
      <c r="A781" t="s">
        <v>3215</v>
      </c>
      <c r="B781" t="s">
        <v>629</v>
      </c>
      <c r="C781" t="s">
        <v>3718</v>
      </c>
      <c r="D781" t="s">
        <v>607</v>
      </c>
      <c r="E781" t="s">
        <v>630</v>
      </c>
      <c r="F781" t="s">
        <v>5268</v>
      </c>
      <c r="G781" t="s">
        <v>5269</v>
      </c>
      <c r="H781" t="s">
        <v>3713</v>
      </c>
      <c r="I781" t="s">
        <v>3721</v>
      </c>
    </row>
    <row r="782" spans="1:9" x14ac:dyDescent="0.25">
      <c r="A782" t="s">
        <v>3218</v>
      </c>
      <c r="B782" t="s">
        <v>633</v>
      </c>
      <c r="C782" t="s">
        <v>3696</v>
      </c>
      <c r="D782" t="s">
        <v>607</v>
      </c>
      <c r="E782" t="s">
        <v>634</v>
      </c>
      <c r="F782" t="s">
        <v>5270</v>
      </c>
      <c r="G782" t="s">
        <v>5271</v>
      </c>
      <c r="H782" t="s">
        <v>3699</v>
      </c>
      <c r="I782" t="s">
        <v>3700</v>
      </c>
    </row>
    <row r="783" spans="1:9" x14ac:dyDescent="0.25">
      <c r="A783" t="s">
        <v>3224</v>
      </c>
      <c r="B783" t="s">
        <v>633</v>
      </c>
      <c r="C783" t="s">
        <v>3701</v>
      </c>
      <c r="D783" t="s">
        <v>607</v>
      </c>
      <c r="E783" t="s">
        <v>634</v>
      </c>
      <c r="F783" t="s">
        <v>5272</v>
      </c>
      <c r="G783" t="s">
        <v>5273</v>
      </c>
      <c r="H783" t="s">
        <v>3704</v>
      </c>
      <c r="I783" t="s">
        <v>3705</v>
      </c>
    </row>
    <row r="784" spans="1:9" x14ac:dyDescent="0.25">
      <c r="A784" t="s">
        <v>3227</v>
      </c>
      <c r="B784" t="s">
        <v>633</v>
      </c>
      <c r="C784" t="s">
        <v>3706</v>
      </c>
      <c r="D784" t="s">
        <v>607</v>
      </c>
      <c r="E784" t="s">
        <v>634</v>
      </c>
      <c r="F784" t="s">
        <v>5274</v>
      </c>
      <c r="G784" t="s">
        <v>5275</v>
      </c>
      <c r="H784" t="s">
        <v>3704</v>
      </c>
      <c r="I784" t="s">
        <v>3709</v>
      </c>
    </row>
    <row r="785" spans="1:9" x14ac:dyDescent="0.25">
      <c r="A785" t="s">
        <v>3230</v>
      </c>
      <c r="B785" t="s">
        <v>633</v>
      </c>
      <c r="C785" t="s">
        <v>3710</v>
      </c>
      <c r="D785" t="s">
        <v>607</v>
      </c>
      <c r="E785" t="s">
        <v>634</v>
      </c>
      <c r="F785" t="s">
        <v>5276</v>
      </c>
      <c r="G785" t="s">
        <v>5277</v>
      </c>
      <c r="H785" t="s">
        <v>3713</v>
      </c>
      <c r="I785" t="s">
        <v>3714</v>
      </c>
    </row>
    <row r="786" spans="1:9" x14ac:dyDescent="0.25">
      <c r="A786" t="s">
        <v>3232</v>
      </c>
      <c r="B786" t="s">
        <v>633</v>
      </c>
      <c r="C786" t="s">
        <v>3715</v>
      </c>
      <c r="D786" t="s">
        <v>607</v>
      </c>
      <c r="E786" t="s">
        <v>634</v>
      </c>
      <c r="F786" t="s">
        <v>5278</v>
      </c>
      <c r="G786" t="s">
        <v>5279</v>
      </c>
      <c r="H786" t="s">
        <v>3704</v>
      </c>
      <c r="I786" t="s">
        <v>3700</v>
      </c>
    </row>
    <row r="787" spans="1:9" x14ac:dyDescent="0.25">
      <c r="A787" t="s">
        <v>3234</v>
      </c>
      <c r="B787" t="s">
        <v>633</v>
      </c>
      <c r="C787" t="s">
        <v>3718</v>
      </c>
      <c r="D787" t="s">
        <v>607</v>
      </c>
      <c r="E787" t="s">
        <v>634</v>
      </c>
      <c r="F787" t="s">
        <v>5280</v>
      </c>
      <c r="G787" t="s">
        <v>5281</v>
      </c>
      <c r="H787" t="s">
        <v>3713</v>
      </c>
      <c r="I787" t="s">
        <v>3721</v>
      </c>
    </row>
    <row r="788" spans="1:9" x14ac:dyDescent="0.25">
      <c r="A788" t="s">
        <v>3237</v>
      </c>
      <c r="B788" t="s">
        <v>637</v>
      </c>
      <c r="C788" t="s">
        <v>3696</v>
      </c>
      <c r="D788" t="s">
        <v>607</v>
      </c>
      <c r="E788" t="s">
        <v>638</v>
      </c>
      <c r="F788" t="s">
        <v>5282</v>
      </c>
      <c r="G788" t="s">
        <v>5283</v>
      </c>
      <c r="H788" t="s">
        <v>3699</v>
      </c>
      <c r="I788" t="s">
        <v>3700</v>
      </c>
    </row>
    <row r="789" spans="1:9" x14ac:dyDescent="0.25">
      <c r="A789" t="s">
        <v>3243</v>
      </c>
      <c r="B789" t="s">
        <v>637</v>
      </c>
      <c r="C789" t="s">
        <v>3701</v>
      </c>
      <c r="D789" t="s">
        <v>607</v>
      </c>
      <c r="E789" t="s">
        <v>638</v>
      </c>
      <c r="F789" t="s">
        <v>5284</v>
      </c>
      <c r="G789" t="s">
        <v>5285</v>
      </c>
      <c r="H789" t="s">
        <v>3704</v>
      </c>
      <c r="I789" t="s">
        <v>3705</v>
      </c>
    </row>
    <row r="790" spans="1:9" x14ac:dyDescent="0.25">
      <c r="A790" t="s">
        <v>3246</v>
      </c>
      <c r="B790" t="s">
        <v>637</v>
      </c>
      <c r="C790" t="s">
        <v>3706</v>
      </c>
      <c r="D790" t="s">
        <v>607</v>
      </c>
      <c r="E790" t="s">
        <v>638</v>
      </c>
      <c r="F790" t="s">
        <v>5286</v>
      </c>
      <c r="G790" t="s">
        <v>5287</v>
      </c>
      <c r="H790" t="s">
        <v>3704</v>
      </c>
      <c r="I790" t="s">
        <v>3709</v>
      </c>
    </row>
    <row r="791" spans="1:9" x14ac:dyDescent="0.25">
      <c r="A791" t="s">
        <v>3249</v>
      </c>
      <c r="B791" t="s">
        <v>637</v>
      </c>
      <c r="C791" t="s">
        <v>3710</v>
      </c>
      <c r="D791" t="s">
        <v>607</v>
      </c>
      <c r="E791" t="s">
        <v>638</v>
      </c>
      <c r="F791" t="s">
        <v>5288</v>
      </c>
      <c r="G791" t="s">
        <v>5289</v>
      </c>
      <c r="H791" t="s">
        <v>3713</v>
      </c>
      <c r="I791" t="s">
        <v>3714</v>
      </c>
    </row>
    <row r="792" spans="1:9" x14ac:dyDescent="0.25">
      <c r="A792" t="s">
        <v>3251</v>
      </c>
      <c r="B792" t="s">
        <v>637</v>
      </c>
      <c r="C792" t="s">
        <v>3715</v>
      </c>
      <c r="D792" t="s">
        <v>607</v>
      </c>
      <c r="E792" t="s">
        <v>638</v>
      </c>
      <c r="F792" t="s">
        <v>5290</v>
      </c>
      <c r="G792" t="s">
        <v>5291</v>
      </c>
      <c r="H792" t="s">
        <v>3704</v>
      </c>
      <c r="I792" t="s">
        <v>3700</v>
      </c>
    </row>
    <row r="793" spans="1:9" x14ac:dyDescent="0.25">
      <c r="A793" t="s">
        <v>3253</v>
      </c>
      <c r="B793" t="s">
        <v>637</v>
      </c>
      <c r="C793" t="s">
        <v>3718</v>
      </c>
      <c r="D793" t="s">
        <v>607</v>
      </c>
      <c r="E793" t="s">
        <v>638</v>
      </c>
      <c r="F793" t="s">
        <v>5292</v>
      </c>
      <c r="G793" t="s">
        <v>5293</v>
      </c>
      <c r="H793" t="s">
        <v>3713</v>
      </c>
      <c r="I793" t="s">
        <v>3721</v>
      </c>
    </row>
    <row r="794" spans="1:9" x14ac:dyDescent="0.25">
      <c r="A794" t="s">
        <v>3256</v>
      </c>
      <c r="B794" t="s">
        <v>641</v>
      </c>
      <c r="C794" t="s">
        <v>3696</v>
      </c>
      <c r="D794" t="s">
        <v>607</v>
      </c>
      <c r="E794" t="s">
        <v>643</v>
      </c>
      <c r="F794" t="s">
        <v>5294</v>
      </c>
      <c r="G794" t="s">
        <v>5295</v>
      </c>
      <c r="H794" t="s">
        <v>3699</v>
      </c>
      <c r="I794" t="s">
        <v>3700</v>
      </c>
    </row>
    <row r="795" spans="1:9" x14ac:dyDescent="0.25">
      <c r="A795" t="s">
        <v>3262</v>
      </c>
      <c r="B795" t="s">
        <v>641</v>
      </c>
      <c r="C795" t="s">
        <v>3701</v>
      </c>
      <c r="D795" t="s">
        <v>607</v>
      </c>
      <c r="E795" t="s">
        <v>643</v>
      </c>
      <c r="F795" t="s">
        <v>5296</v>
      </c>
      <c r="G795" t="s">
        <v>5297</v>
      </c>
      <c r="H795" t="s">
        <v>3704</v>
      </c>
      <c r="I795" t="s">
        <v>3705</v>
      </c>
    </row>
    <row r="796" spans="1:9" x14ac:dyDescent="0.25">
      <c r="A796" t="s">
        <v>3265</v>
      </c>
      <c r="B796" t="s">
        <v>641</v>
      </c>
      <c r="C796" t="s">
        <v>3706</v>
      </c>
      <c r="D796" t="s">
        <v>607</v>
      </c>
      <c r="E796" t="s">
        <v>643</v>
      </c>
      <c r="F796" t="s">
        <v>5298</v>
      </c>
      <c r="G796" t="s">
        <v>5299</v>
      </c>
      <c r="H796" t="s">
        <v>3704</v>
      </c>
      <c r="I796" t="s">
        <v>3709</v>
      </c>
    </row>
    <row r="797" spans="1:9" x14ac:dyDescent="0.25">
      <c r="A797" t="s">
        <v>3268</v>
      </c>
      <c r="B797" t="s">
        <v>641</v>
      </c>
      <c r="C797" t="s">
        <v>3710</v>
      </c>
      <c r="D797" t="s">
        <v>607</v>
      </c>
      <c r="E797" t="s">
        <v>643</v>
      </c>
      <c r="F797" t="s">
        <v>5300</v>
      </c>
      <c r="G797" t="s">
        <v>5301</v>
      </c>
      <c r="H797" t="s">
        <v>3713</v>
      </c>
      <c r="I797" t="s">
        <v>3714</v>
      </c>
    </row>
    <row r="798" spans="1:9" x14ac:dyDescent="0.25">
      <c r="A798" t="s">
        <v>3270</v>
      </c>
      <c r="B798" t="s">
        <v>641</v>
      </c>
      <c r="C798" t="s">
        <v>3715</v>
      </c>
      <c r="D798" t="s">
        <v>607</v>
      </c>
      <c r="E798" t="s">
        <v>643</v>
      </c>
      <c r="F798" t="s">
        <v>5302</v>
      </c>
      <c r="G798" t="s">
        <v>5303</v>
      </c>
      <c r="H798" t="s">
        <v>3704</v>
      </c>
      <c r="I798" t="s">
        <v>3700</v>
      </c>
    </row>
    <row r="799" spans="1:9" x14ac:dyDescent="0.25">
      <c r="A799" t="s">
        <v>3272</v>
      </c>
      <c r="B799" t="s">
        <v>641</v>
      </c>
      <c r="C799" t="s">
        <v>3718</v>
      </c>
      <c r="D799" t="s">
        <v>607</v>
      </c>
      <c r="E799" t="s">
        <v>643</v>
      </c>
      <c r="F799" t="s">
        <v>5304</v>
      </c>
      <c r="G799" t="s">
        <v>5305</v>
      </c>
      <c r="H799" t="s">
        <v>3713</v>
      </c>
      <c r="I799" t="s">
        <v>3721</v>
      </c>
    </row>
    <row r="800" spans="1:9" x14ac:dyDescent="0.25">
      <c r="A800" t="s">
        <v>3275</v>
      </c>
      <c r="B800" t="s">
        <v>646</v>
      </c>
      <c r="C800" t="s">
        <v>3696</v>
      </c>
      <c r="D800" t="s">
        <v>607</v>
      </c>
      <c r="E800" t="s">
        <v>647</v>
      </c>
      <c r="F800" t="s">
        <v>5306</v>
      </c>
      <c r="G800" t="s">
        <v>5307</v>
      </c>
      <c r="H800" t="s">
        <v>3699</v>
      </c>
      <c r="I800" t="s">
        <v>3700</v>
      </c>
    </row>
    <row r="801" spans="1:9" x14ac:dyDescent="0.25">
      <c r="A801" t="s">
        <v>3281</v>
      </c>
      <c r="B801" t="s">
        <v>646</v>
      </c>
      <c r="C801" t="s">
        <v>3701</v>
      </c>
      <c r="D801" t="s">
        <v>607</v>
      </c>
      <c r="E801" t="s">
        <v>647</v>
      </c>
      <c r="F801" t="s">
        <v>5308</v>
      </c>
      <c r="G801" t="s">
        <v>5309</v>
      </c>
      <c r="H801" t="s">
        <v>3704</v>
      </c>
      <c r="I801" t="s">
        <v>3705</v>
      </c>
    </row>
    <row r="802" spans="1:9" x14ac:dyDescent="0.25">
      <c r="A802" t="s">
        <v>3284</v>
      </c>
      <c r="B802" t="s">
        <v>646</v>
      </c>
      <c r="C802" t="s">
        <v>3706</v>
      </c>
      <c r="D802" t="s">
        <v>607</v>
      </c>
      <c r="E802" t="s">
        <v>647</v>
      </c>
      <c r="F802" t="s">
        <v>5310</v>
      </c>
      <c r="G802" t="s">
        <v>5311</v>
      </c>
      <c r="H802" t="s">
        <v>3704</v>
      </c>
      <c r="I802" t="s">
        <v>3709</v>
      </c>
    </row>
    <row r="803" spans="1:9" x14ac:dyDescent="0.25">
      <c r="A803" t="s">
        <v>3287</v>
      </c>
      <c r="B803" t="s">
        <v>646</v>
      </c>
      <c r="C803" t="s">
        <v>3710</v>
      </c>
      <c r="D803" t="s">
        <v>607</v>
      </c>
      <c r="E803" t="s">
        <v>647</v>
      </c>
      <c r="F803" t="s">
        <v>5312</v>
      </c>
      <c r="G803" t="s">
        <v>5313</v>
      </c>
      <c r="H803" t="s">
        <v>3713</v>
      </c>
      <c r="I803" t="s">
        <v>3714</v>
      </c>
    </row>
    <row r="804" spans="1:9" x14ac:dyDescent="0.25">
      <c r="A804" t="s">
        <v>3289</v>
      </c>
      <c r="B804" t="s">
        <v>646</v>
      </c>
      <c r="C804" t="s">
        <v>3715</v>
      </c>
      <c r="D804" t="s">
        <v>607</v>
      </c>
      <c r="E804" t="s">
        <v>647</v>
      </c>
      <c r="F804" t="s">
        <v>5314</v>
      </c>
      <c r="G804" t="s">
        <v>5315</v>
      </c>
      <c r="H804" t="s">
        <v>3704</v>
      </c>
      <c r="I804" t="s">
        <v>3700</v>
      </c>
    </row>
    <row r="805" spans="1:9" x14ac:dyDescent="0.25">
      <c r="A805" t="s">
        <v>3291</v>
      </c>
      <c r="B805" t="s">
        <v>646</v>
      </c>
      <c r="C805" t="s">
        <v>3718</v>
      </c>
      <c r="D805" t="s">
        <v>607</v>
      </c>
      <c r="E805" t="s">
        <v>647</v>
      </c>
      <c r="F805" t="s">
        <v>5316</v>
      </c>
      <c r="G805" t="s">
        <v>5317</v>
      </c>
      <c r="H805" t="s">
        <v>3713</v>
      </c>
      <c r="I805" t="s">
        <v>3721</v>
      </c>
    </row>
    <row r="806" spans="1:9" x14ac:dyDescent="0.25">
      <c r="A806" t="s">
        <v>3294</v>
      </c>
      <c r="B806" t="s">
        <v>650</v>
      </c>
      <c r="C806" t="s">
        <v>3696</v>
      </c>
      <c r="D806" t="s">
        <v>607</v>
      </c>
      <c r="E806" t="s">
        <v>651</v>
      </c>
      <c r="F806" t="s">
        <v>5318</v>
      </c>
      <c r="G806" t="s">
        <v>5319</v>
      </c>
      <c r="H806" t="s">
        <v>3699</v>
      </c>
      <c r="I806" t="s">
        <v>3700</v>
      </c>
    </row>
    <row r="807" spans="1:9" x14ac:dyDescent="0.25">
      <c r="A807" t="s">
        <v>3300</v>
      </c>
      <c r="B807" t="s">
        <v>650</v>
      </c>
      <c r="C807" t="s">
        <v>3701</v>
      </c>
      <c r="D807" t="s">
        <v>607</v>
      </c>
      <c r="E807" t="s">
        <v>651</v>
      </c>
      <c r="F807" t="s">
        <v>5320</v>
      </c>
      <c r="G807" t="s">
        <v>5321</v>
      </c>
      <c r="H807" t="s">
        <v>3704</v>
      </c>
      <c r="I807" t="s">
        <v>3705</v>
      </c>
    </row>
    <row r="808" spans="1:9" x14ac:dyDescent="0.25">
      <c r="A808" t="s">
        <v>3303</v>
      </c>
      <c r="B808" t="s">
        <v>650</v>
      </c>
      <c r="C808" t="s">
        <v>3706</v>
      </c>
      <c r="D808" t="s">
        <v>607</v>
      </c>
      <c r="E808" t="s">
        <v>651</v>
      </c>
      <c r="F808" t="s">
        <v>5322</v>
      </c>
      <c r="G808" t="s">
        <v>5323</v>
      </c>
      <c r="H808" t="s">
        <v>3704</v>
      </c>
      <c r="I808" t="s">
        <v>3709</v>
      </c>
    </row>
    <row r="809" spans="1:9" x14ac:dyDescent="0.25">
      <c r="A809" t="s">
        <v>3306</v>
      </c>
      <c r="B809" t="s">
        <v>650</v>
      </c>
      <c r="C809" t="s">
        <v>3710</v>
      </c>
      <c r="D809" t="s">
        <v>607</v>
      </c>
      <c r="E809" t="s">
        <v>651</v>
      </c>
      <c r="F809" t="s">
        <v>5324</v>
      </c>
      <c r="G809" t="s">
        <v>5325</v>
      </c>
      <c r="H809" t="s">
        <v>3713</v>
      </c>
      <c r="I809" t="s">
        <v>3714</v>
      </c>
    </row>
    <row r="810" spans="1:9" x14ac:dyDescent="0.25">
      <c r="A810" t="s">
        <v>3308</v>
      </c>
      <c r="B810" t="s">
        <v>650</v>
      </c>
      <c r="C810" t="s">
        <v>3715</v>
      </c>
      <c r="D810" t="s">
        <v>607</v>
      </c>
      <c r="E810" t="s">
        <v>651</v>
      </c>
      <c r="F810" t="s">
        <v>5326</v>
      </c>
      <c r="G810" t="s">
        <v>5327</v>
      </c>
      <c r="H810" t="s">
        <v>3704</v>
      </c>
      <c r="I810" t="s">
        <v>3700</v>
      </c>
    </row>
    <row r="811" spans="1:9" x14ac:dyDescent="0.25">
      <c r="A811" t="s">
        <v>3310</v>
      </c>
      <c r="B811" t="s">
        <v>650</v>
      </c>
      <c r="C811" t="s">
        <v>3718</v>
      </c>
      <c r="D811" t="s">
        <v>607</v>
      </c>
      <c r="E811" t="s">
        <v>651</v>
      </c>
      <c r="F811" t="s">
        <v>5328</v>
      </c>
      <c r="G811" t="s">
        <v>5329</v>
      </c>
      <c r="H811" t="s">
        <v>3713</v>
      </c>
      <c r="I811" t="s">
        <v>3721</v>
      </c>
    </row>
    <row r="812" spans="1:9" x14ac:dyDescent="0.25">
      <c r="A812" t="s">
        <v>3313</v>
      </c>
      <c r="B812" t="s">
        <v>654</v>
      </c>
      <c r="C812" t="s">
        <v>3696</v>
      </c>
      <c r="D812" t="s">
        <v>607</v>
      </c>
      <c r="E812" t="s">
        <v>655</v>
      </c>
      <c r="F812" t="s">
        <v>5330</v>
      </c>
      <c r="G812" t="s">
        <v>5331</v>
      </c>
      <c r="H812" t="s">
        <v>3699</v>
      </c>
      <c r="I812" t="s">
        <v>3700</v>
      </c>
    </row>
    <row r="813" spans="1:9" x14ac:dyDescent="0.25">
      <c r="A813" t="s">
        <v>3319</v>
      </c>
      <c r="B813" t="s">
        <v>654</v>
      </c>
      <c r="C813" t="s">
        <v>3701</v>
      </c>
      <c r="D813" t="s">
        <v>607</v>
      </c>
      <c r="E813" t="s">
        <v>655</v>
      </c>
      <c r="F813" t="s">
        <v>5332</v>
      </c>
      <c r="G813" t="s">
        <v>5333</v>
      </c>
      <c r="H813" t="s">
        <v>3704</v>
      </c>
      <c r="I813" t="s">
        <v>3705</v>
      </c>
    </row>
    <row r="814" spans="1:9" x14ac:dyDescent="0.25">
      <c r="A814" t="s">
        <v>3322</v>
      </c>
      <c r="B814" t="s">
        <v>654</v>
      </c>
      <c r="C814" t="s">
        <v>3706</v>
      </c>
      <c r="D814" t="s">
        <v>607</v>
      </c>
      <c r="E814" t="s">
        <v>655</v>
      </c>
      <c r="F814" t="s">
        <v>5334</v>
      </c>
      <c r="G814" t="s">
        <v>5335</v>
      </c>
      <c r="H814" t="s">
        <v>3704</v>
      </c>
      <c r="I814" t="s">
        <v>3709</v>
      </c>
    </row>
    <row r="815" spans="1:9" x14ac:dyDescent="0.25">
      <c r="A815" t="s">
        <v>3325</v>
      </c>
      <c r="B815" t="s">
        <v>654</v>
      </c>
      <c r="C815" t="s">
        <v>3710</v>
      </c>
      <c r="D815" t="s">
        <v>607</v>
      </c>
      <c r="E815" t="s">
        <v>655</v>
      </c>
      <c r="F815" t="s">
        <v>5336</v>
      </c>
      <c r="G815" t="s">
        <v>5337</v>
      </c>
      <c r="H815" t="s">
        <v>3713</v>
      </c>
      <c r="I815" t="s">
        <v>3714</v>
      </c>
    </row>
    <row r="816" spans="1:9" x14ac:dyDescent="0.25">
      <c r="A816" t="s">
        <v>3327</v>
      </c>
      <c r="B816" t="s">
        <v>654</v>
      </c>
      <c r="C816" t="s">
        <v>3715</v>
      </c>
      <c r="D816" t="s">
        <v>607</v>
      </c>
      <c r="E816" t="s">
        <v>655</v>
      </c>
      <c r="F816" t="s">
        <v>5338</v>
      </c>
      <c r="G816" t="s">
        <v>5339</v>
      </c>
      <c r="H816" t="s">
        <v>3704</v>
      </c>
      <c r="I816" t="s">
        <v>3700</v>
      </c>
    </row>
    <row r="817" spans="1:9" x14ac:dyDescent="0.25">
      <c r="A817" t="s">
        <v>3329</v>
      </c>
      <c r="B817" t="s">
        <v>654</v>
      </c>
      <c r="C817" t="s">
        <v>3718</v>
      </c>
      <c r="D817" t="s">
        <v>607</v>
      </c>
      <c r="E817" t="s">
        <v>655</v>
      </c>
      <c r="F817" t="s">
        <v>5340</v>
      </c>
      <c r="G817" t="s">
        <v>5341</v>
      </c>
      <c r="H817" t="s">
        <v>3713</v>
      </c>
      <c r="I817" t="s">
        <v>3721</v>
      </c>
    </row>
    <row r="818" spans="1:9" x14ac:dyDescent="0.25">
      <c r="A818" t="s">
        <v>3332</v>
      </c>
      <c r="B818" t="s">
        <v>658</v>
      </c>
      <c r="C818" t="s">
        <v>3696</v>
      </c>
      <c r="D818" t="s">
        <v>607</v>
      </c>
      <c r="E818" t="s">
        <v>660</v>
      </c>
      <c r="F818" t="s">
        <v>5342</v>
      </c>
      <c r="G818" t="s">
        <v>5343</v>
      </c>
      <c r="H818" t="s">
        <v>3699</v>
      </c>
      <c r="I818" t="s">
        <v>3700</v>
      </c>
    </row>
    <row r="819" spans="1:9" x14ac:dyDescent="0.25">
      <c r="A819" t="s">
        <v>3338</v>
      </c>
      <c r="B819" t="s">
        <v>658</v>
      </c>
      <c r="C819" t="s">
        <v>3701</v>
      </c>
      <c r="D819" t="s">
        <v>607</v>
      </c>
      <c r="E819" t="s">
        <v>660</v>
      </c>
      <c r="F819" t="s">
        <v>5344</v>
      </c>
      <c r="G819" t="s">
        <v>5345</v>
      </c>
      <c r="H819" t="s">
        <v>3704</v>
      </c>
      <c r="I819" t="s">
        <v>3705</v>
      </c>
    </row>
    <row r="820" spans="1:9" x14ac:dyDescent="0.25">
      <c r="A820" t="s">
        <v>3341</v>
      </c>
      <c r="B820" t="s">
        <v>658</v>
      </c>
      <c r="C820" t="s">
        <v>3706</v>
      </c>
      <c r="D820" t="s">
        <v>607</v>
      </c>
      <c r="E820" t="s">
        <v>660</v>
      </c>
      <c r="F820" t="s">
        <v>5346</v>
      </c>
      <c r="G820" t="s">
        <v>5347</v>
      </c>
      <c r="H820" t="s">
        <v>3704</v>
      </c>
      <c r="I820" t="s">
        <v>3709</v>
      </c>
    </row>
    <row r="821" spans="1:9" x14ac:dyDescent="0.25">
      <c r="A821" t="s">
        <v>3344</v>
      </c>
      <c r="B821" t="s">
        <v>658</v>
      </c>
      <c r="C821" t="s">
        <v>3710</v>
      </c>
      <c r="D821" t="s">
        <v>607</v>
      </c>
      <c r="E821" t="s">
        <v>660</v>
      </c>
      <c r="F821" t="s">
        <v>5348</v>
      </c>
      <c r="G821" t="s">
        <v>5349</v>
      </c>
      <c r="H821" t="s">
        <v>3713</v>
      </c>
      <c r="I821" t="s">
        <v>3714</v>
      </c>
    </row>
    <row r="822" spans="1:9" x14ac:dyDescent="0.25">
      <c r="A822" t="s">
        <v>3346</v>
      </c>
      <c r="B822" t="s">
        <v>658</v>
      </c>
      <c r="C822" t="s">
        <v>3715</v>
      </c>
      <c r="D822" t="s">
        <v>607</v>
      </c>
      <c r="E822" t="s">
        <v>660</v>
      </c>
      <c r="F822" t="s">
        <v>5350</v>
      </c>
      <c r="G822" t="s">
        <v>5351</v>
      </c>
      <c r="H822" t="s">
        <v>3704</v>
      </c>
      <c r="I822" t="s">
        <v>3700</v>
      </c>
    </row>
    <row r="823" spans="1:9" x14ac:dyDescent="0.25">
      <c r="A823" t="s">
        <v>3348</v>
      </c>
      <c r="B823" t="s">
        <v>658</v>
      </c>
      <c r="C823" t="s">
        <v>3718</v>
      </c>
      <c r="D823" t="s">
        <v>607</v>
      </c>
      <c r="E823" t="s">
        <v>660</v>
      </c>
      <c r="F823" t="s">
        <v>5352</v>
      </c>
      <c r="G823" t="s">
        <v>5353</v>
      </c>
      <c r="H823" t="s">
        <v>3713</v>
      </c>
      <c r="I823" t="s">
        <v>3721</v>
      </c>
    </row>
    <row r="824" spans="1:9" x14ac:dyDescent="0.25">
      <c r="A824" t="s">
        <v>3351</v>
      </c>
      <c r="B824" t="s">
        <v>663</v>
      </c>
      <c r="C824" t="s">
        <v>3696</v>
      </c>
      <c r="D824" t="s">
        <v>607</v>
      </c>
      <c r="E824" t="s">
        <v>664</v>
      </c>
      <c r="F824" t="s">
        <v>5354</v>
      </c>
      <c r="G824" t="s">
        <v>5355</v>
      </c>
      <c r="H824" t="s">
        <v>3699</v>
      </c>
      <c r="I824" t="s">
        <v>3700</v>
      </c>
    </row>
    <row r="825" spans="1:9" x14ac:dyDescent="0.25">
      <c r="A825" t="s">
        <v>3357</v>
      </c>
      <c r="B825" t="s">
        <v>663</v>
      </c>
      <c r="C825" t="s">
        <v>3701</v>
      </c>
      <c r="D825" t="s">
        <v>607</v>
      </c>
      <c r="E825" t="s">
        <v>664</v>
      </c>
      <c r="F825" t="s">
        <v>5356</v>
      </c>
      <c r="G825" t="s">
        <v>5357</v>
      </c>
      <c r="H825" t="s">
        <v>3704</v>
      </c>
      <c r="I825" t="s">
        <v>3705</v>
      </c>
    </row>
    <row r="826" spans="1:9" x14ac:dyDescent="0.25">
      <c r="A826" t="s">
        <v>3360</v>
      </c>
      <c r="B826" t="s">
        <v>663</v>
      </c>
      <c r="C826" t="s">
        <v>3706</v>
      </c>
      <c r="D826" t="s">
        <v>607</v>
      </c>
      <c r="E826" t="s">
        <v>664</v>
      </c>
      <c r="F826" t="s">
        <v>5358</v>
      </c>
      <c r="G826" t="s">
        <v>5359</v>
      </c>
      <c r="H826" t="s">
        <v>3704</v>
      </c>
      <c r="I826" t="s">
        <v>3709</v>
      </c>
    </row>
    <row r="827" spans="1:9" x14ac:dyDescent="0.25">
      <c r="A827" t="s">
        <v>3363</v>
      </c>
      <c r="B827" t="s">
        <v>663</v>
      </c>
      <c r="C827" t="s">
        <v>3710</v>
      </c>
      <c r="D827" t="s">
        <v>607</v>
      </c>
      <c r="E827" t="s">
        <v>664</v>
      </c>
      <c r="F827" t="s">
        <v>5360</v>
      </c>
      <c r="G827" t="s">
        <v>5361</v>
      </c>
      <c r="H827" t="s">
        <v>3713</v>
      </c>
      <c r="I827" t="s">
        <v>3714</v>
      </c>
    </row>
    <row r="828" spans="1:9" x14ac:dyDescent="0.25">
      <c r="A828" t="s">
        <v>3365</v>
      </c>
      <c r="B828" t="s">
        <v>663</v>
      </c>
      <c r="C828" t="s">
        <v>3715</v>
      </c>
      <c r="D828" t="s">
        <v>607</v>
      </c>
      <c r="E828" t="s">
        <v>664</v>
      </c>
      <c r="F828" t="s">
        <v>5362</v>
      </c>
      <c r="G828" t="s">
        <v>5363</v>
      </c>
      <c r="H828" t="s">
        <v>3704</v>
      </c>
      <c r="I828" t="s">
        <v>3700</v>
      </c>
    </row>
    <row r="829" spans="1:9" x14ac:dyDescent="0.25">
      <c r="A829" t="s">
        <v>3367</v>
      </c>
      <c r="B829" t="s">
        <v>663</v>
      </c>
      <c r="C829" t="s">
        <v>3718</v>
      </c>
      <c r="D829" t="s">
        <v>607</v>
      </c>
      <c r="E829" t="s">
        <v>664</v>
      </c>
      <c r="F829" t="s">
        <v>5364</v>
      </c>
      <c r="G829" t="s">
        <v>5365</v>
      </c>
      <c r="H829" t="s">
        <v>3713</v>
      </c>
      <c r="I829" t="s">
        <v>3721</v>
      </c>
    </row>
    <row r="830" spans="1:9" x14ac:dyDescent="0.25">
      <c r="A830" t="s">
        <v>3370</v>
      </c>
      <c r="B830" t="s">
        <v>667</v>
      </c>
      <c r="C830" t="s">
        <v>3696</v>
      </c>
      <c r="D830" t="s">
        <v>607</v>
      </c>
      <c r="E830" t="s">
        <v>668</v>
      </c>
      <c r="F830" t="s">
        <v>5366</v>
      </c>
      <c r="G830" t="s">
        <v>5367</v>
      </c>
      <c r="H830" t="s">
        <v>3699</v>
      </c>
      <c r="I830" t="s">
        <v>3700</v>
      </c>
    </row>
    <row r="831" spans="1:9" x14ac:dyDescent="0.25">
      <c r="A831" t="s">
        <v>3376</v>
      </c>
      <c r="B831" t="s">
        <v>667</v>
      </c>
      <c r="C831" t="s">
        <v>3701</v>
      </c>
      <c r="D831" t="s">
        <v>607</v>
      </c>
      <c r="E831" t="s">
        <v>668</v>
      </c>
      <c r="F831" t="s">
        <v>5368</v>
      </c>
      <c r="G831" t="s">
        <v>5369</v>
      </c>
      <c r="H831" t="s">
        <v>3704</v>
      </c>
      <c r="I831" t="s">
        <v>3705</v>
      </c>
    </row>
    <row r="832" spans="1:9" x14ac:dyDescent="0.25">
      <c r="A832" t="s">
        <v>3379</v>
      </c>
      <c r="B832" t="s">
        <v>667</v>
      </c>
      <c r="C832" t="s">
        <v>3706</v>
      </c>
      <c r="D832" t="s">
        <v>607</v>
      </c>
      <c r="E832" t="s">
        <v>668</v>
      </c>
      <c r="F832" t="s">
        <v>5370</v>
      </c>
      <c r="G832" t="s">
        <v>5371</v>
      </c>
      <c r="H832" t="s">
        <v>3704</v>
      </c>
      <c r="I832" t="s">
        <v>3709</v>
      </c>
    </row>
    <row r="833" spans="1:9" x14ac:dyDescent="0.25">
      <c r="A833" t="s">
        <v>3382</v>
      </c>
      <c r="B833" t="s">
        <v>667</v>
      </c>
      <c r="C833" t="s">
        <v>3710</v>
      </c>
      <c r="D833" t="s">
        <v>607</v>
      </c>
      <c r="E833" t="s">
        <v>668</v>
      </c>
      <c r="F833" t="s">
        <v>5372</v>
      </c>
      <c r="G833" t="s">
        <v>5373</v>
      </c>
      <c r="H833" t="s">
        <v>3713</v>
      </c>
      <c r="I833" t="s">
        <v>3714</v>
      </c>
    </row>
    <row r="834" spans="1:9" x14ac:dyDescent="0.25">
      <c r="A834" t="s">
        <v>3384</v>
      </c>
      <c r="B834" t="s">
        <v>667</v>
      </c>
      <c r="C834" t="s">
        <v>3715</v>
      </c>
      <c r="D834" t="s">
        <v>607</v>
      </c>
      <c r="E834" t="s">
        <v>668</v>
      </c>
      <c r="F834" t="s">
        <v>5374</v>
      </c>
      <c r="G834" t="s">
        <v>5375</v>
      </c>
      <c r="H834" t="s">
        <v>3704</v>
      </c>
      <c r="I834" t="s">
        <v>3700</v>
      </c>
    </row>
    <row r="835" spans="1:9" x14ac:dyDescent="0.25">
      <c r="A835" t="s">
        <v>3386</v>
      </c>
      <c r="B835" t="s">
        <v>667</v>
      </c>
      <c r="C835" t="s">
        <v>3718</v>
      </c>
      <c r="D835" t="s">
        <v>607</v>
      </c>
      <c r="E835" t="s">
        <v>668</v>
      </c>
      <c r="F835" t="s">
        <v>5376</v>
      </c>
      <c r="G835" t="s">
        <v>5377</v>
      </c>
      <c r="H835" t="s">
        <v>3713</v>
      </c>
      <c r="I835" t="s">
        <v>3721</v>
      </c>
    </row>
    <row r="836" spans="1:9" x14ac:dyDescent="0.25">
      <c r="A836" t="s">
        <v>3389</v>
      </c>
      <c r="B836" t="s">
        <v>671</v>
      </c>
      <c r="C836" t="s">
        <v>3696</v>
      </c>
      <c r="D836" t="s">
        <v>607</v>
      </c>
      <c r="E836" t="s">
        <v>672</v>
      </c>
      <c r="F836" t="s">
        <v>5378</v>
      </c>
      <c r="G836" t="s">
        <v>5379</v>
      </c>
      <c r="H836" t="s">
        <v>3699</v>
      </c>
      <c r="I836" t="s">
        <v>3700</v>
      </c>
    </row>
    <row r="837" spans="1:9" x14ac:dyDescent="0.25">
      <c r="A837" t="s">
        <v>3395</v>
      </c>
      <c r="B837" t="s">
        <v>671</v>
      </c>
      <c r="C837" t="s">
        <v>3701</v>
      </c>
      <c r="D837" t="s">
        <v>607</v>
      </c>
      <c r="E837" t="s">
        <v>672</v>
      </c>
      <c r="F837" t="s">
        <v>5380</v>
      </c>
      <c r="G837" t="s">
        <v>5381</v>
      </c>
      <c r="H837" t="s">
        <v>3704</v>
      </c>
      <c r="I837" t="s">
        <v>3705</v>
      </c>
    </row>
    <row r="838" spans="1:9" x14ac:dyDescent="0.25">
      <c r="A838" t="s">
        <v>3398</v>
      </c>
      <c r="B838" t="s">
        <v>671</v>
      </c>
      <c r="C838" t="s">
        <v>3706</v>
      </c>
      <c r="D838" t="s">
        <v>607</v>
      </c>
      <c r="E838" t="s">
        <v>672</v>
      </c>
      <c r="F838" t="s">
        <v>5382</v>
      </c>
      <c r="G838" t="s">
        <v>5383</v>
      </c>
      <c r="H838" t="s">
        <v>3704</v>
      </c>
      <c r="I838" t="s">
        <v>3709</v>
      </c>
    </row>
    <row r="839" spans="1:9" x14ac:dyDescent="0.25">
      <c r="A839" t="s">
        <v>3401</v>
      </c>
      <c r="B839" t="s">
        <v>671</v>
      </c>
      <c r="C839" t="s">
        <v>3710</v>
      </c>
      <c r="D839" t="s">
        <v>607</v>
      </c>
      <c r="E839" t="s">
        <v>672</v>
      </c>
      <c r="F839" t="s">
        <v>5384</v>
      </c>
      <c r="G839" t="s">
        <v>5385</v>
      </c>
      <c r="H839" t="s">
        <v>3713</v>
      </c>
      <c r="I839" t="s">
        <v>3714</v>
      </c>
    </row>
    <row r="840" spans="1:9" x14ac:dyDescent="0.25">
      <c r="A840" t="s">
        <v>3403</v>
      </c>
      <c r="B840" t="s">
        <v>671</v>
      </c>
      <c r="C840" t="s">
        <v>3715</v>
      </c>
      <c r="D840" t="s">
        <v>607</v>
      </c>
      <c r="E840" t="s">
        <v>672</v>
      </c>
      <c r="F840" t="s">
        <v>5386</v>
      </c>
      <c r="G840" t="s">
        <v>5387</v>
      </c>
      <c r="H840" t="s">
        <v>3704</v>
      </c>
      <c r="I840" t="s">
        <v>3700</v>
      </c>
    </row>
    <row r="841" spans="1:9" x14ac:dyDescent="0.25">
      <c r="A841" t="s">
        <v>3405</v>
      </c>
      <c r="B841" t="s">
        <v>671</v>
      </c>
      <c r="C841" t="s">
        <v>3718</v>
      </c>
      <c r="D841" t="s">
        <v>607</v>
      </c>
      <c r="E841" t="s">
        <v>672</v>
      </c>
      <c r="F841" t="s">
        <v>5388</v>
      </c>
      <c r="G841" t="s">
        <v>5389</v>
      </c>
      <c r="H841" t="s">
        <v>3713</v>
      </c>
      <c r="I841" t="s">
        <v>3721</v>
      </c>
    </row>
    <row r="842" spans="1:9" x14ac:dyDescent="0.25">
      <c r="A842" t="s">
        <v>3409</v>
      </c>
      <c r="B842" t="s">
        <v>675</v>
      </c>
      <c r="C842" t="s">
        <v>3696</v>
      </c>
      <c r="D842" t="s">
        <v>676</v>
      </c>
      <c r="E842" t="s">
        <v>678</v>
      </c>
      <c r="F842" t="s">
        <v>5390</v>
      </c>
      <c r="G842" t="s">
        <v>5391</v>
      </c>
      <c r="H842" t="s">
        <v>3699</v>
      </c>
      <c r="I842" t="s">
        <v>3700</v>
      </c>
    </row>
    <row r="843" spans="1:9" x14ac:dyDescent="0.25">
      <c r="A843" t="s">
        <v>3414</v>
      </c>
      <c r="B843" t="s">
        <v>675</v>
      </c>
      <c r="C843" t="s">
        <v>3701</v>
      </c>
      <c r="D843" t="s">
        <v>676</v>
      </c>
      <c r="E843" t="s">
        <v>678</v>
      </c>
      <c r="F843" t="s">
        <v>5392</v>
      </c>
      <c r="G843" t="s">
        <v>5393</v>
      </c>
      <c r="H843" t="s">
        <v>3704</v>
      </c>
      <c r="I843" t="s">
        <v>3705</v>
      </c>
    </row>
    <row r="844" spans="1:9" x14ac:dyDescent="0.25">
      <c r="A844" t="s">
        <v>3417</v>
      </c>
      <c r="B844" t="s">
        <v>675</v>
      </c>
      <c r="C844" t="s">
        <v>3706</v>
      </c>
      <c r="D844" t="s">
        <v>676</v>
      </c>
      <c r="E844" t="s">
        <v>678</v>
      </c>
      <c r="F844" t="s">
        <v>5394</v>
      </c>
      <c r="G844" t="s">
        <v>5395</v>
      </c>
      <c r="H844" t="s">
        <v>3704</v>
      </c>
      <c r="I844" t="s">
        <v>3709</v>
      </c>
    </row>
    <row r="845" spans="1:9" x14ac:dyDescent="0.25">
      <c r="A845" t="s">
        <v>3420</v>
      </c>
      <c r="B845" t="s">
        <v>675</v>
      </c>
      <c r="C845" t="s">
        <v>3710</v>
      </c>
      <c r="D845" t="s">
        <v>676</v>
      </c>
      <c r="E845" t="s">
        <v>678</v>
      </c>
      <c r="F845" t="s">
        <v>5396</v>
      </c>
      <c r="G845" t="s">
        <v>5397</v>
      </c>
      <c r="H845" t="s">
        <v>3713</v>
      </c>
      <c r="I845" t="s">
        <v>3714</v>
      </c>
    </row>
    <row r="846" spans="1:9" x14ac:dyDescent="0.25">
      <c r="A846" t="s">
        <v>3422</v>
      </c>
      <c r="B846" t="s">
        <v>675</v>
      </c>
      <c r="C846" t="s">
        <v>3715</v>
      </c>
      <c r="D846" t="s">
        <v>676</v>
      </c>
      <c r="E846" t="s">
        <v>678</v>
      </c>
      <c r="F846" t="s">
        <v>5398</v>
      </c>
      <c r="G846" t="s">
        <v>5399</v>
      </c>
      <c r="H846" t="s">
        <v>3704</v>
      </c>
      <c r="I846" t="s">
        <v>3700</v>
      </c>
    </row>
    <row r="847" spans="1:9" x14ac:dyDescent="0.25">
      <c r="A847" t="s">
        <v>3424</v>
      </c>
      <c r="B847" t="s">
        <v>675</v>
      </c>
      <c r="C847" t="s">
        <v>3718</v>
      </c>
      <c r="D847" t="s">
        <v>676</v>
      </c>
      <c r="E847" t="s">
        <v>678</v>
      </c>
      <c r="F847" t="s">
        <v>5400</v>
      </c>
      <c r="G847" t="s">
        <v>5401</v>
      </c>
      <c r="H847" t="s">
        <v>3713</v>
      </c>
      <c r="I847" t="s">
        <v>3721</v>
      </c>
    </row>
    <row r="848" spans="1:9" x14ac:dyDescent="0.25">
      <c r="A848" t="s">
        <v>3427</v>
      </c>
      <c r="B848" t="s">
        <v>681</v>
      </c>
      <c r="C848" t="s">
        <v>3696</v>
      </c>
      <c r="D848" t="s">
        <v>676</v>
      </c>
      <c r="E848" t="s">
        <v>682</v>
      </c>
      <c r="F848" t="s">
        <v>5402</v>
      </c>
      <c r="G848" t="s">
        <v>5403</v>
      </c>
      <c r="H848" t="s">
        <v>3699</v>
      </c>
      <c r="I848" t="s">
        <v>3700</v>
      </c>
    </row>
    <row r="849" spans="1:9" x14ac:dyDescent="0.25">
      <c r="A849" t="s">
        <v>3433</v>
      </c>
      <c r="B849" t="s">
        <v>681</v>
      </c>
      <c r="C849" t="s">
        <v>3701</v>
      </c>
      <c r="D849" t="s">
        <v>676</v>
      </c>
      <c r="E849" t="s">
        <v>682</v>
      </c>
      <c r="F849" t="s">
        <v>5404</v>
      </c>
      <c r="G849" t="s">
        <v>5405</v>
      </c>
      <c r="H849" t="s">
        <v>3704</v>
      </c>
      <c r="I849" t="s">
        <v>3705</v>
      </c>
    </row>
    <row r="850" spans="1:9" x14ac:dyDescent="0.25">
      <c r="A850" t="s">
        <v>3436</v>
      </c>
      <c r="B850" t="s">
        <v>681</v>
      </c>
      <c r="C850" t="s">
        <v>3706</v>
      </c>
      <c r="D850" t="s">
        <v>676</v>
      </c>
      <c r="E850" t="s">
        <v>682</v>
      </c>
      <c r="F850" t="s">
        <v>5406</v>
      </c>
      <c r="G850" t="s">
        <v>5407</v>
      </c>
      <c r="H850" t="s">
        <v>3704</v>
      </c>
      <c r="I850" t="s">
        <v>3709</v>
      </c>
    </row>
    <row r="851" spans="1:9" x14ac:dyDescent="0.25">
      <c r="A851" t="s">
        <v>3439</v>
      </c>
      <c r="B851" t="s">
        <v>681</v>
      </c>
      <c r="C851" t="s">
        <v>3710</v>
      </c>
      <c r="D851" t="s">
        <v>676</v>
      </c>
      <c r="E851" t="s">
        <v>682</v>
      </c>
      <c r="F851" t="s">
        <v>5408</v>
      </c>
      <c r="G851" t="s">
        <v>5409</v>
      </c>
      <c r="H851" t="s">
        <v>3713</v>
      </c>
      <c r="I851" t="s">
        <v>3714</v>
      </c>
    </row>
    <row r="852" spans="1:9" x14ac:dyDescent="0.25">
      <c r="A852" t="s">
        <v>3441</v>
      </c>
      <c r="B852" t="s">
        <v>681</v>
      </c>
      <c r="C852" t="s">
        <v>3715</v>
      </c>
      <c r="D852" t="s">
        <v>676</v>
      </c>
      <c r="E852" t="s">
        <v>682</v>
      </c>
      <c r="F852" t="s">
        <v>5410</v>
      </c>
      <c r="G852" t="s">
        <v>5411</v>
      </c>
      <c r="H852" t="s">
        <v>3704</v>
      </c>
      <c r="I852" t="s">
        <v>3700</v>
      </c>
    </row>
    <row r="853" spans="1:9" x14ac:dyDescent="0.25">
      <c r="A853" t="s">
        <v>3443</v>
      </c>
      <c r="B853" t="s">
        <v>681</v>
      </c>
      <c r="C853" t="s">
        <v>3718</v>
      </c>
      <c r="D853" t="s">
        <v>676</v>
      </c>
      <c r="E853" t="s">
        <v>682</v>
      </c>
      <c r="F853" t="s">
        <v>5412</v>
      </c>
      <c r="G853" t="s">
        <v>5413</v>
      </c>
      <c r="H853" t="s">
        <v>3713</v>
      </c>
      <c r="I853" t="s">
        <v>3721</v>
      </c>
    </row>
    <row r="854" spans="1:9" x14ac:dyDescent="0.25">
      <c r="A854" t="s">
        <v>3446</v>
      </c>
      <c r="B854" t="s">
        <v>685</v>
      </c>
      <c r="C854" t="s">
        <v>3696</v>
      </c>
      <c r="D854" t="s">
        <v>676</v>
      </c>
      <c r="E854" t="s">
        <v>686</v>
      </c>
      <c r="F854" t="s">
        <v>5414</v>
      </c>
      <c r="G854" t="s">
        <v>5415</v>
      </c>
      <c r="H854" t="s">
        <v>3699</v>
      </c>
      <c r="I854" t="s">
        <v>3700</v>
      </c>
    </row>
    <row r="855" spans="1:9" x14ac:dyDescent="0.25">
      <c r="A855" t="s">
        <v>3452</v>
      </c>
      <c r="B855" t="s">
        <v>685</v>
      </c>
      <c r="C855" t="s">
        <v>3701</v>
      </c>
      <c r="D855" t="s">
        <v>676</v>
      </c>
      <c r="E855" t="s">
        <v>686</v>
      </c>
      <c r="F855" t="s">
        <v>5416</v>
      </c>
      <c r="G855" t="s">
        <v>5417</v>
      </c>
      <c r="H855" t="s">
        <v>3704</v>
      </c>
      <c r="I855" t="s">
        <v>3705</v>
      </c>
    </row>
    <row r="856" spans="1:9" x14ac:dyDescent="0.25">
      <c r="A856" t="s">
        <v>3455</v>
      </c>
      <c r="B856" t="s">
        <v>685</v>
      </c>
      <c r="C856" t="s">
        <v>3706</v>
      </c>
      <c r="D856" t="s">
        <v>676</v>
      </c>
      <c r="E856" t="s">
        <v>686</v>
      </c>
      <c r="F856" t="s">
        <v>5418</v>
      </c>
      <c r="G856" t="s">
        <v>5419</v>
      </c>
      <c r="H856" t="s">
        <v>3704</v>
      </c>
      <c r="I856" t="s">
        <v>3709</v>
      </c>
    </row>
    <row r="857" spans="1:9" x14ac:dyDescent="0.25">
      <c r="A857" t="s">
        <v>3458</v>
      </c>
      <c r="B857" t="s">
        <v>685</v>
      </c>
      <c r="C857" t="s">
        <v>3710</v>
      </c>
      <c r="D857" t="s">
        <v>676</v>
      </c>
      <c r="E857" t="s">
        <v>686</v>
      </c>
      <c r="F857" t="s">
        <v>5420</v>
      </c>
      <c r="G857" t="s">
        <v>5421</v>
      </c>
      <c r="H857" t="s">
        <v>3713</v>
      </c>
      <c r="I857" t="s">
        <v>3714</v>
      </c>
    </row>
    <row r="858" spans="1:9" x14ac:dyDescent="0.25">
      <c r="A858" t="s">
        <v>3460</v>
      </c>
      <c r="B858" t="s">
        <v>685</v>
      </c>
      <c r="C858" t="s">
        <v>3715</v>
      </c>
      <c r="D858" t="s">
        <v>676</v>
      </c>
      <c r="E858" t="s">
        <v>686</v>
      </c>
      <c r="F858" t="s">
        <v>5422</v>
      </c>
      <c r="G858" t="s">
        <v>5423</v>
      </c>
      <c r="H858" t="s">
        <v>3704</v>
      </c>
      <c r="I858" t="s">
        <v>3700</v>
      </c>
    </row>
    <row r="859" spans="1:9" x14ac:dyDescent="0.25">
      <c r="A859" t="s">
        <v>3462</v>
      </c>
      <c r="B859" t="s">
        <v>685</v>
      </c>
      <c r="C859" t="s">
        <v>3718</v>
      </c>
      <c r="D859" t="s">
        <v>676</v>
      </c>
      <c r="E859" t="s">
        <v>686</v>
      </c>
      <c r="F859" t="s">
        <v>5424</v>
      </c>
      <c r="G859" t="s">
        <v>5425</v>
      </c>
      <c r="H859" t="s">
        <v>3713</v>
      </c>
      <c r="I859" t="s">
        <v>3721</v>
      </c>
    </row>
    <row r="860" spans="1:9" x14ac:dyDescent="0.25">
      <c r="A860" t="s">
        <v>3465</v>
      </c>
      <c r="B860" t="s">
        <v>689</v>
      </c>
      <c r="C860" t="s">
        <v>3696</v>
      </c>
      <c r="D860" t="s">
        <v>676</v>
      </c>
      <c r="E860" t="s">
        <v>690</v>
      </c>
      <c r="F860" t="s">
        <v>5426</v>
      </c>
      <c r="G860" t="s">
        <v>5427</v>
      </c>
      <c r="H860" t="s">
        <v>3699</v>
      </c>
      <c r="I860" t="s">
        <v>3700</v>
      </c>
    </row>
    <row r="861" spans="1:9" x14ac:dyDescent="0.25">
      <c r="A861" t="s">
        <v>3471</v>
      </c>
      <c r="B861" t="s">
        <v>689</v>
      </c>
      <c r="C861" t="s">
        <v>3701</v>
      </c>
      <c r="D861" t="s">
        <v>676</v>
      </c>
      <c r="E861" t="s">
        <v>690</v>
      </c>
      <c r="F861" t="s">
        <v>5428</v>
      </c>
      <c r="G861" t="s">
        <v>5429</v>
      </c>
      <c r="H861" t="s">
        <v>3704</v>
      </c>
      <c r="I861" t="s">
        <v>3705</v>
      </c>
    </row>
    <row r="862" spans="1:9" x14ac:dyDescent="0.25">
      <c r="A862" t="s">
        <v>3474</v>
      </c>
      <c r="B862" t="s">
        <v>689</v>
      </c>
      <c r="C862" t="s">
        <v>3706</v>
      </c>
      <c r="D862" t="s">
        <v>676</v>
      </c>
      <c r="E862" t="s">
        <v>690</v>
      </c>
      <c r="F862" t="s">
        <v>5430</v>
      </c>
      <c r="G862" t="s">
        <v>5431</v>
      </c>
      <c r="H862" t="s">
        <v>3704</v>
      </c>
      <c r="I862" t="s">
        <v>3709</v>
      </c>
    </row>
    <row r="863" spans="1:9" x14ac:dyDescent="0.25">
      <c r="A863" t="s">
        <v>3477</v>
      </c>
      <c r="B863" t="s">
        <v>689</v>
      </c>
      <c r="C863" t="s">
        <v>3710</v>
      </c>
      <c r="D863" t="s">
        <v>676</v>
      </c>
      <c r="E863" t="s">
        <v>690</v>
      </c>
      <c r="F863" t="s">
        <v>5432</v>
      </c>
      <c r="G863" t="s">
        <v>5433</v>
      </c>
      <c r="H863" t="s">
        <v>3713</v>
      </c>
      <c r="I863" t="s">
        <v>3714</v>
      </c>
    </row>
    <row r="864" spans="1:9" x14ac:dyDescent="0.25">
      <c r="A864" t="s">
        <v>3479</v>
      </c>
      <c r="B864" t="s">
        <v>689</v>
      </c>
      <c r="C864" t="s">
        <v>3715</v>
      </c>
      <c r="D864" t="s">
        <v>676</v>
      </c>
      <c r="E864" t="s">
        <v>690</v>
      </c>
      <c r="F864" t="s">
        <v>5434</v>
      </c>
      <c r="G864" t="s">
        <v>5435</v>
      </c>
      <c r="H864" t="s">
        <v>3704</v>
      </c>
      <c r="I864" t="s">
        <v>3700</v>
      </c>
    </row>
    <row r="865" spans="1:9" x14ac:dyDescent="0.25">
      <c r="A865" t="s">
        <v>3481</v>
      </c>
      <c r="B865" t="s">
        <v>689</v>
      </c>
      <c r="C865" t="s">
        <v>3718</v>
      </c>
      <c r="D865" t="s">
        <v>676</v>
      </c>
      <c r="E865" t="s">
        <v>690</v>
      </c>
      <c r="F865" t="s">
        <v>5436</v>
      </c>
      <c r="G865" t="s">
        <v>5437</v>
      </c>
      <c r="H865" t="s">
        <v>3713</v>
      </c>
      <c r="I865" t="s">
        <v>3721</v>
      </c>
    </row>
    <row r="866" spans="1:9" x14ac:dyDescent="0.25">
      <c r="A866" t="s">
        <v>3484</v>
      </c>
      <c r="B866" t="s">
        <v>693</v>
      </c>
      <c r="C866" t="s">
        <v>3696</v>
      </c>
      <c r="D866" t="s">
        <v>676</v>
      </c>
      <c r="E866" t="s">
        <v>695</v>
      </c>
      <c r="F866" t="s">
        <v>5438</v>
      </c>
      <c r="G866" t="s">
        <v>5439</v>
      </c>
      <c r="H866" t="s">
        <v>3699</v>
      </c>
      <c r="I866" t="s">
        <v>3700</v>
      </c>
    </row>
    <row r="867" spans="1:9" x14ac:dyDescent="0.25">
      <c r="A867" t="s">
        <v>3490</v>
      </c>
      <c r="B867" t="s">
        <v>693</v>
      </c>
      <c r="C867" t="s">
        <v>3701</v>
      </c>
      <c r="D867" t="s">
        <v>676</v>
      </c>
      <c r="E867" t="s">
        <v>695</v>
      </c>
      <c r="F867" t="s">
        <v>5440</v>
      </c>
      <c r="G867" t="s">
        <v>5441</v>
      </c>
      <c r="H867" t="s">
        <v>3704</v>
      </c>
      <c r="I867" t="s">
        <v>3705</v>
      </c>
    </row>
    <row r="868" spans="1:9" x14ac:dyDescent="0.25">
      <c r="A868" t="s">
        <v>3493</v>
      </c>
      <c r="B868" t="s">
        <v>693</v>
      </c>
      <c r="C868" t="s">
        <v>3706</v>
      </c>
      <c r="D868" t="s">
        <v>676</v>
      </c>
      <c r="E868" t="s">
        <v>695</v>
      </c>
      <c r="F868" t="s">
        <v>5442</v>
      </c>
      <c r="G868" t="s">
        <v>5443</v>
      </c>
      <c r="H868" t="s">
        <v>3704</v>
      </c>
      <c r="I868" t="s">
        <v>3709</v>
      </c>
    </row>
    <row r="869" spans="1:9" x14ac:dyDescent="0.25">
      <c r="A869" t="s">
        <v>3496</v>
      </c>
      <c r="B869" t="s">
        <v>693</v>
      </c>
      <c r="C869" t="s">
        <v>3710</v>
      </c>
      <c r="D869" t="s">
        <v>676</v>
      </c>
      <c r="E869" t="s">
        <v>695</v>
      </c>
      <c r="F869" t="s">
        <v>5444</v>
      </c>
      <c r="G869" t="s">
        <v>5445</v>
      </c>
      <c r="H869" t="s">
        <v>3713</v>
      </c>
      <c r="I869" t="s">
        <v>3714</v>
      </c>
    </row>
    <row r="870" spans="1:9" x14ac:dyDescent="0.25">
      <c r="A870" t="s">
        <v>3498</v>
      </c>
      <c r="B870" t="s">
        <v>693</v>
      </c>
      <c r="C870" t="s">
        <v>3715</v>
      </c>
      <c r="D870" t="s">
        <v>676</v>
      </c>
      <c r="E870" t="s">
        <v>695</v>
      </c>
      <c r="F870" t="s">
        <v>5446</v>
      </c>
      <c r="G870" t="s">
        <v>5447</v>
      </c>
      <c r="H870" t="s">
        <v>3704</v>
      </c>
      <c r="I870" t="s">
        <v>3700</v>
      </c>
    </row>
    <row r="871" spans="1:9" x14ac:dyDescent="0.25">
      <c r="A871" t="s">
        <v>3500</v>
      </c>
      <c r="B871" t="s">
        <v>693</v>
      </c>
      <c r="C871" t="s">
        <v>3718</v>
      </c>
      <c r="D871" t="s">
        <v>676</v>
      </c>
      <c r="E871" t="s">
        <v>695</v>
      </c>
      <c r="F871" t="s">
        <v>5448</v>
      </c>
      <c r="G871" t="s">
        <v>5449</v>
      </c>
      <c r="H871" t="s">
        <v>3713</v>
      </c>
      <c r="I871" t="s">
        <v>3721</v>
      </c>
    </row>
    <row r="872" spans="1:9" x14ac:dyDescent="0.25">
      <c r="A872" t="s">
        <v>3503</v>
      </c>
      <c r="B872" t="s">
        <v>698</v>
      </c>
      <c r="C872" t="s">
        <v>3696</v>
      </c>
      <c r="D872" t="s">
        <v>676</v>
      </c>
      <c r="E872" t="s">
        <v>699</v>
      </c>
      <c r="F872" t="s">
        <v>5450</v>
      </c>
      <c r="G872" t="s">
        <v>5451</v>
      </c>
      <c r="H872" t="s">
        <v>3699</v>
      </c>
      <c r="I872" t="s">
        <v>3700</v>
      </c>
    </row>
    <row r="873" spans="1:9" x14ac:dyDescent="0.25">
      <c r="A873" t="s">
        <v>3509</v>
      </c>
      <c r="B873" t="s">
        <v>698</v>
      </c>
      <c r="C873" t="s">
        <v>3701</v>
      </c>
      <c r="D873" t="s">
        <v>676</v>
      </c>
      <c r="E873" t="s">
        <v>699</v>
      </c>
      <c r="F873" t="s">
        <v>5452</v>
      </c>
      <c r="G873" t="s">
        <v>5453</v>
      </c>
      <c r="H873" t="s">
        <v>3704</v>
      </c>
      <c r="I873" t="s">
        <v>3705</v>
      </c>
    </row>
    <row r="874" spans="1:9" x14ac:dyDescent="0.25">
      <c r="A874" t="s">
        <v>3512</v>
      </c>
      <c r="B874" t="s">
        <v>698</v>
      </c>
      <c r="C874" t="s">
        <v>3706</v>
      </c>
      <c r="D874" t="s">
        <v>676</v>
      </c>
      <c r="E874" t="s">
        <v>699</v>
      </c>
      <c r="F874" t="s">
        <v>5454</v>
      </c>
      <c r="G874" t="s">
        <v>5455</v>
      </c>
      <c r="H874" t="s">
        <v>3704</v>
      </c>
      <c r="I874" t="s">
        <v>3709</v>
      </c>
    </row>
    <row r="875" spans="1:9" x14ac:dyDescent="0.25">
      <c r="A875" t="s">
        <v>3515</v>
      </c>
      <c r="B875" t="s">
        <v>698</v>
      </c>
      <c r="C875" t="s">
        <v>3710</v>
      </c>
      <c r="D875" t="s">
        <v>676</v>
      </c>
      <c r="E875" t="s">
        <v>699</v>
      </c>
      <c r="F875" t="s">
        <v>5456</v>
      </c>
      <c r="G875" t="s">
        <v>5457</v>
      </c>
      <c r="H875" t="s">
        <v>3713</v>
      </c>
      <c r="I875" t="s">
        <v>3714</v>
      </c>
    </row>
    <row r="876" spans="1:9" x14ac:dyDescent="0.25">
      <c r="A876" t="s">
        <v>3517</v>
      </c>
      <c r="B876" t="s">
        <v>698</v>
      </c>
      <c r="C876" t="s">
        <v>3715</v>
      </c>
      <c r="D876" t="s">
        <v>676</v>
      </c>
      <c r="E876" t="s">
        <v>699</v>
      </c>
      <c r="F876" t="s">
        <v>5458</v>
      </c>
      <c r="G876" t="s">
        <v>5459</v>
      </c>
      <c r="H876" t="s">
        <v>3704</v>
      </c>
      <c r="I876" t="s">
        <v>3700</v>
      </c>
    </row>
    <row r="877" spans="1:9" x14ac:dyDescent="0.25">
      <c r="A877" t="s">
        <v>3519</v>
      </c>
      <c r="B877" t="s">
        <v>698</v>
      </c>
      <c r="C877" t="s">
        <v>3718</v>
      </c>
      <c r="D877" t="s">
        <v>676</v>
      </c>
      <c r="E877" t="s">
        <v>699</v>
      </c>
      <c r="F877" t="s">
        <v>5460</v>
      </c>
      <c r="G877" t="s">
        <v>5461</v>
      </c>
      <c r="H877" t="s">
        <v>3713</v>
      </c>
      <c r="I877" t="s">
        <v>3721</v>
      </c>
    </row>
    <row r="878" spans="1:9" x14ac:dyDescent="0.25">
      <c r="A878" t="s">
        <v>3522</v>
      </c>
      <c r="B878" t="s">
        <v>702</v>
      </c>
      <c r="C878" t="s">
        <v>3696</v>
      </c>
      <c r="D878" t="s">
        <v>676</v>
      </c>
      <c r="E878" t="s">
        <v>703</v>
      </c>
      <c r="F878" t="s">
        <v>5462</v>
      </c>
      <c r="G878" t="s">
        <v>5463</v>
      </c>
      <c r="H878" t="s">
        <v>3699</v>
      </c>
      <c r="I878" t="s">
        <v>3700</v>
      </c>
    </row>
    <row r="879" spans="1:9" x14ac:dyDescent="0.25">
      <c r="A879" t="s">
        <v>3528</v>
      </c>
      <c r="B879" t="s">
        <v>702</v>
      </c>
      <c r="C879" t="s">
        <v>3701</v>
      </c>
      <c r="D879" t="s">
        <v>676</v>
      </c>
      <c r="E879" t="s">
        <v>703</v>
      </c>
      <c r="F879" t="s">
        <v>5464</v>
      </c>
      <c r="G879" t="s">
        <v>5465</v>
      </c>
      <c r="H879" t="s">
        <v>3704</v>
      </c>
      <c r="I879" t="s">
        <v>3705</v>
      </c>
    </row>
    <row r="880" spans="1:9" x14ac:dyDescent="0.25">
      <c r="A880" t="s">
        <v>3531</v>
      </c>
      <c r="B880" t="s">
        <v>702</v>
      </c>
      <c r="C880" t="s">
        <v>3706</v>
      </c>
      <c r="D880" t="s">
        <v>676</v>
      </c>
      <c r="E880" t="s">
        <v>703</v>
      </c>
      <c r="F880" t="s">
        <v>5466</v>
      </c>
      <c r="G880" t="s">
        <v>5467</v>
      </c>
      <c r="H880" t="s">
        <v>3704</v>
      </c>
      <c r="I880" t="s">
        <v>3709</v>
      </c>
    </row>
    <row r="881" spans="1:9" x14ac:dyDescent="0.25">
      <c r="A881" t="s">
        <v>3534</v>
      </c>
      <c r="B881" t="s">
        <v>702</v>
      </c>
      <c r="C881" t="s">
        <v>3710</v>
      </c>
      <c r="D881" t="s">
        <v>676</v>
      </c>
      <c r="E881" t="s">
        <v>703</v>
      </c>
      <c r="F881" t="s">
        <v>5468</v>
      </c>
      <c r="G881" t="s">
        <v>5469</v>
      </c>
      <c r="H881" t="s">
        <v>3713</v>
      </c>
      <c r="I881" t="s">
        <v>3714</v>
      </c>
    </row>
    <row r="882" spans="1:9" x14ac:dyDescent="0.25">
      <c r="A882" t="s">
        <v>3536</v>
      </c>
      <c r="B882" t="s">
        <v>702</v>
      </c>
      <c r="C882" t="s">
        <v>3715</v>
      </c>
      <c r="D882" t="s">
        <v>676</v>
      </c>
      <c r="E882" t="s">
        <v>703</v>
      </c>
      <c r="F882" t="s">
        <v>5470</v>
      </c>
      <c r="G882" t="s">
        <v>5471</v>
      </c>
      <c r="H882" t="s">
        <v>3704</v>
      </c>
      <c r="I882" t="s">
        <v>3700</v>
      </c>
    </row>
    <row r="883" spans="1:9" x14ac:dyDescent="0.25">
      <c r="A883" t="s">
        <v>3538</v>
      </c>
      <c r="B883" t="s">
        <v>702</v>
      </c>
      <c r="C883" t="s">
        <v>3718</v>
      </c>
      <c r="D883" t="s">
        <v>676</v>
      </c>
      <c r="E883" t="s">
        <v>703</v>
      </c>
      <c r="F883" t="s">
        <v>5472</v>
      </c>
      <c r="G883" t="s">
        <v>5473</v>
      </c>
      <c r="H883" t="s">
        <v>3713</v>
      </c>
      <c r="I883" t="s">
        <v>3721</v>
      </c>
    </row>
    <row r="884" spans="1:9" x14ac:dyDescent="0.25">
      <c r="A884" t="s">
        <v>3541</v>
      </c>
      <c r="B884" t="s">
        <v>706</v>
      </c>
      <c r="C884" t="s">
        <v>3696</v>
      </c>
      <c r="D884" t="s">
        <v>676</v>
      </c>
      <c r="E884" t="s">
        <v>707</v>
      </c>
      <c r="F884" t="s">
        <v>5474</v>
      </c>
      <c r="G884" t="s">
        <v>5475</v>
      </c>
      <c r="H884" t="s">
        <v>3699</v>
      </c>
      <c r="I884" t="s">
        <v>3700</v>
      </c>
    </row>
    <row r="885" spans="1:9" x14ac:dyDescent="0.25">
      <c r="A885" t="s">
        <v>3547</v>
      </c>
      <c r="B885" t="s">
        <v>706</v>
      </c>
      <c r="C885" t="s">
        <v>3701</v>
      </c>
      <c r="D885" t="s">
        <v>676</v>
      </c>
      <c r="E885" t="s">
        <v>707</v>
      </c>
      <c r="F885" t="s">
        <v>5476</v>
      </c>
      <c r="G885" t="s">
        <v>5477</v>
      </c>
      <c r="H885" t="s">
        <v>3704</v>
      </c>
      <c r="I885" t="s">
        <v>3705</v>
      </c>
    </row>
    <row r="886" spans="1:9" x14ac:dyDescent="0.25">
      <c r="A886" t="s">
        <v>3550</v>
      </c>
      <c r="B886" t="s">
        <v>706</v>
      </c>
      <c r="C886" t="s">
        <v>3706</v>
      </c>
      <c r="D886" t="s">
        <v>676</v>
      </c>
      <c r="E886" t="s">
        <v>707</v>
      </c>
      <c r="F886" t="s">
        <v>5478</v>
      </c>
      <c r="G886" t="s">
        <v>5479</v>
      </c>
      <c r="H886" t="s">
        <v>3704</v>
      </c>
      <c r="I886" t="s">
        <v>3709</v>
      </c>
    </row>
    <row r="887" spans="1:9" x14ac:dyDescent="0.25">
      <c r="A887" t="s">
        <v>3553</v>
      </c>
      <c r="B887" t="s">
        <v>706</v>
      </c>
      <c r="C887" t="s">
        <v>3710</v>
      </c>
      <c r="D887" t="s">
        <v>676</v>
      </c>
      <c r="E887" t="s">
        <v>707</v>
      </c>
      <c r="F887" t="s">
        <v>5480</v>
      </c>
      <c r="G887" t="s">
        <v>5481</v>
      </c>
      <c r="H887" t="s">
        <v>3713</v>
      </c>
      <c r="I887" t="s">
        <v>3714</v>
      </c>
    </row>
    <row r="888" spans="1:9" x14ac:dyDescent="0.25">
      <c r="A888" t="s">
        <v>3555</v>
      </c>
      <c r="B888" t="s">
        <v>706</v>
      </c>
      <c r="C888" t="s">
        <v>3715</v>
      </c>
      <c r="D888" t="s">
        <v>676</v>
      </c>
      <c r="E888" t="s">
        <v>707</v>
      </c>
      <c r="F888" t="s">
        <v>5482</v>
      </c>
      <c r="G888" t="s">
        <v>5483</v>
      </c>
      <c r="H888" t="s">
        <v>3704</v>
      </c>
      <c r="I888" t="s">
        <v>3700</v>
      </c>
    </row>
    <row r="889" spans="1:9" x14ac:dyDescent="0.25">
      <c r="A889" t="s">
        <v>3557</v>
      </c>
      <c r="B889" t="s">
        <v>706</v>
      </c>
      <c r="C889" t="s">
        <v>3718</v>
      </c>
      <c r="D889" t="s">
        <v>676</v>
      </c>
      <c r="E889" t="s">
        <v>707</v>
      </c>
      <c r="F889" t="s">
        <v>5484</v>
      </c>
      <c r="G889" t="s">
        <v>5485</v>
      </c>
      <c r="H889" t="s">
        <v>3713</v>
      </c>
      <c r="I889" t="s">
        <v>3721</v>
      </c>
    </row>
    <row r="890" spans="1:9" x14ac:dyDescent="0.25">
      <c r="A890" t="s">
        <v>3560</v>
      </c>
      <c r="B890" t="s">
        <v>710</v>
      </c>
      <c r="C890" t="s">
        <v>3696</v>
      </c>
      <c r="D890" t="s">
        <v>676</v>
      </c>
      <c r="E890" t="s">
        <v>712</v>
      </c>
      <c r="F890" t="s">
        <v>5486</v>
      </c>
      <c r="G890" t="s">
        <v>5487</v>
      </c>
      <c r="H890" t="s">
        <v>3699</v>
      </c>
      <c r="I890" t="s">
        <v>3700</v>
      </c>
    </row>
    <row r="891" spans="1:9" x14ac:dyDescent="0.25">
      <c r="A891" t="s">
        <v>3566</v>
      </c>
      <c r="B891" t="s">
        <v>710</v>
      </c>
      <c r="C891" t="s">
        <v>3701</v>
      </c>
      <c r="D891" t="s">
        <v>676</v>
      </c>
      <c r="E891" t="s">
        <v>712</v>
      </c>
      <c r="F891" t="s">
        <v>5488</v>
      </c>
      <c r="G891" t="s">
        <v>5489</v>
      </c>
      <c r="H891" t="s">
        <v>3704</v>
      </c>
      <c r="I891" t="s">
        <v>3705</v>
      </c>
    </row>
    <row r="892" spans="1:9" x14ac:dyDescent="0.25">
      <c r="A892" t="s">
        <v>3569</v>
      </c>
      <c r="B892" t="s">
        <v>710</v>
      </c>
      <c r="C892" t="s">
        <v>3706</v>
      </c>
      <c r="D892" t="s">
        <v>676</v>
      </c>
      <c r="E892" t="s">
        <v>712</v>
      </c>
      <c r="F892" t="s">
        <v>5490</v>
      </c>
      <c r="G892" t="s">
        <v>5491</v>
      </c>
      <c r="H892" t="s">
        <v>3704</v>
      </c>
      <c r="I892" t="s">
        <v>3709</v>
      </c>
    </row>
    <row r="893" spans="1:9" x14ac:dyDescent="0.25">
      <c r="A893" t="s">
        <v>3572</v>
      </c>
      <c r="B893" t="s">
        <v>710</v>
      </c>
      <c r="C893" t="s">
        <v>3710</v>
      </c>
      <c r="D893" t="s">
        <v>676</v>
      </c>
      <c r="E893" t="s">
        <v>712</v>
      </c>
      <c r="F893" t="s">
        <v>5492</v>
      </c>
      <c r="G893" t="s">
        <v>5493</v>
      </c>
      <c r="H893" t="s">
        <v>3713</v>
      </c>
      <c r="I893" t="s">
        <v>3714</v>
      </c>
    </row>
    <row r="894" spans="1:9" x14ac:dyDescent="0.25">
      <c r="A894" t="s">
        <v>3574</v>
      </c>
      <c r="B894" t="s">
        <v>710</v>
      </c>
      <c r="C894" t="s">
        <v>3715</v>
      </c>
      <c r="D894" t="s">
        <v>676</v>
      </c>
      <c r="E894" t="s">
        <v>712</v>
      </c>
      <c r="F894" t="s">
        <v>5494</v>
      </c>
      <c r="G894" t="s">
        <v>5495</v>
      </c>
      <c r="H894" t="s">
        <v>3704</v>
      </c>
      <c r="I894" t="s">
        <v>3700</v>
      </c>
    </row>
    <row r="895" spans="1:9" x14ac:dyDescent="0.25">
      <c r="A895" t="s">
        <v>3576</v>
      </c>
      <c r="B895" t="s">
        <v>710</v>
      </c>
      <c r="C895" t="s">
        <v>3718</v>
      </c>
      <c r="D895" t="s">
        <v>676</v>
      </c>
      <c r="E895" t="s">
        <v>712</v>
      </c>
      <c r="F895" t="s">
        <v>5496</v>
      </c>
      <c r="G895" t="s">
        <v>5497</v>
      </c>
      <c r="H895" t="s">
        <v>3713</v>
      </c>
      <c r="I895" t="s">
        <v>3721</v>
      </c>
    </row>
    <row r="896" spans="1:9" x14ac:dyDescent="0.25">
      <c r="A896" t="s">
        <v>3579</v>
      </c>
      <c r="B896" t="s">
        <v>715</v>
      </c>
      <c r="C896" t="s">
        <v>3696</v>
      </c>
      <c r="D896" t="s">
        <v>676</v>
      </c>
      <c r="E896" t="s">
        <v>716</v>
      </c>
      <c r="F896" t="s">
        <v>5498</v>
      </c>
      <c r="G896" t="s">
        <v>5499</v>
      </c>
      <c r="H896" t="s">
        <v>3699</v>
      </c>
      <c r="I896" t="s">
        <v>3700</v>
      </c>
    </row>
    <row r="897" spans="1:9" x14ac:dyDescent="0.25">
      <c r="A897" t="s">
        <v>3585</v>
      </c>
      <c r="B897" t="s">
        <v>715</v>
      </c>
      <c r="C897" t="s">
        <v>3701</v>
      </c>
      <c r="D897" t="s">
        <v>676</v>
      </c>
      <c r="E897" t="s">
        <v>716</v>
      </c>
      <c r="F897" t="s">
        <v>5500</v>
      </c>
      <c r="G897" t="s">
        <v>5501</v>
      </c>
      <c r="H897" t="s">
        <v>3704</v>
      </c>
      <c r="I897" t="s">
        <v>3705</v>
      </c>
    </row>
    <row r="898" spans="1:9" x14ac:dyDescent="0.25">
      <c r="A898" t="s">
        <v>3588</v>
      </c>
      <c r="B898" t="s">
        <v>715</v>
      </c>
      <c r="C898" t="s">
        <v>3706</v>
      </c>
      <c r="D898" t="s">
        <v>676</v>
      </c>
      <c r="E898" t="s">
        <v>716</v>
      </c>
      <c r="F898" t="s">
        <v>5502</v>
      </c>
      <c r="G898" t="s">
        <v>5503</v>
      </c>
      <c r="H898" t="s">
        <v>3704</v>
      </c>
      <c r="I898" t="s">
        <v>3709</v>
      </c>
    </row>
    <row r="899" spans="1:9" x14ac:dyDescent="0.25">
      <c r="A899" t="s">
        <v>3591</v>
      </c>
      <c r="B899" t="s">
        <v>715</v>
      </c>
      <c r="C899" t="s">
        <v>3710</v>
      </c>
      <c r="D899" t="s">
        <v>676</v>
      </c>
      <c r="E899" t="s">
        <v>716</v>
      </c>
      <c r="F899" t="s">
        <v>5504</v>
      </c>
      <c r="G899" t="s">
        <v>5505</v>
      </c>
      <c r="H899" t="s">
        <v>3713</v>
      </c>
      <c r="I899" t="s">
        <v>3714</v>
      </c>
    </row>
    <row r="900" spans="1:9" x14ac:dyDescent="0.25">
      <c r="A900" t="s">
        <v>3593</v>
      </c>
      <c r="B900" t="s">
        <v>715</v>
      </c>
      <c r="C900" t="s">
        <v>3715</v>
      </c>
      <c r="D900" t="s">
        <v>676</v>
      </c>
      <c r="E900" t="s">
        <v>716</v>
      </c>
      <c r="F900" t="s">
        <v>5506</v>
      </c>
      <c r="G900" t="s">
        <v>5507</v>
      </c>
      <c r="H900" t="s">
        <v>3704</v>
      </c>
      <c r="I900" t="s">
        <v>3700</v>
      </c>
    </row>
    <row r="901" spans="1:9" x14ac:dyDescent="0.25">
      <c r="A901" t="s">
        <v>3595</v>
      </c>
      <c r="B901" t="s">
        <v>715</v>
      </c>
      <c r="C901" t="s">
        <v>3718</v>
      </c>
      <c r="D901" t="s">
        <v>676</v>
      </c>
      <c r="E901" t="s">
        <v>716</v>
      </c>
      <c r="F901" t="s">
        <v>5508</v>
      </c>
      <c r="G901" t="s">
        <v>5509</v>
      </c>
      <c r="H901" t="s">
        <v>3713</v>
      </c>
      <c r="I901" t="s">
        <v>3721</v>
      </c>
    </row>
    <row r="902" spans="1:9" x14ac:dyDescent="0.25">
      <c r="A902" t="s">
        <v>3598</v>
      </c>
      <c r="B902" t="s">
        <v>719</v>
      </c>
      <c r="C902" t="s">
        <v>3696</v>
      </c>
      <c r="D902" t="s">
        <v>676</v>
      </c>
      <c r="E902" t="s">
        <v>720</v>
      </c>
      <c r="F902" t="s">
        <v>5510</v>
      </c>
      <c r="G902" t="s">
        <v>5511</v>
      </c>
      <c r="H902" t="s">
        <v>3699</v>
      </c>
      <c r="I902" t="s">
        <v>3700</v>
      </c>
    </row>
    <row r="903" spans="1:9" x14ac:dyDescent="0.25">
      <c r="A903" t="s">
        <v>3604</v>
      </c>
      <c r="B903" t="s">
        <v>719</v>
      </c>
      <c r="C903" t="s">
        <v>3701</v>
      </c>
      <c r="D903" t="s">
        <v>676</v>
      </c>
      <c r="E903" t="s">
        <v>720</v>
      </c>
      <c r="F903" t="s">
        <v>5512</v>
      </c>
      <c r="G903" t="s">
        <v>5513</v>
      </c>
      <c r="H903" t="s">
        <v>3704</v>
      </c>
      <c r="I903" t="s">
        <v>3705</v>
      </c>
    </row>
    <row r="904" spans="1:9" x14ac:dyDescent="0.25">
      <c r="A904" t="s">
        <v>3607</v>
      </c>
      <c r="B904" t="s">
        <v>719</v>
      </c>
      <c r="C904" t="s">
        <v>3706</v>
      </c>
      <c r="D904" t="s">
        <v>676</v>
      </c>
      <c r="E904" t="s">
        <v>720</v>
      </c>
      <c r="F904" t="s">
        <v>5514</v>
      </c>
      <c r="G904" t="s">
        <v>5515</v>
      </c>
      <c r="H904" t="s">
        <v>3704</v>
      </c>
      <c r="I904" t="s">
        <v>3709</v>
      </c>
    </row>
    <row r="905" spans="1:9" x14ac:dyDescent="0.25">
      <c r="A905" t="s">
        <v>3610</v>
      </c>
      <c r="B905" t="s">
        <v>719</v>
      </c>
      <c r="C905" t="s">
        <v>3710</v>
      </c>
      <c r="D905" t="s">
        <v>676</v>
      </c>
      <c r="E905" t="s">
        <v>720</v>
      </c>
      <c r="F905" t="s">
        <v>5516</v>
      </c>
      <c r="G905" t="s">
        <v>5517</v>
      </c>
      <c r="H905" t="s">
        <v>3713</v>
      </c>
      <c r="I905" t="s">
        <v>3714</v>
      </c>
    </row>
    <row r="906" spans="1:9" x14ac:dyDescent="0.25">
      <c r="A906" t="s">
        <v>3612</v>
      </c>
      <c r="B906" t="s">
        <v>719</v>
      </c>
      <c r="C906" t="s">
        <v>3715</v>
      </c>
      <c r="D906" t="s">
        <v>676</v>
      </c>
      <c r="E906" t="s">
        <v>720</v>
      </c>
      <c r="F906" t="s">
        <v>5518</v>
      </c>
      <c r="G906" t="s">
        <v>5519</v>
      </c>
      <c r="H906" t="s">
        <v>3704</v>
      </c>
      <c r="I906" t="s">
        <v>3700</v>
      </c>
    </row>
    <row r="907" spans="1:9" x14ac:dyDescent="0.25">
      <c r="A907" t="s">
        <v>3614</v>
      </c>
      <c r="B907" t="s">
        <v>719</v>
      </c>
      <c r="C907" t="s">
        <v>3718</v>
      </c>
      <c r="D907" t="s">
        <v>676</v>
      </c>
      <c r="E907" t="s">
        <v>720</v>
      </c>
      <c r="F907" t="s">
        <v>5520</v>
      </c>
      <c r="G907" t="s">
        <v>5521</v>
      </c>
      <c r="H907" t="s">
        <v>3713</v>
      </c>
      <c r="I907" t="s">
        <v>3721</v>
      </c>
    </row>
    <row r="908" spans="1:9" x14ac:dyDescent="0.25">
      <c r="A908" t="s">
        <v>3617</v>
      </c>
      <c r="B908" t="s">
        <v>723</v>
      </c>
      <c r="C908" t="s">
        <v>3696</v>
      </c>
      <c r="D908" t="s">
        <v>676</v>
      </c>
      <c r="E908" t="s">
        <v>724</v>
      </c>
      <c r="F908" t="s">
        <v>5522</v>
      </c>
      <c r="G908" t="s">
        <v>5523</v>
      </c>
      <c r="H908" t="s">
        <v>3699</v>
      </c>
      <c r="I908" t="s">
        <v>3700</v>
      </c>
    </row>
    <row r="909" spans="1:9" x14ac:dyDescent="0.25">
      <c r="A909" t="s">
        <v>3623</v>
      </c>
      <c r="B909" t="s">
        <v>723</v>
      </c>
      <c r="C909" t="s">
        <v>3701</v>
      </c>
      <c r="D909" t="s">
        <v>676</v>
      </c>
      <c r="E909" t="s">
        <v>724</v>
      </c>
      <c r="F909" t="s">
        <v>5524</v>
      </c>
      <c r="G909" t="s">
        <v>5525</v>
      </c>
      <c r="H909" t="s">
        <v>3704</v>
      </c>
      <c r="I909" t="s">
        <v>3705</v>
      </c>
    </row>
    <row r="910" spans="1:9" x14ac:dyDescent="0.25">
      <c r="A910" t="s">
        <v>3626</v>
      </c>
      <c r="B910" t="s">
        <v>723</v>
      </c>
      <c r="C910" t="s">
        <v>3706</v>
      </c>
      <c r="D910" t="s">
        <v>676</v>
      </c>
      <c r="E910" t="s">
        <v>724</v>
      </c>
      <c r="F910" t="s">
        <v>5526</v>
      </c>
      <c r="G910" t="s">
        <v>5527</v>
      </c>
      <c r="H910" t="s">
        <v>3704</v>
      </c>
      <c r="I910" t="s">
        <v>3709</v>
      </c>
    </row>
    <row r="911" spans="1:9" x14ac:dyDescent="0.25">
      <c r="A911" t="s">
        <v>3629</v>
      </c>
      <c r="B911" t="s">
        <v>723</v>
      </c>
      <c r="C911" t="s">
        <v>3710</v>
      </c>
      <c r="D911" t="s">
        <v>676</v>
      </c>
      <c r="E911" t="s">
        <v>724</v>
      </c>
      <c r="F911" t="s">
        <v>5528</v>
      </c>
      <c r="G911" t="s">
        <v>5529</v>
      </c>
      <c r="H911" t="s">
        <v>3713</v>
      </c>
      <c r="I911" t="s">
        <v>3714</v>
      </c>
    </row>
    <row r="912" spans="1:9" x14ac:dyDescent="0.25">
      <c r="A912" t="s">
        <v>3631</v>
      </c>
      <c r="B912" t="s">
        <v>723</v>
      </c>
      <c r="C912" t="s">
        <v>3715</v>
      </c>
      <c r="D912" t="s">
        <v>676</v>
      </c>
      <c r="E912" t="s">
        <v>724</v>
      </c>
      <c r="F912" t="s">
        <v>5530</v>
      </c>
      <c r="G912" t="s">
        <v>5531</v>
      </c>
      <c r="H912" t="s">
        <v>3704</v>
      </c>
      <c r="I912" t="s">
        <v>3700</v>
      </c>
    </row>
    <row r="913" spans="1:9" x14ac:dyDescent="0.25">
      <c r="A913" t="s">
        <v>3633</v>
      </c>
      <c r="B913" t="s">
        <v>723</v>
      </c>
      <c r="C913" t="s">
        <v>3718</v>
      </c>
      <c r="D913" t="s">
        <v>676</v>
      </c>
      <c r="E913" t="s">
        <v>724</v>
      </c>
      <c r="F913" t="s">
        <v>5532</v>
      </c>
      <c r="G913" t="s">
        <v>5533</v>
      </c>
      <c r="H913" t="s">
        <v>3713</v>
      </c>
      <c r="I913" t="s">
        <v>3721</v>
      </c>
    </row>
    <row r="914" spans="1:9" x14ac:dyDescent="0.25">
      <c r="A914" t="s">
        <v>3636</v>
      </c>
      <c r="B914" t="s">
        <v>727</v>
      </c>
      <c r="C914" t="s">
        <v>3696</v>
      </c>
      <c r="D914" t="s">
        <v>676</v>
      </c>
      <c r="E914" t="s">
        <v>729</v>
      </c>
      <c r="F914" t="s">
        <v>5534</v>
      </c>
      <c r="G914" t="s">
        <v>5535</v>
      </c>
      <c r="H914" t="s">
        <v>3699</v>
      </c>
      <c r="I914" t="s">
        <v>3700</v>
      </c>
    </row>
    <row r="915" spans="1:9" x14ac:dyDescent="0.25">
      <c r="A915" t="s">
        <v>3642</v>
      </c>
      <c r="B915" t="s">
        <v>727</v>
      </c>
      <c r="C915" t="s">
        <v>3701</v>
      </c>
      <c r="D915" t="s">
        <v>676</v>
      </c>
      <c r="E915" t="s">
        <v>729</v>
      </c>
      <c r="F915" t="s">
        <v>5536</v>
      </c>
      <c r="G915" t="s">
        <v>5537</v>
      </c>
      <c r="H915" t="s">
        <v>3704</v>
      </c>
      <c r="I915" t="s">
        <v>3705</v>
      </c>
    </row>
    <row r="916" spans="1:9" x14ac:dyDescent="0.25">
      <c r="A916" t="s">
        <v>3645</v>
      </c>
      <c r="B916" t="s">
        <v>727</v>
      </c>
      <c r="C916" t="s">
        <v>3706</v>
      </c>
      <c r="D916" t="s">
        <v>676</v>
      </c>
      <c r="E916" t="s">
        <v>729</v>
      </c>
      <c r="F916" t="s">
        <v>5538</v>
      </c>
      <c r="G916" t="s">
        <v>5539</v>
      </c>
      <c r="H916" t="s">
        <v>3704</v>
      </c>
      <c r="I916" t="s">
        <v>3709</v>
      </c>
    </row>
    <row r="917" spans="1:9" x14ac:dyDescent="0.25">
      <c r="A917" t="s">
        <v>3648</v>
      </c>
      <c r="B917" t="s">
        <v>727</v>
      </c>
      <c r="C917" t="s">
        <v>3710</v>
      </c>
      <c r="D917" t="s">
        <v>676</v>
      </c>
      <c r="E917" t="s">
        <v>729</v>
      </c>
      <c r="F917" t="s">
        <v>5540</v>
      </c>
      <c r="G917" t="s">
        <v>5541</v>
      </c>
      <c r="H917" t="s">
        <v>3713</v>
      </c>
      <c r="I917" t="s">
        <v>3714</v>
      </c>
    </row>
    <row r="918" spans="1:9" x14ac:dyDescent="0.25">
      <c r="A918" t="s">
        <v>3650</v>
      </c>
      <c r="B918" t="s">
        <v>727</v>
      </c>
      <c r="C918" t="s">
        <v>3715</v>
      </c>
      <c r="D918" t="s">
        <v>676</v>
      </c>
      <c r="E918" t="s">
        <v>729</v>
      </c>
      <c r="F918" t="s">
        <v>5542</v>
      </c>
      <c r="G918" t="s">
        <v>5543</v>
      </c>
      <c r="H918" t="s">
        <v>3704</v>
      </c>
      <c r="I918" t="s">
        <v>3700</v>
      </c>
    </row>
    <row r="919" spans="1:9" x14ac:dyDescent="0.25">
      <c r="A919" t="s">
        <v>3652</v>
      </c>
      <c r="B919" t="s">
        <v>727</v>
      </c>
      <c r="C919" t="s">
        <v>3718</v>
      </c>
      <c r="D919" t="s">
        <v>676</v>
      </c>
      <c r="E919" t="s">
        <v>729</v>
      </c>
      <c r="F919" t="s">
        <v>5544</v>
      </c>
      <c r="G919" t="s">
        <v>5545</v>
      </c>
      <c r="H919" t="s">
        <v>3713</v>
      </c>
      <c r="I919" t="s">
        <v>3721</v>
      </c>
    </row>
    <row r="920" spans="1:9" x14ac:dyDescent="0.25">
      <c r="A920" t="s">
        <v>3655</v>
      </c>
      <c r="B920" t="s">
        <v>732</v>
      </c>
      <c r="C920" t="s">
        <v>3696</v>
      </c>
      <c r="D920" t="s">
        <v>676</v>
      </c>
      <c r="E920" t="s">
        <v>733</v>
      </c>
      <c r="F920" t="s">
        <v>5546</v>
      </c>
      <c r="G920" t="s">
        <v>5547</v>
      </c>
      <c r="H920" t="s">
        <v>3699</v>
      </c>
      <c r="I920" t="s">
        <v>3700</v>
      </c>
    </row>
    <row r="921" spans="1:9" x14ac:dyDescent="0.25">
      <c r="A921" t="s">
        <v>3661</v>
      </c>
      <c r="B921" t="s">
        <v>732</v>
      </c>
      <c r="C921" t="s">
        <v>3701</v>
      </c>
      <c r="D921" t="s">
        <v>676</v>
      </c>
      <c r="E921" t="s">
        <v>733</v>
      </c>
      <c r="F921" t="s">
        <v>5548</v>
      </c>
      <c r="G921" t="s">
        <v>5549</v>
      </c>
      <c r="H921" t="s">
        <v>3704</v>
      </c>
      <c r="I921" t="s">
        <v>3705</v>
      </c>
    </row>
    <row r="922" spans="1:9" x14ac:dyDescent="0.25">
      <c r="A922" t="s">
        <v>3664</v>
      </c>
      <c r="B922" t="s">
        <v>732</v>
      </c>
      <c r="C922" t="s">
        <v>3706</v>
      </c>
      <c r="D922" t="s">
        <v>676</v>
      </c>
      <c r="E922" t="s">
        <v>733</v>
      </c>
      <c r="F922" t="s">
        <v>5550</v>
      </c>
      <c r="G922" t="s">
        <v>5551</v>
      </c>
      <c r="H922" t="s">
        <v>3704</v>
      </c>
      <c r="I922" t="s">
        <v>3709</v>
      </c>
    </row>
    <row r="923" spans="1:9" x14ac:dyDescent="0.25">
      <c r="A923" t="s">
        <v>3667</v>
      </c>
      <c r="B923" t="s">
        <v>732</v>
      </c>
      <c r="C923" t="s">
        <v>3710</v>
      </c>
      <c r="D923" t="s">
        <v>676</v>
      </c>
      <c r="E923" t="s">
        <v>733</v>
      </c>
      <c r="F923" t="s">
        <v>5552</v>
      </c>
      <c r="G923" t="s">
        <v>5553</v>
      </c>
      <c r="H923" t="s">
        <v>3713</v>
      </c>
      <c r="I923" t="s">
        <v>3714</v>
      </c>
    </row>
    <row r="924" spans="1:9" x14ac:dyDescent="0.25">
      <c r="A924" t="s">
        <v>3669</v>
      </c>
      <c r="B924" t="s">
        <v>732</v>
      </c>
      <c r="C924" t="s">
        <v>3715</v>
      </c>
      <c r="D924" t="s">
        <v>676</v>
      </c>
      <c r="E924" t="s">
        <v>733</v>
      </c>
      <c r="F924" t="s">
        <v>5554</v>
      </c>
      <c r="G924" t="s">
        <v>5555</v>
      </c>
      <c r="H924" t="s">
        <v>3704</v>
      </c>
      <c r="I924" t="s">
        <v>3700</v>
      </c>
    </row>
    <row r="925" spans="1:9" x14ac:dyDescent="0.25">
      <c r="A925" t="s">
        <v>3671</v>
      </c>
      <c r="B925" t="s">
        <v>732</v>
      </c>
      <c r="C925" t="s">
        <v>3718</v>
      </c>
      <c r="D925" t="s">
        <v>676</v>
      </c>
      <c r="E925" t="s">
        <v>733</v>
      </c>
      <c r="F925" t="s">
        <v>5556</v>
      </c>
      <c r="G925" t="s">
        <v>5557</v>
      </c>
      <c r="H925" t="s">
        <v>3713</v>
      </c>
      <c r="I925" t="s">
        <v>3721</v>
      </c>
    </row>
    <row r="926" spans="1:9" x14ac:dyDescent="0.25">
      <c r="A926" t="s">
        <v>3675</v>
      </c>
      <c r="B926" t="s">
        <v>736</v>
      </c>
      <c r="C926" t="s">
        <v>3696</v>
      </c>
      <c r="D926" t="s">
        <v>676</v>
      </c>
      <c r="E926" t="s">
        <v>737</v>
      </c>
      <c r="F926" t="s">
        <v>5558</v>
      </c>
      <c r="G926" t="s">
        <v>5559</v>
      </c>
      <c r="H926" t="s">
        <v>3699</v>
      </c>
      <c r="I926" t="s">
        <v>3700</v>
      </c>
    </row>
    <row r="927" spans="1:9" x14ac:dyDescent="0.25">
      <c r="A927" t="s">
        <v>3681</v>
      </c>
      <c r="B927" t="s">
        <v>736</v>
      </c>
      <c r="C927" t="s">
        <v>3701</v>
      </c>
      <c r="D927" t="s">
        <v>676</v>
      </c>
      <c r="E927" t="s">
        <v>737</v>
      </c>
      <c r="F927" t="s">
        <v>5560</v>
      </c>
      <c r="G927" t="s">
        <v>5561</v>
      </c>
      <c r="H927" t="s">
        <v>3704</v>
      </c>
      <c r="I927" t="s">
        <v>3705</v>
      </c>
    </row>
    <row r="928" spans="1:9" x14ac:dyDescent="0.25">
      <c r="A928" t="s">
        <v>3684</v>
      </c>
      <c r="B928" t="s">
        <v>736</v>
      </c>
      <c r="C928" t="s">
        <v>3706</v>
      </c>
      <c r="D928" t="s">
        <v>676</v>
      </c>
      <c r="E928" t="s">
        <v>737</v>
      </c>
      <c r="F928" t="s">
        <v>5562</v>
      </c>
      <c r="G928" t="s">
        <v>5563</v>
      </c>
      <c r="H928" t="s">
        <v>3704</v>
      </c>
      <c r="I928" t="s">
        <v>3709</v>
      </c>
    </row>
    <row r="929" spans="1:9" x14ac:dyDescent="0.25">
      <c r="A929" t="s">
        <v>3686</v>
      </c>
      <c r="B929" t="s">
        <v>736</v>
      </c>
      <c r="C929" t="s">
        <v>3710</v>
      </c>
      <c r="D929" t="s">
        <v>676</v>
      </c>
      <c r="E929" t="s">
        <v>737</v>
      </c>
      <c r="F929" t="s">
        <v>5564</v>
      </c>
      <c r="G929" t="s">
        <v>5565</v>
      </c>
      <c r="H929" t="s">
        <v>3713</v>
      </c>
      <c r="I929" t="s">
        <v>3714</v>
      </c>
    </row>
    <row r="930" spans="1:9" x14ac:dyDescent="0.25">
      <c r="A930" t="s">
        <v>3688</v>
      </c>
      <c r="B930" t="s">
        <v>736</v>
      </c>
      <c r="C930" t="s">
        <v>3715</v>
      </c>
      <c r="D930" t="s">
        <v>676</v>
      </c>
      <c r="E930" t="s">
        <v>737</v>
      </c>
      <c r="F930" t="s">
        <v>5566</v>
      </c>
      <c r="G930" t="s">
        <v>5567</v>
      </c>
      <c r="H930" t="s">
        <v>3704</v>
      </c>
      <c r="I930" t="s">
        <v>3700</v>
      </c>
    </row>
    <row r="931" spans="1:9" x14ac:dyDescent="0.25">
      <c r="A931" t="s">
        <v>3690</v>
      </c>
      <c r="B931" t="s">
        <v>736</v>
      </c>
      <c r="C931" t="s">
        <v>3718</v>
      </c>
      <c r="D931" t="s">
        <v>676</v>
      </c>
      <c r="E931" t="s">
        <v>737</v>
      </c>
      <c r="F931" t="s">
        <v>5568</v>
      </c>
      <c r="G931" t="s">
        <v>5569</v>
      </c>
      <c r="H931" t="s">
        <v>3713</v>
      </c>
      <c r="I931" t="s">
        <v>3721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6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0" customWidth="1"/>
    <col min="3" max="3" width="30" customWidth="1"/>
    <col min="4" max="4" width="60" customWidth="1"/>
    <col min="5" max="5" width="14" customWidth="1"/>
    <col min="6" max="7" width="22" customWidth="1"/>
    <col min="8" max="8" width="40" customWidth="1"/>
    <col min="9" max="9" width="70" customWidth="1"/>
    <col min="10" max="10" width="12" customWidth="1"/>
    <col min="11" max="11" width="18" customWidth="1"/>
  </cols>
  <sheetData>
    <row r="1" spans="1:11" x14ac:dyDescent="0.25">
      <c r="A1" s="10" t="s">
        <v>19</v>
      </c>
      <c r="B1" s="10" t="s">
        <v>20</v>
      </c>
      <c r="C1" s="10" t="s">
        <v>22</v>
      </c>
      <c r="D1" s="10" t="s">
        <v>5570</v>
      </c>
      <c r="E1" s="10" t="s">
        <v>29</v>
      </c>
      <c r="F1" s="10" t="s">
        <v>31</v>
      </c>
      <c r="G1" s="10" t="s">
        <v>32</v>
      </c>
      <c r="H1" s="10" t="s">
        <v>3692</v>
      </c>
      <c r="I1" s="10" t="s">
        <v>3693</v>
      </c>
      <c r="J1" s="10" t="s">
        <v>3694</v>
      </c>
      <c r="K1" s="10" t="s">
        <v>3695</v>
      </c>
    </row>
    <row r="2" spans="1:11" x14ac:dyDescent="0.25">
      <c r="A2" t="str">
        <f>Survey!$A2</f>
        <v>GOV-001</v>
      </c>
      <c r="B2" t="str">
        <f>Survey!$B2</f>
        <v>AI Council Governance and Framework Charter</v>
      </c>
      <c r="C2" t="str">
        <f>Survey!$D2</f>
        <v>AI Executive Accountability</v>
      </c>
      <c r="D2" t="str">
        <f>Survey!$J2</f>
        <v>A named executive owns enterprise AI strategy, governance, funding, and prioritization</v>
      </c>
      <c r="E2">
        <f>Survey!$K2</f>
        <v>4</v>
      </c>
      <c r="F2" t="str">
        <f>Survey!$M2</f>
        <v>Mature Capability</v>
      </c>
      <c r="G2" t="str">
        <f>Survey!$N2</f>
        <v>REC-GOV-001-L4</v>
      </c>
      <c r="H2" t="str">
        <f ca="1">IFERROR(_xludf.XLOOKUP(G2,tbl_RecLibrary[Recommendation ID],tbl_RecLibrary[Recommendation Title]),"")</f>
        <v/>
      </c>
      <c r="I2" t="str">
        <f ca="1">IFERROR(_xludf.XLOOKUP(G2,tbl_RecLibrary[Recommendation ID],tbl_RecLibrary[Recommended Action]),"")</f>
        <v/>
      </c>
      <c r="J2" t="str">
        <f ca="1">IFERROR(_xludf.XLOOKUP(G2,tbl_RecLibrary[Recommendation ID],tbl_RecLibrary[Priority]),"")</f>
        <v/>
      </c>
      <c r="K2" t="str">
        <f ca="1">IFERROR(_xludf.XLOOKUP(G2,tbl_RecLibrary[Recommendation ID],tbl_RecLibrary[Roadmap Horizon]),"")</f>
        <v/>
      </c>
    </row>
    <row r="3" spans="1:11" x14ac:dyDescent="0.25">
      <c r="A3" t="str">
        <f>Survey!$A3</f>
        <v>GOV-002</v>
      </c>
      <c r="B3" t="str">
        <f>Survey!$B3</f>
        <v>AI Council Governance and Framework Charter</v>
      </c>
      <c r="C3" t="str">
        <f>Survey!$D3</f>
        <v>Cross-Functional AI Governance</v>
      </c>
      <c r="D3" t="str">
        <f>Survey!$J3</f>
        <v>The governance body includes consistent representation from IT, business units, legal, security/risk, HR, and data/analytics, with defined roles and decision rights</v>
      </c>
      <c r="E3">
        <f>Survey!$K3</f>
        <v>4</v>
      </c>
      <c r="F3" t="str">
        <f>Survey!$M3</f>
        <v>Mature Capability</v>
      </c>
      <c r="G3" t="str">
        <f>Survey!$N3</f>
        <v>REC-GOV-002-L4</v>
      </c>
      <c r="H3" t="str">
        <f ca="1">IFERROR(_xludf.XLOOKUP(G3,tbl_RecLibrary[Recommendation ID],tbl_RecLibrary[Recommendation Title]),"")</f>
        <v/>
      </c>
      <c r="I3" t="str">
        <f ca="1">IFERROR(_xludf.XLOOKUP(G3,tbl_RecLibrary[Recommendation ID],tbl_RecLibrary[Recommended Action]),"")</f>
        <v/>
      </c>
      <c r="J3" t="str">
        <f ca="1">IFERROR(_xludf.XLOOKUP(G3,tbl_RecLibrary[Recommendation ID],tbl_RecLibrary[Priority]),"")</f>
        <v/>
      </c>
      <c r="K3" t="str">
        <f ca="1">IFERROR(_xludf.XLOOKUP(G3,tbl_RecLibrary[Recommendation ID],tbl_RecLibrary[Roadmap Horizon]),"")</f>
        <v/>
      </c>
    </row>
    <row r="4" spans="1:11" x14ac:dyDescent="0.25">
      <c r="A4" t="str">
        <f>Survey!$A4</f>
        <v>GOV-003</v>
      </c>
      <c r="B4" t="str">
        <f>Survey!$B4</f>
        <v>AI Council Governance and Framework Charter</v>
      </c>
      <c r="C4" t="str">
        <f>Survey!$D4</f>
        <v>Governance Authority and Decision Rights</v>
      </c>
      <c r="D4" t="str">
        <f>Survey!$J4</f>
        <v>The council can review AI initiatives, but its authority to enforce decisions is unclear or inconsistently applied</v>
      </c>
      <c r="E4">
        <f>Survey!$K4</f>
        <v>3</v>
      </c>
      <c r="F4" t="str">
        <f>Survey!$M4</f>
        <v>Partial Capability</v>
      </c>
      <c r="G4" t="str">
        <f>Survey!$N4</f>
        <v>REC-GOV-003-L3</v>
      </c>
      <c r="H4" t="str">
        <f ca="1">IFERROR(_xludf.XLOOKUP(G4,tbl_RecLibrary[Recommendation ID],tbl_RecLibrary[Recommendation Title]),"")</f>
        <v/>
      </c>
      <c r="I4" t="str">
        <f ca="1">IFERROR(_xludf.XLOOKUP(G4,tbl_RecLibrary[Recommendation ID],tbl_RecLibrary[Recommended Action]),"")</f>
        <v/>
      </c>
      <c r="J4" t="str">
        <f ca="1">IFERROR(_xludf.XLOOKUP(G4,tbl_RecLibrary[Recommendation ID],tbl_RecLibrary[Priority]),"")</f>
        <v/>
      </c>
      <c r="K4" t="str">
        <f ca="1">IFERROR(_xludf.XLOOKUP(G4,tbl_RecLibrary[Recommendation ID],tbl_RecLibrary[Roadmap Horizon]),"")</f>
        <v/>
      </c>
    </row>
    <row r="5" spans="1:11" x14ac:dyDescent="0.25">
      <c r="A5" t="str">
        <f>Survey!$A5</f>
        <v>GOV-004</v>
      </c>
      <c r="B5" t="str">
        <f>Survey!$B5</f>
        <v>AI Council Governance and Framework Charter</v>
      </c>
      <c r="C5" t="str">
        <f>Survey!$D5</f>
        <v>Governance Cadence and Responsiveness</v>
      </c>
      <c r="D5" t="str">
        <f>Survey!$J5</f>
        <v>The council meets periodically, but the cadence is not always sufficient to support timely AI review and approval</v>
      </c>
      <c r="E5">
        <f>Survey!$K5</f>
        <v>3</v>
      </c>
      <c r="F5" t="str">
        <f>Survey!$M5</f>
        <v>Partial Capability</v>
      </c>
      <c r="G5" t="str">
        <f>Survey!$N5</f>
        <v>REC-GOV-004-L3</v>
      </c>
      <c r="H5" t="str">
        <f ca="1">IFERROR(_xludf.XLOOKUP(G5,tbl_RecLibrary[Recommendation ID],tbl_RecLibrary[Recommendation Title]),"")</f>
        <v/>
      </c>
      <c r="I5" t="str">
        <f ca="1">IFERROR(_xludf.XLOOKUP(G5,tbl_RecLibrary[Recommendation ID],tbl_RecLibrary[Recommended Action]),"")</f>
        <v/>
      </c>
      <c r="J5" t="str">
        <f ca="1">IFERROR(_xludf.XLOOKUP(G5,tbl_RecLibrary[Recommendation ID],tbl_RecLibrary[Priority]),"")</f>
        <v/>
      </c>
      <c r="K5" t="str">
        <f ca="1">IFERROR(_xludf.XLOOKUP(G5,tbl_RecLibrary[Recommendation ID],tbl_RecLibrary[Roadmap Horizon]),"")</f>
        <v/>
      </c>
    </row>
    <row r="6" spans="1:11" x14ac:dyDescent="0.25">
      <c r="A6" t="str">
        <f>Survey!$A6</f>
        <v>GOV-005</v>
      </c>
      <c r="B6" t="str">
        <f>Survey!$B6</f>
        <v>AI Council Governance and Framework Charter</v>
      </c>
      <c r="C6" t="str">
        <f>Survey!$D6</f>
        <v>AI Risk Escalation and Tie-Breaking</v>
      </c>
      <c r="D6" t="str">
        <f>Survey!$J6</f>
        <v>Disagreements are handled informally between teams, with no documented tie-breaking authority</v>
      </c>
      <c r="E6">
        <f>Survey!$K6</f>
        <v>2</v>
      </c>
      <c r="F6" t="str">
        <f>Survey!$M6</f>
        <v>Informal Governance</v>
      </c>
      <c r="G6" t="str">
        <f>Survey!$N6</f>
        <v>REC-GOV-005-L1</v>
      </c>
      <c r="H6" t="str">
        <f ca="1">IFERROR(_xludf.XLOOKUP(G6,tbl_RecLibrary[Recommendation ID],tbl_RecLibrary[Recommendation Title]),"")</f>
        <v/>
      </c>
      <c r="I6" t="str">
        <f ca="1">IFERROR(_xludf.XLOOKUP(G6,tbl_RecLibrary[Recommendation ID],tbl_RecLibrary[Recommended Action]),"")</f>
        <v/>
      </c>
      <c r="J6" t="str">
        <f ca="1">IFERROR(_xludf.XLOOKUP(G6,tbl_RecLibrary[Recommendation ID],tbl_RecLibrary[Priority]),"")</f>
        <v/>
      </c>
      <c r="K6" t="str">
        <f ca="1">IFERROR(_xludf.XLOOKUP(G6,tbl_RecLibrary[Recommendation ID],tbl_RecLibrary[Roadmap Horizon]),"")</f>
        <v/>
      </c>
    </row>
    <row r="7" spans="1:11" x14ac:dyDescent="0.25">
      <c r="A7" t="str">
        <f>Survey!$A7</f>
        <v>GOV-006</v>
      </c>
      <c r="B7" t="str">
        <f>Survey!$B7</f>
        <v>AI Council Governance and Framework Charter</v>
      </c>
      <c r="C7" t="str">
        <f>Survey!$D7</f>
        <v>AI Risk Classification</v>
      </c>
      <c r="D7" t="str">
        <f>Survey!$J7</f>
        <v>AI use cases are classified into defined risk tiers, and each tier triggers specific review, approval, documentation, and oversight requirements</v>
      </c>
      <c r="E7">
        <f>Survey!$K7</f>
        <v>4</v>
      </c>
      <c r="F7" t="str">
        <f>Survey!$M7</f>
        <v>Mature Capability</v>
      </c>
      <c r="G7" t="str">
        <f>Survey!$N7</f>
        <v>REC-GOV-006-L4</v>
      </c>
      <c r="H7" t="str">
        <f ca="1">IFERROR(_xludf.XLOOKUP(G7,tbl_RecLibrary[Recommendation ID],tbl_RecLibrary[Recommendation Title]),"")</f>
        <v/>
      </c>
      <c r="I7" t="str">
        <f ca="1">IFERROR(_xludf.XLOOKUP(G7,tbl_RecLibrary[Recommendation ID],tbl_RecLibrary[Recommended Action]),"")</f>
        <v/>
      </c>
      <c r="J7" t="str">
        <f ca="1">IFERROR(_xludf.XLOOKUP(G7,tbl_RecLibrary[Recommendation ID],tbl_RecLibrary[Priority]),"")</f>
        <v/>
      </c>
      <c r="K7" t="str">
        <f ca="1">IFERROR(_xludf.XLOOKUP(G7,tbl_RecLibrary[Recommendation ID],tbl_RecLibrary[Roadmap Horizon]),"")</f>
        <v/>
      </c>
    </row>
    <row r="8" spans="1:11" x14ac:dyDescent="0.25">
      <c r="A8" t="str">
        <f>Survey!$A8</f>
        <v>GOV-007</v>
      </c>
      <c r="B8" t="str">
        <f>Survey!$B8</f>
        <v>AI Council Governance and Framework Charter</v>
      </c>
      <c r="C8" t="str">
        <f>Survey!$D8</f>
        <v>Responsible AI Standards and Metrics</v>
      </c>
      <c r="D8" t="str">
        <f>Survey!$J8</f>
        <v>Responsible AI principles are discussed in general terms, but are not documented or measured</v>
      </c>
      <c r="E8">
        <f>Survey!$K8</f>
        <v>2</v>
      </c>
      <c r="F8" t="str">
        <f>Survey!$M8</f>
        <v>Principles Without Controls</v>
      </c>
      <c r="G8" t="str">
        <f>Survey!$N8</f>
        <v>REC-GOV-007-L1</v>
      </c>
      <c r="H8" t="str">
        <f ca="1">IFERROR(_xludf.XLOOKUP(G8,tbl_RecLibrary[Recommendation ID],tbl_RecLibrary[Recommendation Title]),"")</f>
        <v/>
      </c>
      <c r="I8" t="str">
        <f ca="1">IFERROR(_xludf.XLOOKUP(G8,tbl_RecLibrary[Recommendation ID],tbl_RecLibrary[Recommended Action]),"")</f>
        <v/>
      </c>
      <c r="J8" t="str">
        <f ca="1">IFERROR(_xludf.XLOOKUP(G8,tbl_RecLibrary[Recommendation ID],tbl_RecLibrary[Priority]),"")</f>
        <v/>
      </c>
      <c r="K8" t="str">
        <f ca="1">IFERROR(_xludf.XLOOKUP(G8,tbl_RecLibrary[Recommendation ID],tbl_RecLibrary[Roadmap Horizon]),"")</f>
        <v/>
      </c>
    </row>
    <row r="9" spans="1:11" x14ac:dyDescent="0.25">
      <c r="A9" t="str">
        <f>Survey!$A9</f>
        <v>GOV-008</v>
      </c>
      <c r="B9" t="str">
        <f>Survey!$B9</f>
        <v>AI Council Governance and Framework Charter</v>
      </c>
      <c r="C9" t="str">
        <f>Survey!$D9</f>
        <v>Shadow AI Management</v>
      </c>
      <c r="D9" t="str">
        <f>Survey!$J9</f>
        <v>Shadow AI is actively managed through policy, training, approved enterprise tools, monitoring, exception handling, and periodic compliance review</v>
      </c>
      <c r="E9">
        <f>Survey!$K9</f>
        <v>5</v>
      </c>
      <c r="F9" t="str">
        <f>Survey!$M9</f>
        <v>Optimized Capability</v>
      </c>
      <c r="G9" t="str">
        <f>Survey!$N9</f>
        <v>REC-GOV-008-L5</v>
      </c>
      <c r="H9" t="str">
        <f ca="1">IFERROR(_xludf.XLOOKUP(G9,tbl_RecLibrary[Recommendation ID],tbl_RecLibrary[Recommendation Title]),"")</f>
        <v/>
      </c>
      <c r="I9" t="str">
        <f ca="1">IFERROR(_xludf.XLOOKUP(G9,tbl_RecLibrary[Recommendation ID],tbl_RecLibrary[Recommended Action]),"")</f>
        <v/>
      </c>
      <c r="J9" t="str">
        <f ca="1">IFERROR(_xludf.XLOOKUP(G9,tbl_RecLibrary[Recommendation ID],tbl_RecLibrary[Priority]),"")</f>
        <v/>
      </c>
      <c r="K9" t="str">
        <f ca="1">IFERROR(_xludf.XLOOKUP(G9,tbl_RecLibrary[Recommendation ID],tbl_RecLibrary[Roadmap Horizon]),"")</f>
        <v/>
      </c>
    </row>
    <row r="10" spans="1:11" x14ac:dyDescent="0.25">
      <c r="A10" t="str">
        <f>Survey!$A10</f>
        <v>GOV-009</v>
      </c>
      <c r="B10" t="str">
        <f>Survey!$B10</f>
        <v>AI Council Governance and Framework Charter</v>
      </c>
      <c r="C10" t="str">
        <f>Survey!$D10</f>
        <v>AI Documentation and Deployment Readiness</v>
      </c>
      <c r="D10" t="str">
        <f>Survey!$J10</f>
        <v>Documentation is created inconsistently and varies by team or project</v>
      </c>
      <c r="E10">
        <f>Survey!$K10</f>
        <v>2</v>
      </c>
      <c r="F10" t="str">
        <f>Survey!$M10</f>
        <v>Inconsistent Practice</v>
      </c>
      <c r="G10" t="str">
        <f>Survey!$N10</f>
        <v>REC-GOV-009-L1</v>
      </c>
      <c r="H10" t="str">
        <f ca="1">IFERROR(_xludf.XLOOKUP(G10,tbl_RecLibrary[Recommendation ID],tbl_RecLibrary[Recommendation Title]),"")</f>
        <v/>
      </c>
      <c r="I10" t="str">
        <f ca="1">IFERROR(_xludf.XLOOKUP(G10,tbl_RecLibrary[Recommendation ID],tbl_RecLibrary[Recommended Action]),"")</f>
        <v/>
      </c>
      <c r="J10" t="str">
        <f ca="1">IFERROR(_xludf.XLOOKUP(G10,tbl_RecLibrary[Recommendation ID],tbl_RecLibrary[Priority]),"")</f>
        <v/>
      </c>
      <c r="K10" t="str">
        <f ca="1">IFERROR(_xludf.XLOOKUP(G10,tbl_RecLibrary[Recommendation ID],tbl_RecLibrary[Roadmap Horizon]),"")</f>
        <v/>
      </c>
    </row>
    <row r="11" spans="1:11" x14ac:dyDescent="0.25">
      <c r="A11" t="str">
        <f>Survey!$A11</f>
        <v>GOV-010</v>
      </c>
      <c r="B11" t="str">
        <f>Survey!$B11</f>
        <v>AI Council Governance and Framework Charter</v>
      </c>
      <c r="C11" t="str">
        <f>Survey!$D11</f>
        <v>Regulatory and Standards Alignment</v>
      </c>
      <c r="D11" t="str">
        <f>Survey!$J11</f>
        <v>Some AI policies or controls reference external frameworks, but coverage is incomplete or inconsistently maintained</v>
      </c>
      <c r="E11">
        <f>Survey!$K11</f>
        <v>3</v>
      </c>
      <c r="F11" t="str">
        <f>Survey!$M11</f>
        <v>Partial Capability</v>
      </c>
      <c r="G11" t="str">
        <f>Survey!$N11</f>
        <v>REC-GOV-010-L3</v>
      </c>
      <c r="H11" t="str">
        <f ca="1">IFERROR(_xludf.XLOOKUP(G11,tbl_RecLibrary[Recommendation ID],tbl_RecLibrary[Recommendation Title]),"")</f>
        <v/>
      </c>
      <c r="I11" t="str">
        <f ca="1">IFERROR(_xludf.XLOOKUP(G11,tbl_RecLibrary[Recommendation ID],tbl_RecLibrary[Recommended Action]),"")</f>
        <v/>
      </c>
      <c r="J11" t="str">
        <f ca="1">IFERROR(_xludf.XLOOKUP(G11,tbl_RecLibrary[Recommendation ID],tbl_RecLibrary[Priority]),"")</f>
        <v/>
      </c>
      <c r="K11" t="str">
        <f ca="1">IFERROR(_xludf.XLOOKUP(G11,tbl_RecLibrary[Recommendation ID],tbl_RecLibrary[Roadmap Horizon]),"")</f>
        <v/>
      </c>
    </row>
    <row r="12" spans="1:11" x14ac:dyDescent="0.25">
      <c r="A12" t="str">
        <f>Survey!$A12</f>
        <v>GOV-011</v>
      </c>
      <c r="B12" t="str">
        <f>Survey!$B12</f>
        <v>AI Council Governance and Framework Charter</v>
      </c>
      <c r="C12" t="str">
        <f>Survey!$D12</f>
        <v>AI Asset Inventory</v>
      </c>
      <c r="D12" t="str">
        <f>Survey!$J12</f>
        <v>A central inventory exists, but it is incomplete, manually maintained, or omits embedded vendor AI capabilities</v>
      </c>
      <c r="E12">
        <f>Survey!$K12</f>
        <v>3</v>
      </c>
      <c r="F12" t="str">
        <f>Survey!$M12</f>
        <v>Partial Capability</v>
      </c>
      <c r="G12" t="str">
        <f>Survey!$N12</f>
        <v>REC-GOV-011-L3</v>
      </c>
      <c r="H12" t="str">
        <f ca="1">IFERROR(_xludf.XLOOKUP(G12,tbl_RecLibrary[Recommendation ID],tbl_RecLibrary[Recommendation Title]),"")</f>
        <v/>
      </c>
      <c r="I12" t="str">
        <f ca="1">IFERROR(_xludf.XLOOKUP(G12,tbl_RecLibrary[Recommendation ID],tbl_RecLibrary[Recommended Action]),"")</f>
        <v/>
      </c>
      <c r="J12" t="str">
        <f ca="1">IFERROR(_xludf.XLOOKUP(G12,tbl_RecLibrary[Recommendation ID],tbl_RecLibrary[Priority]),"")</f>
        <v/>
      </c>
      <c r="K12" t="str">
        <f ca="1">IFERROR(_xludf.XLOOKUP(G12,tbl_RecLibrary[Recommendation ID],tbl_RecLibrary[Roadmap Horizon]),"")</f>
        <v/>
      </c>
    </row>
    <row r="13" spans="1:11" x14ac:dyDescent="0.25">
      <c r="A13" t="str">
        <f>Survey!$A13</f>
        <v>GOV-012</v>
      </c>
      <c r="B13" t="str">
        <f>Survey!$B13</f>
        <v>AI Council Governance and Framework Charter</v>
      </c>
      <c r="C13" t="str">
        <f>Survey!$D13</f>
        <v>Third-Party AI Risk</v>
      </c>
      <c r="D13" t="str">
        <f>Survey!$J13</f>
        <v>An AI vendor review exists, but coverage of transparency, training data, audit rights, and model updates is inconsistent</v>
      </c>
      <c r="E13">
        <f>Survey!$K13</f>
        <v>3</v>
      </c>
      <c r="F13" t="str">
        <f>Survey!$M13</f>
        <v>Partial Capability</v>
      </c>
      <c r="G13" t="str">
        <f>Survey!$N13</f>
        <v>REC-GOV-012-L3</v>
      </c>
      <c r="H13" t="str">
        <f ca="1">IFERROR(_xludf.XLOOKUP(G13,tbl_RecLibrary[Recommendation ID],tbl_RecLibrary[Recommendation Title]),"")</f>
        <v/>
      </c>
      <c r="I13" t="str">
        <f ca="1">IFERROR(_xludf.XLOOKUP(G13,tbl_RecLibrary[Recommendation ID],tbl_RecLibrary[Recommended Action]),"")</f>
        <v/>
      </c>
      <c r="J13" t="str">
        <f ca="1">IFERROR(_xludf.XLOOKUP(G13,tbl_RecLibrary[Recommendation ID],tbl_RecLibrary[Priority]),"")</f>
        <v/>
      </c>
      <c r="K13" t="str">
        <f ca="1">IFERROR(_xludf.XLOOKUP(G13,tbl_RecLibrary[Recommendation ID],tbl_RecLibrary[Roadmap Horizon]),"")</f>
        <v/>
      </c>
    </row>
    <row r="14" spans="1:11" x14ac:dyDescent="0.25">
      <c r="A14" t="str">
        <f>Survey!$A14</f>
        <v>GOV-013</v>
      </c>
      <c r="B14" t="str">
        <f>Survey!$B14</f>
        <v>AI Council Governance and Framework Charter</v>
      </c>
      <c r="C14" t="str">
        <f>Survey!$D14</f>
        <v>Post-Deployment Monitoring</v>
      </c>
      <c r="D14" t="str">
        <f>Survey!$J14</f>
        <v>Production AI models are monitored against defined metrics for performance, drift, and bias, with alerting and assigned owners for response</v>
      </c>
      <c r="E14">
        <f>Survey!$K14</f>
        <v>4</v>
      </c>
      <c r="F14" t="str">
        <f>Survey!$M14</f>
        <v>Mature Capability</v>
      </c>
      <c r="G14" t="str">
        <f>Survey!$N14</f>
        <v>REC-GOV-013-L4</v>
      </c>
      <c r="H14" t="str">
        <f ca="1">IFERROR(_xludf.XLOOKUP(G14,tbl_RecLibrary[Recommendation ID],tbl_RecLibrary[Recommendation Title]),"")</f>
        <v/>
      </c>
      <c r="I14" t="str">
        <f ca="1">IFERROR(_xludf.XLOOKUP(G14,tbl_RecLibrary[Recommendation ID],tbl_RecLibrary[Recommended Action]),"")</f>
        <v/>
      </c>
      <c r="J14" t="str">
        <f ca="1">IFERROR(_xludf.XLOOKUP(G14,tbl_RecLibrary[Recommendation ID],tbl_RecLibrary[Priority]),"")</f>
        <v/>
      </c>
      <c r="K14" t="str">
        <f ca="1">IFERROR(_xludf.XLOOKUP(G14,tbl_RecLibrary[Recommendation ID],tbl_RecLibrary[Roadmap Horizon]),"")</f>
        <v/>
      </c>
    </row>
    <row r="15" spans="1:11" x14ac:dyDescent="0.25">
      <c r="A15" t="str">
        <f>Survey!$A15</f>
        <v>GOV-014</v>
      </c>
      <c r="B15" t="str">
        <f>Survey!$B15</f>
        <v>AI Council Governance and Framework Charter</v>
      </c>
      <c r="C15" t="str">
        <f>Survey!$D15</f>
        <v>AI Incident Response and Containment</v>
      </c>
      <c r="D15" t="str">
        <f>Survey!$J15</f>
        <v>Some AI incident response procedures exist, but they are incomplete, untested, or not consistently communicated</v>
      </c>
      <c r="E15">
        <f>Survey!$K15</f>
        <v>3</v>
      </c>
      <c r="F15" t="str">
        <f>Survey!$M15</f>
        <v>Partial Capability</v>
      </c>
      <c r="G15" t="str">
        <f>Survey!$N15</f>
        <v>REC-GOV-014-L3</v>
      </c>
      <c r="H15" t="str">
        <f ca="1">IFERROR(_xludf.XLOOKUP(G15,tbl_RecLibrary[Recommendation ID],tbl_RecLibrary[Recommendation Title]),"")</f>
        <v/>
      </c>
      <c r="I15" t="str">
        <f ca="1">IFERROR(_xludf.XLOOKUP(G15,tbl_RecLibrary[Recommendation ID],tbl_RecLibrary[Recommended Action]),"")</f>
        <v/>
      </c>
      <c r="J15" t="str">
        <f ca="1">IFERROR(_xludf.XLOOKUP(G15,tbl_RecLibrary[Recommendation ID],tbl_RecLibrary[Priority]),"")</f>
        <v/>
      </c>
      <c r="K15" t="str">
        <f ca="1">IFERROR(_xludf.XLOOKUP(G15,tbl_RecLibrary[Recommendation ID],tbl_RecLibrary[Roadmap Horizon]),"")</f>
        <v/>
      </c>
    </row>
    <row r="16" spans="1:11" x14ac:dyDescent="0.25">
      <c r="A16" t="str">
        <f>Survey!$A16</f>
        <v>GOV-015</v>
      </c>
      <c r="B16" t="str">
        <f>Survey!$B16</f>
        <v>AI Council Governance and Framework Charter</v>
      </c>
      <c r="C16" t="str">
        <f>Survey!$D16</f>
        <v>Governance Funding and Capacity</v>
      </c>
      <c r="D16" t="str">
        <f>Survey!$J16</f>
        <v>Governance is funded with dedicated headcount, tooling, and a defined operating budget that scales with the AI portfolio</v>
      </c>
      <c r="E16">
        <f>Survey!$K16</f>
        <v>4</v>
      </c>
      <c r="F16" t="str">
        <f>Survey!$M16</f>
        <v>Mature Capability</v>
      </c>
      <c r="G16" t="str">
        <f>Survey!$N16</f>
        <v>REC-GOV-015-L4</v>
      </c>
      <c r="H16" t="str">
        <f ca="1">IFERROR(_xludf.XLOOKUP(G16,tbl_RecLibrary[Recommendation ID],tbl_RecLibrary[Recommendation Title]),"")</f>
        <v/>
      </c>
      <c r="I16" t="str">
        <f ca="1">IFERROR(_xludf.XLOOKUP(G16,tbl_RecLibrary[Recommendation ID],tbl_RecLibrary[Recommended Action]),"")</f>
        <v/>
      </c>
      <c r="J16" t="str">
        <f ca="1">IFERROR(_xludf.XLOOKUP(G16,tbl_RecLibrary[Recommendation ID],tbl_RecLibrary[Priority]),"")</f>
        <v/>
      </c>
      <c r="K16" t="str">
        <f ca="1">IFERROR(_xludf.XLOOKUP(G16,tbl_RecLibrary[Recommendation ID],tbl_RecLibrary[Roadmap Horizon]),"")</f>
        <v/>
      </c>
    </row>
    <row r="17" spans="1:11" x14ac:dyDescent="0.25">
      <c r="A17" t="str">
        <f>Survey!$A17</f>
        <v>GOV-016</v>
      </c>
      <c r="B17" t="str">
        <f>Survey!$B17</f>
        <v>AI Council Governance and Framework Charter</v>
      </c>
      <c r="C17" t="str">
        <f>Survey!$D17</f>
        <v>Executive AI Literacy</v>
      </c>
      <c r="D17" t="str">
        <f>Survey!$J17</f>
        <v>Leadership receives periodic AI briefings, but coverage of regulation, risk categories, and strategic implications is inconsistent</v>
      </c>
      <c r="E17">
        <f>Survey!$K17</f>
        <v>3</v>
      </c>
      <c r="F17" t="str">
        <f>Survey!$M17</f>
        <v>Partial Capability</v>
      </c>
      <c r="G17" t="str">
        <f>Survey!$N17</f>
        <v>REC-GOV-016-L3</v>
      </c>
      <c r="H17" t="str">
        <f ca="1">IFERROR(_xludf.XLOOKUP(G17,tbl_RecLibrary[Recommendation ID],tbl_RecLibrary[Recommendation Title]),"")</f>
        <v/>
      </c>
      <c r="I17" t="str">
        <f ca="1">IFERROR(_xludf.XLOOKUP(G17,tbl_RecLibrary[Recommendation ID],tbl_RecLibrary[Recommended Action]),"")</f>
        <v/>
      </c>
      <c r="J17" t="str">
        <f ca="1">IFERROR(_xludf.XLOOKUP(G17,tbl_RecLibrary[Recommendation ID],tbl_RecLibrary[Priority]),"")</f>
        <v/>
      </c>
      <c r="K17" t="str">
        <f ca="1">IFERROR(_xludf.XLOOKUP(G17,tbl_RecLibrary[Recommendation ID],tbl_RecLibrary[Roadmap Horizon]),"")</f>
        <v/>
      </c>
    </row>
    <row r="18" spans="1:11" x14ac:dyDescent="0.25">
      <c r="A18" t="str">
        <f>Survey!$A18</f>
        <v>GOV-017</v>
      </c>
      <c r="B18" t="str">
        <f>Survey!$B18</f>
        <v>AI Council Governance and Framework Charter</v>
      </c>
      <c r="C18" t="str">
        <f>Survey!$D18</f>
        <v>Incentives and Performance Management</v>
      </c>
      <c r="D18" t="str">
        <f>Survey!$J18</f>
        <v>Some leaders include governance in performance discussions, but expectations are inconsistent across teams</v>
      </c>
      <c r="E18">
        <f>Survey!$K18</f>
        <v>3</v>
      </c>
      <c r="F18" t="str">
        <f>Survey!$M18</f>
        <v>Partial Capability</v>
      </c>
      <c r="G18" t="str">
        <f>Survey!$N18</f>
        <v>REC-GOV-017-L3</v>
      </c>
      <c r="H18" t="str">
        <f ca="1">IFERROR(_xludf.XLOOKUP(G18,tbl_RecLibrary[Recommendation ID],tbl_RecLibrary[Recommendation Title]),"")</f>
        <v/>
      </c>
      <c r="I18" t="str">
        <f ca="1">IFERROR(_xludf.XLOOKUP(G18,tbl_RecLibrary[Recommendation ID],tbl_RecLibrary[Recommended Action]),"")</f>
        <v/>
      </c>
      <c r="J18" t="str">
        <f ca="1">IFERROR(_xludf.XLOOKUP(G18,tbl_RecLibrary[Recommendation ID],tbl_RecLibrary[Priority]),"")</f>
        <v/>
      </c>
      <c r="K18" t="str">
        <f ca="1">IFERROR(_xludf.XLOOKUP(G18,tbl_RecLibrary[Recommendation ID],tbl_RecLibrary[Roadmap Horizon]),"")</f>
        <v/>
      </c>
    </row>
    <row r="19" spans="1:11" x14ac:dyDescent="0.25">
      <c r="A19" t="str">
        <f>Survey!$A19</f>
        <v>GOV-018</v>
      </c>
      <c r="B19" t="str">
        <f>Survey!$B19</f>
        <v>AI Council Governance and Framework Charter</v>
      </c>
      <c r="C19" t="str">
        <f>Survey!$D19</f>
        <v>Speak-Up Culture for AI Risk</v>
      </c>
      <c r="D19" t="str">
        <f>Survey!$J19</f>
        <v>A documented, communicated channel allows employees to raise AI concerns, including anonymously, with a defined triage and response process</v>
      </c>
      <c r="E19">
        <f>Survey!$K19</f>
        <v>4</v>
      </c>
      <c r="F19" t="str">
        <f>Survey!$M19</f>
        <v>Mature Capability</v>
      </c>
      <c r="G19" t="str">
        <f>Survey!$N19</f>
        <v>REC-GOV-018-L4</v>
      </c>
      <c r="H19" t="str">
        <f ca="1">IFERROR(_xludf.XLOOKUP(G19,tbl_RecLibrary[Recommendation ID],tbl_RecLibrary[Recommendation Title]),"")</f>
        <v/>
      </c>
      <c r="I19" t="str">
        <f ca="1">IFERROR(_xludf.XLOOKUP(G19,tbl_RecLibrary[Recommendation ID],tbl_RecLibrary[Recommended Action]),"")</f>
        <v/>
      </c>
      <c r="J19" t="str">
        <f ca="1">IFERROR(_xludf.XLOOKUP(G19,tbl_RecLibrary[Recommendation ID],tbl_RecLibrary[Priority]),"")</f>
        <v/>
      </c>
      <c r="K19" t="str">
        <f ca="1">IFERROR(_xludf.XLOOKUP(G19,tbl_RecLibrary[Recommendation ID],tbl_RecLibrary[Roadmap Horizon]),"")</f>
        <v/>
      </c>
    </row>
    <row r="20" spans="1:11" x14ac:dyDescent="0.25">
      <c r="A20" t="str">
        <f>Survey!$A20</f>
        <v>STR-001</v>
      </c>
      <c r="B20" t="str">
        <f>Survey!$B20</f>
        <v>AI Strategy and Roadmap</v>
      </c>
      <c r="C20" t="str">
        <f>Survey!$D20</f>
        <v>AI Business Value Articulation</v>
      </c>
      <c r="D20" t="e">
        <f>Survey!#REF!</f>
        <v>#REF!</v>
      </c>
      <c r="E20">
        <f>Survey!$K20</f>
        <v>4</v>
      </c>
      <c r="F20" t="str">
        <f>Survey!$M20</f>
        <v>Mature Capability</v>
      </c>
      <c r="G20" t="str">
        <f>Survey!$N20</f>
        <v>REC-STR-001-L4</v>
      </c>
      <c r="H20" t="str">
        <f ca="1">IFERROR(_xludf.XLOOKUP(G20,tbl_RecLibrary[Recommendation ID],tbl_RecLibrary[Recommendation Title]),"")</f>
        <v/>
      </c>
      <c r="I20" t="str">
        <f ca="1">IFERROR(_xludf.XLOOKUP(G20,tbl_RecLibrary[Recommendation ID],tbl_RecLibrary[Recommended Action]),"")</f>
        <v/>
      </c>
      <c r="J20" t="str">
        <f ca="1">IFERROR(_xludf.XLOOKUP(G20,tbl_RecLibrary[Recommendation ID],tbl_RecLibrary[Priority]),"")</f>
        <v/>
      </c>
      <c r="K20" t="str">
        <f ca="1">IFERROR(_xludf.XLOOKUP(G20,tbl_RecLibrary[Recommendation ID],tbl_RecLibrary[Roadmap Horizon]),"")</f>
        <v/>
      </c>
    </row>
    <row r="21" spans="1:11" x14ac:dyDescent="0.25">
      <c r="A21" t="str">
        <f>Survey!$A21</f>
        <v>STR-002</v>
      </c>
      <c r="B21" t="str">
        <f>Survey!$B21</f>
        <v>AI Strategy and Roadmap</v>
      </c>
      <c r="C21" t="str">
        <f>Survey!$D21</f>
        <v>AI Sourcing Strategy</v>
      </c>
      <c r="D21" t="str">
        <f>Survey!$J20</f>
        <v>Each major AI initiative has a documented business case, named KPI, baseline, target, and accountable owner</v>
      </c>
      <c r="E21">
        <f>Survey!$K21</f>
        <v>4</v>
      </c>
      <c r="F21" t="str">
        <f>Survey!$M21</f>
        <v>Mature Capability</v>
      </c>
      <c r="G21" t="str">
        <f>Survey!$N21</f>
        <v>REC-STR-002-L4</v>
      </c>
      <c r="H21" t="str">
        <f ca="1">IFERROR(_xludf.XLOOKUP(G21,tbl_RecLibrary[Recommendation ID],tbl_RecLibrary[Recommendation Title]),"")</f>
        <v/>
      </c>
      <c r="I21" t="str">
        <f ca="1">IFERROR(_xludf.XLOOKUP(G21,tbl_RecLibrary[Recommendation ID],tbl_RecLibrary[Recommended Action]),"")</f>
        <v/>
      </c>
      <c r="J21" t="str">
        <f ca="1">IFERROR(_xludf.XLOOKUP(G21,tbl_RecLibrary[Recommendation ID],tbl_RecLibrary[Priority]),"")</f>
        <v/>
      </c>
      <c r="K21" t="str">
        <f ca="1">IFERROR(_xludf.XLOOKUP(G21,tbl_RecLibrary[Recommendation ID],tbl_RecLibrary[Roadmap Horizon]),"")</f>
        <v/>
      </c>
    </row>
    <row r="22" spans="1:11" x14ac:dyDescent="0.25">
      <c r="A22" t="str">
        <f>Survey!$A22</f>
        <v>STR-003</v>
      </c>
      <c r="B22" t="str">
        <f>Survey!$B22</f>
        <v>AI Strategy and Roadmap</v>
      </c>
      <c r="C22" t="str">
        <f>Survey!$D22</f>
        <v>AI Competitive Strategy</v>
      </c>
      <c r="D22" t="str">
        <f>Survey!$J22</f>
        <v>Leadership recognizes both parity and differentiation goals, but the portfolio mix is not deliberately managed</v>
      </c>
      <c r="E22">
        <f>Survey!$K22</f>
        <v>3</v>
      </c>
      <c r="F22" t="str">
        <f>Survey!$M22</f>
        <v>Partial Capability</v>
      </c>
      <c r="G22" t="str">
        <f>Survey!$N22</f>
        <v>REC-STR-003-L3</v>
      </c>
      <c r="H22" t="str">
        <f ca="1">IFERROR(_xludf.XLOOKUP(G22,tbl_RecLibrary[Recommendation ID],tbl_RecLibrary[Recommendation Title]),"")</f>
        <v/>
      </c>
      <c r="I22" t="str">
        <f ca="1">IFERROR(_xludf.XLOOKUP(G22,tbl_RecLibrary[Recommendation ID],tbl_RecLibrary[Recommended Action]),"")</f>
        <v/>
      </c>
      <c r="J22" t="str">
        <f ca="1">IFERROR(_xludf.XLOOKUP(G22,tbl_RecLibrary[Recommendation ID],tbl_RecLibrary[Priority]),"")</f>
        <v/>
      </c>
      <c r="K22" t="str">
        <f ca="1">IFERROR(_xludf.XLOOKUP(G22,tbl_RecLibrary[Recommendation ID],tbl_RecLibrary[Roadmap Horizon]),"")</f>
        <v/>
      </c>
    </row>
    <row r="23" spans="1:11" x14ac:dyDescent="0.25">
      <c r="A23" t="str">
        <f>Survey!$A23</f>
        <v>STR-004</v>
      </c>
      <c r="B23" t="str">
        <f>Survey!$B23</f>
        <v>AI Strategy and Roadmap</v>
      </c>
      <c r="C23" t="str">
        <f>Survey!$D23</f>
        <v>AI Portfolio Balance</v>
      </c>
      <c r="D23" t="str">
        <f>Survey!$J23</f>
        <v>One side dominates by default (e.g., all internal productivity, or all customer-facing pilots), with no strategic rationale</v>
      </c>
      <c r="E23">
        <f>Survey!$K23</f>
        <v>2</v>
      </c>
      <c r="F23" t="str">
        <f>Survey!$M23</f>
        <v>Imbalanced Portfolio</v>
      </c>
      <c r="G23" t="str">
        <f>Survey!$N23</f>
        <v>REC-STR-004-L1</v>
      </c>
      <c r="H23" t="str">
        <f ca="1">IFERROR(_xludf.XLOOKUP(G23,tbl_RecLibrary[Recommendation ID],tbl_RecLibrary[Recommendation Title]),"")</f>
        <v/>
      </c>
      <c r="I23" t="str">
        <f ca="1">IFERROR(_xludf.XLOOKUP(G23,tbl_RecLibrary[Recommendation ID],tbl_RecLibrary[Recommended Action]),"")</f>
        <v/>
      </c>
      <c r="J23" t="str">
        <f ca="1">IFERROR(_xludf.XLOOKUP(G23,tbl_RecLibrary[Recommendation ID],tbl_RecLibrary[Priority]),"")</f>
        <v/>
      </c>
      <c r="K23" t="str">
        <f ca="1">IFERROR(_xludf.XLOOKUP(G23,tbl_RecLibrary[Recommendation ID],tbl_RecLibrary[Roadmap Horizon]),"")</f>
        <v/>
      </c>
    </row>
    <row r="24" spans="1:11" x14ac:dyDescent="0.25">
      <c r="A24" t="str">
        <f>Survey!$A24</f>
        <v>STR-005</v>
      </c>
      <c r="B24" t="str">
        <f>Survey!$B24</f>
        <v>AI Strategy and Roadmap</v>
      </c>
      <c r="C24" t="str">
        <f>Survey!$D24</f>
        <v>Foundational Data Readiness</v>
      </c>
      <c r="D24" t="str">
        <f>Survey!$J24</f>
        <v>Data issues are known but not reflected as milestones, dependencies, or funded work in the roadmap</v>
      </c>
      <c r="E24">
        <f>Survey!$K24</f>
        <v>2</v>
      </c>
      <c r="F24" t="str">
        <f>Survey!$M24</f>
        <v>Unfunded Data Debt</v>
      </c>
      <c r="G24" t="str">
        <f>Survey!$N24</f>
        <v>REC-STR-005-L1</v>
      </c>
      <c r="H24" t="str">
        <f ca="1">IFERROR(_xludf.XLOOKUP(G24,tbl_RecLibrary[Recommendation ID],tbl_RecLibrary[Recommendation Title]),"")</f>
        <v/>
      </c>
      <c r="I24" t="str">
        <f ca="1">IFERROR(_xludf.XLOOKUP(G24,tbl_RecLibrary[Recommendation ID],tbl_RecLibrary[Recommended Action]),"")</f>
        <v/>
      </c>
      <c r="J24" t="str">
        <f ca="1">IFERROR(_xludf.XLOOKUP(G24,tbl_RecLibrary[Recommendation ID],tbl_RecLibrary[Priority]),"")</f>
        <v/>
      </c>
      <c r="K24" t="str">
        <f ca="1">IFERROR(_xludf.XLOOKUP(G24,tbl_RecLibrary[Recommendation ID],tbl_RecLibrary[Roadmap Horizon]),"")</f>
        <v/>
      </c>
    </row>
    <row r="25" spans="1:11" x14ac:dyDescent="0.25">
      <c r="A25" t="str">
        <f>Survey!$A25</f>
        <v>STR-006</v>
      </c>
      <c r="B25" t="str">
        <f>Survey!$B25</f>
        <v>AI Strategy and Roadmap</v>
      </c>
      <c r="C25" t="str">
        <f>Survey!$D25</f>
        <v>Portfolio Horizon Balance</v>
      </c>
      <c r="D25" t="str">
        <f>Survey!$J25</f>
        <v>Some short-term and long-term work exists, but the balance is accidental rather than deliberate</v>
      </c>
      <c r="E25">
        <f>Survey!$K25</f>
        <v>2</v>
      </c>
      <c r="F25" t="str">
        <f>Survey!$M25</f>
        <v>Unintentional Mix</v>
      </c>
      <c r="G25" t="str">
        <f>Survey!$N25</f>
        <v>REC-STR-006-L1</v>
      </c>
      <c r="H25" t="str">
        <f ca="1">IFERROR(_xludf.XLOOKUP(G25,tbl_RecLibrary[Recommendation ID],tbl_RecLibrary[Recommendation Title]),"")</f>
        <v/>
      </c>
      <c r="I25" t="str">
        <f ca="1">IFERROR(_xludf.XLOOKUP(G25,tbl_RecLibrary[Recommendation ID],tbl_RecLibrary[Recommended Action]),"")</f>
        <v/>
      </c>
      <c r="J25" t="str">
        <f ca="1">IFERROR(_xludf.XLOOKUP(G25,tbl_RecLibrary[Recommendation ID],tbl_RecLibrary[Priority]),"")</f>
        <v/>
      </c>
      <c r="K25" t="str">
        <f ca="1">IFERROR(_xludf.XLOOKUP(G25,tbl_RecLibrary[Recommendation ID],tbl_RecLibrary[Roadmap Horizon]),"")</f>
        <v/>
      </c>
    </row>
    <row r="26" spans="1:11" x14ac:dyDescent="0.25">
      <c r="A26" t="str">
        <f>Survey!$A26</f>
        <v>STR-007</v>
      </c>
      <c r="B26" t="str">
        <f>Survey!$B26</f>
        <v>AI Strategy and Roadmap</v>
      </c>
      <c r="C26" t="str">
        <f>Survey!$D26</f>
        <v>Roadmap Dependency Management</v>
      </c>
      <c r="D26" t="str">
        <f>Survey!$J26</f>
        <v>Dependencies are known informally by individuals, but not documented or used to sequence work</v>
      </c>
      <c r="E26">
        <f>Survey!$K26</f>
        <v>2</v>
      </c>
      <c r="F26" t="str">
        <f>Survey!$M26</f>
        <v>Tribal Knowledge</v>
      </c>
      <c r="G26" t="str">
        <f>Survey!$N26</f>
        <v>REC-STR-007-L1</v>
      </c>
      <c r="H26" t="str">
        <f ca="1">IFERROR(_xludf.XLOOKUP(G26,tbl_RecLibrary[Recommendation ID],tbl_RecLibrary[Recommendation Title]),"")</f>
        <v/>
      </c>
      <c r="I26" t="str">
        <f ca="1">IFERROR(_xludf.XLOOKUP(G26,tbl_RecLibrary[Recommendation ID],tbl_RecLibrary[Recommended Action]),"")</f>
        <v/>
      </c>
      <c r="J26" t="str">
        <f ca="1">IFERROR(_xludf.XLOOKUP(G26,tbl_RecLibrary[Recommendation ID],tbl_RecLibrary[Priority]),"")</f>
        <v/>
      </c>
      <c r="K26" t="str">
        <f ca="1">IFERROR(_xludf.XLOOKUP(G26,tbl_RecLibrary[Recommendation ID],tbl_RecLibrary[Roadmap Horizon]),"")</f>
        <v/>
      </c>
    </row>
    <row r="27" spans="1:11" x14ac:dyDescent="0.25">
      <c r="A27" t="str">
        <f>Survey!$A27</f>
        <v>STR-008</v>
      </c>
      <c r="B27" t="str">
        <f>Survey!$B27</f>
        <v>AI Strategy and Roadmap</v>
      </c>
      <c r="C27" t="str">
        <f>Survey!$D27</f>
        <v>Roadmap Refresh and Project Termination</v>
      </c>
      <c r="D27" t="str">
        <f>Survey!$J27</f>
        <v>The roadmap is reviewed periodically, but stop/continue decisions are inconsistent or politically difficult</v>
      </c>
      <c r="E27">
        <f>Survey!$K27</f>
        <v>3</v>
      </c>
      <c r="F27" t="str">
        <f>Survey!$M27</f>
        <v>Partial Capability</v>
      </c>
      <c r="G27" t="str">
        <f>Survey!$N27</f>
        <v>REC-STR-008-L3</v>
      </c>
      <c r="H27" t="str">
        <f ca="1">IFERROR(_xludf.XLOOKUP(G27,tbl_RecLibrary[Recommendation ID],tbl_RecLibrary[Recommendation Title]),"")</f>
        <v/>
      </c>
      <c r="I27" t="str">
        <f ca="1">IFERROR(_xludf.XLOOKUP(G27,tbl_RecLibrary[Recommendation ID],tbl_RecLibrary[Recommended Action]),"")</f>
        <v/>
      </c>
      <c r="J27" t="str">
        <f ca="1">IFERROR(_xludf.XLOOKUP(G27,tbl_RecLibrary[Recommendation ID],tbl_RecLibrary[Priority]),"")</f>
        <v/>
      </c>
      <c r="K27" t="str">
        <f ca="1">IFERROR(_xludf.XLOOKUP(G27,tbl_RecLibrary[Recommendation ID],tbl_RecLibrary[Roadmap Horizon]),"")</f>
        <v/>
      </c>
    </row>
    <row r="28" spans="1:11" x14ac:dyDescent="0.25">
      <c r="A28" t="str">
        <f>Survey!$A28</f>
        <v>STR-009</v>
      </c>
      <c r="B28" t="str">
        <f>Survey!$B28</f>
        <v>AI Strategy and Roadmap</v>
      </c>
      <c r="C28" t="str">
        <f>Survey!$D28</f>
        <v>AI Talent Strategy</v>
      </c>
      <c r="D28" t="str">
        <f>Survey!$J28</f>
        <v>Some internal AI capability exists, but key roles (e.g., ML engineering, MLOps, data engineering) are heavily dependent on contractors</v>
      </c>
      <c r="E28">
        <f>Survey!$K28</f>
        <v>2</v>
      </c>
      <c r="F28" t="str">
        <f>Survey!$M28</f>
        <v>External Dependency</v>
      </c>
      <c r="G28" t="str">
        <f>Survey!$N28</f>
        <v>REC-STR-009-L1</v>
      </c>
      <c r="H28" t="str">
        <f ca="1">IFERROR(_xludf.XLOOKUP(G28,tbl_RecLibrary[Recommendation ID],tbl_RecLibrary[Recommendation Title]),"")</f>
        <v/>
      </c>
      <c r="I28" t="str">
        <f ca="1">IFERROR(_xludf.XLOOKUP(G28,tbl_RecLibrary[Recommendation ID],tbl_RecLibrary[Recommended Action]),"")</f>
        <v/>
      </c>
      <c r="J28" t="str">
        <f ca="1">IFERROR(_xludf.XLOOKUP(G28,tbl_RecLibrary[Recommendation ID],tbl_RecLibrary[Priority]),"")</f>
        <v/>
      </c>
      <c r="K28" t="str">
        <f ca="1">IFERROR(_xludf.XLOOKUP(G28,tbl_RecLibrary[Recommendation ID],tbl_RecLibrary[Roadmap Horizon]),"")</f>
        <v/>
      </c>
    </row>
    <row r="29" spans="1:11" x14ac:dyDescent="0.25">
      <c r="A29" t="str">
        <f>Survey!$A29</f>
        <v>STR-010</v>
      </c>
      <c r="B29" t="str">
        <f>Survey!$B29</f>
        <v>AI Strategy and Roadmap</v>
      </c>
      <c r="C29" t="str">
        <f>Survey!$D29</f>
        <v>AI Cost Forecasting</v>
      </c>
      <c r="D29" t="str">
        <f>Survey!$J29</f>
        <v>AI run costs are continuously monitored, attributed to business outcomes, optimized through architecture and model selection, and integrated with FinOps practices</v>
      </c>
      <c r="E29">
        <f>Survey!$K29</f>
        <v>5</v>
      </c>
      <c r="F29" t="str">
        <f>Survey!$M29</f>
        <v>Optimized Capability</v>
      </c>
      <c r="G29" t="str">
        <f>Survey!$N29</f>
        <v>REC-STR-010-L5</v>
      </c>
      <c r="H29" t="str">
        <f ca="1">IFERROR(_xludf.XLOOKUP(G29,tbl_RecLibrary[Recommendation ID],tbl_RecLibrary[Recommendation Title]),"")</f>
        <v/>
      </c>
      <c r="I29" t="str">
        <f ca="1">IFERROR(_xludf.XLOOKUP(G29,tbl_RecLibrary[Recommendation ID],tbl_RecLibrary[Recommended Action]),"")</f>
        <v/>
      </c>
      <c r="J29" t="str">
        <f ca="1">IFERROR(_xludf.XLOOKUP(G29,tbl_RecLibrary[Recommendation ID],tbl_RecLibrary[Priority]),"")</f>
        <v/>
      </c>
      <c r="K29" t="str">
        <f ca="1">IFERROR(_xludf.XLOOKUP(G29,tbl_RecLibrary[Recommendation ID],tbl_RecLibrary[Roadmap Horizon]),"")</f>
        <v/>
      </c>
    </row>
    <row r="30" spans="1:11" x14ac:dyDescent="0.25">
      <c r="A30" t="str">
        <f>Survey!$A30</f>
        <v>STR-011</v>
      </c>
      <c r="B30" t="str">
        <f>Survey!$B30</f>
        <v>AI Strategy and Roadmap</v>
      </c>
      <c r="C30" t="str">
        <f>Survey!$D30</f>
        <v>Subject-Matter Expert Engagement</v>
      </c>
      <c r="D30" t="str">
        <f>Survey!$J30</f>
        <v>Some initiatives have allocated SME time, but the practice is inconsistent across the portfolio</v>
      </c>
      <c r="E30">
        <f>Survey!$K30</f>
        <v>3</v>
      </c>
      <c r="F30" t="str">
        <f>Survey!$M30</f>
        <v>Partial Capability</v>
      </c>
      <c r="G30" t="str">
        <f>Survey!$N30</f>
        <v>REC-STR-011-L3</v>
      </c>
      <c r="H30" t="str">
        <f ca="1">IFERROR(_xludf.XLOOKUP(G30,tbl_RecLibrary[Recommendation ID],tbl_RecLibrary[Recommendation Title]),"")</f>
        <v/>
      </c>
      <c r="I30" t="str">
        <f ca="1">IFERROR(_xludf.XLOOKUP(G30,tbl_RecLibrary[Recommendation ID],tbl_RecLibrary[Recommended Action]),"")</f>
        <v/>
      </c>
      <c r="J30" t="str">
        <f ca="1">IFERROR(_xludf.XLOOKUP(G30,tbl_RecLibrary[Recommendation ID],tbl_RecLibrary[Priority]),"")</f>
        <v/>
      </c>
      <c r="K30" t="str">
        <f ca="1">IFERROR(_xludf.XLOOKUP(G30,tbl_RecLibrary[Recommendation ID],tbl_RecLibrary[Roadmap Horizon]),"")</f>
        <v/>
      </c>
    </row>
    <row r="31" spans="1:11" x14ac:dyDescent="0.25">
      <c r="A31" t="str">
        <f>Survey!$A31</f>
        <v>STR-012</v>
      </c>
      <c r="B31" t="str">
        <f>Survey!$B31</f>
        <v>AI Strategy and Roadmap</v>
      </c>
      <c r="C31" t="str">
        <f>Survey!$D31</f>
        <v>End-User AI Enablement</v>
      </c>
      <c r="D31" t="str">
        <f>Survey!$J31</f>
        <v>A documented workforce AI enablement plan covers role-based training, communications, and adoption measurement for each major AI tool</v>
      </c>
      <c r="E31">
        <f>Survey!$K31</f>
        <v>4</v>
      </c>
      <c r="F31" t="str">
        <f>Survey!$M31</f>
        <v>Mature Capability</v>
      </c>
      <c r="G31" t="str">
        <f>Survey!$N31</f>
        <v>REC-STR-012-L4</v>
      </c>
      <c r="H31" t="str">
        <f ca="1">IFERROR(_xludf.XLOOKUP(G31,tbl_RecLibrary[Recommendation ID],tbl_RecLibrary[Recommendation Title]),"")</f>
        <v/>
      </c>
      <c r="I31" t="str">
        <f ca="1">IFERROR(_xludf.XLOOKUP(G31,tbl_RecLibrary[Recommendation ID],tbl_RecLibrary[Recommended Action]),"")</f>
        <v/>
      </c>
      <c r="J31" t="str">
        <f ca="1">IFERROR(_xludf.XLOOKUP(G31,tbl_RecLibrary[Recommendation ID],tbl_RecLibrary[Priority]),"")</f>
        <v/>
      </c>
      <c r="K31" t="str">
        <f ca="1">IFERROR(_xludf.XLOOKUP(G31,tbl_RecLibrary[Recommendation ID],tbl_RecLibrary[Roadmap Horizon]),"")</f>
        <v/>
      </c>
    </row>
    <row r="32" spans="1:11" x14ac:dyDescent="0.25">
      <c r="A32" t="str">
        <f>Survey!$A32</f>
        <v>STR-013</v>
      </c>
      <c r="B32" t="str">
        <f>Survey!$B32</f>
        <v>AI Strategy and Roadmap</v>
      </c>
      <c r="C32" t="str">
        <f>Survey!$D32</f>
        <v>AI Success Definition</v>
      </c>
      <c r="D32" t="str">
        <f>Survey!$J32</f>
        <v>Multiple success measures exist, but the balance between technical and business measures is inconsistent across initiatives</v>
      </c>
      <c r="E32">
        <f>Survey!$K32</f>
        <v>3</v>
      </c>
      <c r="F32" t="str">
        <f>Survey!$M32</f>
        <v>Partial Capability</v>
      </c>
      <c r="G32" t="str">
        <f>Survey!$N32</f>
        <v>REC-STR-013-L3</v>
      </c>
      <c r="H32" t="str">
        <f ca="1">IFERROR(_xludf.XLOOKUP(G32,tbl_RecLibrary[Recommendation ID],tbl_RecLibrary[Recommendation Title]),"")</f>
        <v/>
      </c>
      <c r="I32" t="str">
        <f ca="1">IFERROR(_xludf.XLOOKUP(G32,tbl_RecLibrary[Recommendation ID],tbl_RecLibrary[Recommended Action]),"")</f>
        <v/>
      </c>
      <c r="J32" t="str">
        <f ca="1">IFERROR(_xludf.XLOOKUP(G32,tbl_RecLibrary[Recommendation ID],tbl_RecLibrary[Priority]),"")</f>
        <v/>
      </c>
      <c r="K32" t="str">
        <f ca="1">IFERROR(_xludf.XLOOKUP(G32,tbl_RecLibrary[Recommendation ID],tbl_RecLibrary[Roadmap Horizon]),"")</f>
        <v/>
      </c>
    </row>
    <row r="33" spans="1:11" x14ac:dyDescent="0.25">
      <c r="A33" t="str">
        <f>Survey!$A33</f>
        <v>STR-014</v>
      </c>
      <c r="B33" t="str">
        <f>Survey!$B33</f>
        <v>AI Strategy and Roadmap</v>
      </c>
      <c r="C33" t="str">
        <f>Survey!$D33</f>
        <v>AI Investment Time Horizon</v>
      </c>
      <c r="D33" t="str">
        <f>Survey!$J33</f>
        <v>AI initiatives have defined time-to-value windows aligned to initiative type (e.g., pilot vs. platform vs. strategic bet)</v>
      </c>
      <c r="E33">
        <f>Survey!$K33</f>
        <v>4</v>
      </c>
      <c r="F33" t="str">
        <f>Survey!$M33</f>
        <v>Mature Capability</v>
      </c>
      <c r="G33" t="str">
        <f>Survey!$N33</f>
        <v>REC-STR-014-L4</v>
      </c>
      <c r="H33" t="str">
        <f ca="1">IFERROR(_xludf.XLOOKUP(G33,tbl_RecLibrary[Recommendation ID],tbl_RecLibrary[Recommendation Title]),"")</f>
        <v/>
      </c>
      <c r="I33" t="str">
        <f ca="1">IFERROR(_xludf.XLOOKUP(G33,tbl_RecLibrary[Recommendation ID],tbl_RecLibrary[Recommended Action]),"")</f>
        <v/>
      </c>
      <c r="J33" t="str">
        <f ca="1">IFERROR(_xludf.XLOOKUP(G33,tbl_RecLibrary[Recommendation ID],tbl_RecLibrary[Priority]),"")</f>
        <v/>
      </c>
      <c r="K33" t="str">
        <f ca="1">IFERROR(_xludf.XLOOKUP(G33,tbl_RecLibrary[Recommendation ID],tbl_RecLibrary[Roadmap Horizon]),"")</f>
        <v/>
      </c>
    </row>
    <row r="34" spans="1:11" x14ac:dyDescent="0.25">
      <c r="A34" t="str">
        <f>Survey!$A34</f>
        <v>STR-015</v>
      </c>
      <c r="B34" t="str">
        <f>Survey!$B34</f>
        <v>AI Strategy and Roadmap</v>
      </c>
      <c r="C34" t="str">
        <f>Survey!$D34</f>
        <v>Causal Attribution of AI Impact</v>
      </c>
      <c r="D34" t="str">
        <f>Survey!$J34</f>
        <v>AI initiatives use defined attribution methods (A/B tests, holdouts, baselines, or counterfactuals) suited to the use case</v>
      </c>
      <c r="E34">
        <f>Survey!$K34</f>
        <v>4</v>
      </c>
      <c r="F34" t="str">
        <f>Survey!$M34</f>
        <v>Mature Capability</v>
      </c>
      <c r="G34" t="str">
        <f>Survey!$N34</f>
        <v>REC-STR-015-L4</v>
      </c>
      <c r="H34" t="str">
        <f ca="1">IFERROR(_xludf.XLOOKUP(G34,tbl_RecLibrary[Recommendation ID],tbl_RecLibrary[Recommendation Title]),"")</f>
        <v/>
      </c>
      <c r="I34" t="str">
        <f ca="1">IFERROR(_xludf.XLOOKUP(G34,tbl_RecLibrary[Recommendation ID],tbl_RecLibrary[Recommended Action]),"")</f>
        <v/>
      </c>
      <c r="J34" t="str">
        <f ca="1">IFERROR(_xludf.XLOOKUP(G34,tbl_RecLibrary[Recommendation ID],tbl_RecLibrary[Priority]),"")</f>
        <v/>
      </c>
      <c r="K34" t="str">
        <f ca="1">IFERROR(_xludf.XLOOKUP(G34,tbl_RecLibrary[Recommendation ID],tbl_RecLibrary[Roadmap Horizon]),"")</f>
        <v/>
      </c>
    </row>
    <row r="35" spans="1:11" x14ac:dyDescent="0.25">
      <c r="A35" t="str">
        <f>Survey!$A35</f>
        <v>RAI-001</v>
      </c>
      <c r="B35" t="str">
        <f>Survey!$B35</f>
        <v>Responsible AI Guidelines</v>
      </c>
      <c r="C35" t="str">
        <f>Survey!$D35</f>
        <v>Fairness Definition</v>
      </c>
      <c r="D35" t="str">
        <f>Survey!$J35</f>
        <v>Some high-stakes use cases have documented fairness definitions, but coverage and rigor are inconsistent</v>
      </c>
      <c r="E35">
        <f>Survey!$K35</f>
        <v>3</v>
      </c>
      <c r="F35" t="str">
        <f>Survey!$M35</f>
        <v>Partial Capability</v>
      </c>
      <c r="G35" t="str">
        <f>Survey!$N35</f>
        <v>REC-RAI-001-L3</v>
      </c>
      <c r="H35" t="str">
        <f ca="1">IFERROR(_xludf.XLOOKUP(G35,tbl_RecLibrary[Recommendation ID],tbl_RecLibrary[Recommendation Title]),"")</f>
        <v/>
      </c>
      <c r="I35" t="str">
        <f ca="1">IFERROR(_xludf.XLOOKUP(G35,tbl_RecLibrary[Recommendation ID],tbl_RecLibrary[Recommended Action]),"")</f>
        <v/>
      </c>
      <c r="J35" t="str">
        <f ca="1">IFERROR(_xludf.XLOOKUP(G35,tbl_RecLibrary[Recommendation ID],tbl_RecLibrary[Priority]),"")</f>
        <v/>
      </c>
      <c r="K35" t="str">
        <f ca="1">IFERROR(_xludf.XLOOKUP(G35,tbl_RecLibrary[Recommendation ID],tbl_RecLibrary[Roadmap Horizon]),"")</f>
        <v/>
      </c>
    </row>
    <row r="36" spans="1:11" x14ac:dyDescent="0.25">
      <c r="A36" t="str">
        <f>Survey!$A36</f>
        <v>RAI-002</v>
      </c>
      <c r="B36" t="str">
        <f>Survey!$B36</f>
        <v>Responsible AI Guidelines</v>
      </c>
      <c r="C36" t="str">
        <f>Survey!$D36</f>
        <v>Training Data Quality and Representativeness</v>
      </c>
      <c r="D36" t="str">
        <f>Survey!$J36</f>
        <v>Training data is reviewed for representativeness and coverage gaps against defined population segments before model approval</v>
      </c>
      <c r="E36">
        <f>Survey!$K36</f>
        <v>4</v>
      </c>
      <c r="F36" t="str">
        <f>Survey!$M36</f>
        <v>Mature Capability</v>
      </c>
      <c r="G36" t="str">
        <f>Survey!$N36</f>
        <v>REC-RAI-002-L4</v>
      </c>
      <c r="H36" t="str">
        <f ca="1">IFERROR(_xludf.XLOOKUP(G36,tbl_RecLibrary[Recommendation ID],tbl_RecLibrary[Recommendation Title]),"")</f>
        <v/>
      </c>
      <c r="I36" t="str">
        <f ca="1">IFERROR(_xludf.XLOOKUP(G36,tbl_RecLibrary[Recommendation ID],tbl_RecLibrary[Recommended Action]),"")</f>
        <v/>
      </c>
      <c r="J36" t="str">
        <f ca="1">IFERROR(_xludf.XLOOKUP(G36,tbl_RecLibrary[Recommendation ID],tbl_RecLibrary[Priority]),"")</f>
        <v/>
      </c>
      <c r="K36" t="str">
        <f ca="1">IFERROR(_xludf.XLOOKUP(G36,tbl_RecLibrary[Recommendation ID],tbl_RecLibrary[Roadmap Horizon]),"")</f>
        <v/>
      </c>
    </row>
    <row r="37" spans="1:11" x14ac:dyDescent="0.25">
      <c r="A37" t="str">
        <f>Survey!$A37</f>
        <v>RAI-003</v>
      </c>
      <c r="B37" t="str">
        <f>Survey!$B37</f>
        <v>Responsible AI Guidelines</v>
      </c>
      <c r="C37" t="str">
        <f>Survey!$D37</f>
        <v>Production Bias Auditing</v>
      </c>
      <c r="D37" t="str">
        <f>Survey!$J37</f>
        <v>High-risk AI models are audited for bias on a defined cadence, with documented thresholds and remediation steps</v>
      </c>
      <c r="E37">
        <f>Survey!$K37</f>
        <v>4</v>
      </c>
      <c r="F37" t="str">
        <f>Survey!$M37</f>
        <v>Mature Capability</v>
      </c>
      <c r="G37" t="str">
        <f>Survey!$N37</f>
        <v>REC-RAI-003-L4</v>
      </c>
      <c r="H37" t="str">
        <f ca="1">IFERROR(_xludf.XLOOKUP(G37,tbl_RecLibrary[Recommendation ID],tbl_RecLibrary[Recommendation Title]),"")</f>
        <v/>
      </c>
      <c r="I37" t="str">
        <f ca="1">IFERROR(_xludf.XLOOKUP(G37,tbl_RecLibrary[Recommendation ID],tbl_RecLibrary[Recommended Action]),"")</f>
        <v/>
      </c>
      <c r="J37" t="str">
        <f ca="1">IFERROR(_xludf.XLOOKUP(G37,tbl_RecLibrary[Recommendation ID],tbl_RecLibrary[Priority]),"")</f>
        <v/>
      </c>
      <c r="K37" t="str">
        <f ca="1">IFERROR(_xludf.XLOOKUP(G37,tbl_RecLibrary[Recommendation ID],tbl_RecLibrary[Roadmap Horizon]),"")</f>
        <v/>
      </c>
    </row>
    <row r="38" spans="1:11" x14ac:dyDescent="0.25">
      <c r="A38" t="str">
        <f>Survey!$A38</f>
        <v>RAI-004</v>
      </c>
      <c r="B38" t="str">
        <f>Survey!$B38</f>
        <v>Responsible AI Guidelines</v>
      </c>
      <c r="C38" t="str">
        <f>Survey!$D38</f>
        <v>Bias Remediation</v>
      </c>
      <c r="D38" t="str">
        <f>Survey!$J38</f>
        <v>A response approach exists, but it is informal, inconsistently applied, or untested</v>
      </c>
      <c r="E38">
        <f>Survey!$K38</f>
        <v>3</v>
      </c>
      <c r="F38" t="str">
        <f>Survey!$M38</f>
        <v>Partial Capability</v>
      </c>
      <c r="G38" t="str">
        <f>Survey!$N38</f>
        <v>REC-RAI-004-L3</v>
      </c>
      <c r="H38" t="str">
        <f ca="1">IFERROR(_xludf.XLOOKUP(G38,tbl_RecLibrary[Recommendation ID],tbl_RecLibrary[Recommendation Title]),"")</f>
        <v/>
      </c>
      <c r="I38" t="str">
        <f ca="1">IFERROR(_xludf.XLOOKUP(G38,tbl_RecLibrary[Recommendation ID],tbl_RecLibrary[Recommended Action]),"")</f>
        <v/>
      </c>
      <c r="J38" t="str">
        <f ca="1">IFERROR(_xludf.XLOOKUP(G38,tbl_RecLibrary[Recommendation ID],tbl_RecLibrary[Priority]),"")</f>
        <v/>
      </c>
      <c r="K38" t="str">
        <f ca="1">IFERROR(_xludf.XLOOKUP(G38,tbl_RecLibrary[Recommendation ID],tbl_RecLibrary[Roadmap Horizon]),"")</f>
        <v/>
      </c>
    </row>
    <row r="39" spans="1:11" x14ac:dyDescent="0.25">
      <c r="A39" t="str">
        <f>Survey!$A39</f>
        <v>RAI-005</v>
      </c>
      <c r="B39" t="str">
        <f>Survey!$B39</f>
        <v>Responsible AI Guidelines</v>
      </c>
      <c r="C39" t="str">
        <f>Survey!$D39</f>
        <v>AI Transparency Documentation</v>
      </c>
      <c r="D39" t="str">
        <f>Survey!$J39</f>
        <v>A standard model card or transparency note format exists, but coverage of the live AI portfolio is incomplete</v>
      </c>
      <c r="E39">
        <f>Survey!$K39</f>
        <v>3</v>
      </c>
      <c r="F39" t="str">
        <f>Survey!$M39</f>
        <v>Partial Capability</v>
      </c>
      <c r="G39" t="str">
        <f>Survey!$N39</f>
        <v>REC-RAI-005-L3</v>
      </c>
      <c r="H39" t="str">
        <f ca="1">IFERROR(_xludf.XLOOKUP(G39,tbl_RecLibrary[Recommendation ID],tbl_RecLibrary[Recommendation Title]),"")</f>
        <v/>
      </c>
      <c r="I39" t="str">
        <f ca="1">IFERROR(_xludf.XLOOKUP(G39,tbl_RecLibrary[Recommendation ID],tbl_RecLibrary[Recommended Action]),"")</f>
        <v/>
      </c>
      <c r="J39" t="str">
        <f ca="1">IFERROR(_xludf.XLOOKUP(G39,tbl_RecLibrary[Recommendation ID],tbl_RecLibrary[Priority]),"")</f>
        <v/>
      </c>
      <c r="K39" t="str">
        <f ca="1">IFERROR(_xludf.XLOOKUP(G39,tbl_RecLibrary[Recommendation ID],tbl_RecLibrary[Roadmap Horizon]),"")</f>
        <v/>
      </c>
    </row>
    <row r="40" spans="1:11" x14ac:dyDescent="0.25">
      <c r="A40" t="str">
        <f>Survey!$A40</f>
        <v>RAI-006</v>
      </c>
      <c r="B40" t="str">
        <f>Survey!$B40</f>
        <v>Responsible AI Guidelines</v>
      </c>
      <c r="C40" t="str">
        <f>Survey!$D40</f>
        <v>Plain-Language Explanation of AI Decisions</v>
      </c>
      <c r="D40" t="str">
        <f>Survey!$J40</f>
        <v>High-impact AI decisions include documented, plain-language explanations accessible to affected users on request</v>
      </c>
      <c r="E40">
        <f>Survey!$K40</f>
        <v>4</v>
      </c>
      <c r="F40" t="str">
        <f>Survey!$M40</f>
        <v>Mature Capability</v>
      </c>
      <c r="G40" t="str">
        <f>Survey!$N40</f>
        <v>REC-RAI-006-L4</v>
      </c>
      <c r="H40" t="str">
        <f ca="1">IFERROR(_xludf.XLOOKUP(G40,tbl_RecLibrary[Recommendation ID],tbl_RecLibrary[Recommendation Title]),"")</f>
        <v/>
      </c>
      <c r="I40" t="str">
        <f ca="1">IFERROR(_xludf.XLOOKUP(G40,tbl_RecLibrary[Recommendation ID],tbl_RecLibrary[Recommended Action]),"")</f>
        <v/>
      </c>
      <c r="J40" t="str">
        <f ca="1">IFERROR(_xludf.XLOOKUP(G40,tbl_RecLibrary[Recommendation ID],tbl_RecLibrary[Priority]),"")</f>
        <v/>
      </c>
      <c r="K40" t="str">
        <f ca="1">IFERROR(_xludf.XLOOKUP(G40,tbl_RecLibrary[Recommendation ID],tbl_RecLibrary[Roadmap Horizon]),"")</f>
        <v/>
      </c>
    </row>
    <row r="41" spans="1:11" x14ac:dyDescent="0.25">
      <c r="A41" t="str">
        <f>Survey!$A41</f>
        <v>RAI-007</v>
      </c>
      <c r="B41" t="str">
        <f>Survey!$B41</f>
        <v>Responsible AI Guidelines</v>
      </c>
      <c r="C41" t="str">
        <f>Survey!$D41</f>
        <v>Human Appeal Process</v>
      </c>
      <c r="D41" t="str">
        <f>Survey!$J41</f>
        <v>An appeal process exists for some use cases, but it is not well-communicated, timely, or consistently applied</v>
      </c>
      <c r="E41">
        <f>Survey!$K41</f>
        <v>3</v>
      </c>
      <c r="F41" t="str">
        <f>Survey!$M41</f>
        <v>Partial Capability</v>
      </c>
      <c r="G41" t="str">
        <f>Survey!$N41</f>
        <v>REC-RAI-007-L3</v>
      </c>
      <c r="H41" t="str">
        <f ca="1">IFERROR(_xludf.XLOOKUP(G41,tbl_RecLibrary[Recommendation ID],tbl_RecLibrary[Recommendation Title]),"")</f>
        <v/>
      </c>
      <c r="I41" t="str">
        <f ca="1">IFERROR(_xludf.XLOOKUP(G41,tbl_RecLibrary[Recommendation ID],tbl_RecLibrary[Recommended Action]),"")</f>
        <v/>
      </c>
      <c r="J41" t="str">
        <f ca="1">IFERROR(_xludf.XLOOKUP(G41,tbl_RecLibrary[Recommendation ID],tbl_RecLibrary[Priority]),"")</f>
        <v/>
      </c>
      <c r="K41" t="str">
        <f ca="1">IFERROR(_xludf.XLOOKUP(G41,tbl_RecLibrary[Recommendation ID],tbl_RecLibrary[Roadmap Horizon]),"")</f>
        <v/>
      </c>
    </row>
    <row r="42" spans="1:11" x14ac:dyDescent="0.25">
      <c r="A42" t="str">
        <f>Survey!$A42</f>
        <v>RAI-008</v>
      </c>
      <c r="B42" t="str">
        <f>Survey!$B42</f>
        <v>Responsible AI Guidelines</v>
      </c>
      <c r="C42" t="str">
        <f>Survey!$D42</f>
        <v>Vendor Explainability Disclosure</v>
      </c>
      <c r="D42" t="str">
        <f>Survey!$J42</f>
        <v>Some procurement decisions evaluate vendor explainability, but the practice is not standardized</v>
      </c>
      <c r="E42">
        <f>Survey!$K42</f>
        <v>3</v>
      </c>
      <c r="F42" t="str">
        <f>Survey!$M42</f>
        <v>Partial Capability</v>
      </c>
      <c r="G42" t="str">
        <f>Survey!$N42</f>
        <v>REC-RAI-008-L3</v>
      </c>
      <c r="H42" t="str">
        <f ca="1">IFERROR(_xludf.XLOOKUP(G42,tbl_RecLibrary[Recommendation ID],tbl_RecLibrary[Recommendation Title]),"")</f>
        <v/>
      </c>
      <c r="I42" t="str">
        <f ca="1">IFERROR(_xludf.XLOOKUP(G42,tbl_RecLibrary[Recommendation ID],tbl_RecLibrary[Recommended Action]),"")</f>
        <v/>
      </c>
      <c r="J42" t="str">
        <f ca="1">IFERROR(_xludf.XLOOKUP(G42,tbl_RecLibrary[Recommendation ID],tbl_RecLibrary[Priority]),"")</f>
        <v/>
      </c>
      <c r="K42" t="str">
        <f ca="1">IFERROR(_xludf.XLOOKUP(G42,tbl_RecLibrary[Recommendation ID],tbl_RecLibrary[Roadmap Horizon]),"")</f>
        <v/>
      </c>
    </row>
    <row r="43" spans="1:11" x14ac:dyDescent="0.25">
      <c r="A43" t="str">
        <f>Survey!$A43</f>
        <v>RAI-009</v>
      </c>
      <c r="B43" t="str">
        <f>Survey!$B43</f>
        <v>Responsible AI Guidelines</v>
      </c>
      <c r="C43" t="str">
        <f>Survey!$D43</f>
        <v>AI Red-Teaming and Adversarial Testing</v>
      </c>
      <c r="D43" t="str">
        <f>Survey!$J43</f>
        <v>Red-teaming happens for some high-impact use cases, but coverage and rigor are inconsistent</v>
      </c>
      <c r="E43">
        <f>Survey!$K43</f>
        <v>3</v>
      </c>
      <c r="F43" t="str">
        <f>Survey!$M43</f>
        <v>Partial Capability</v>
      </c>
      <c r="G43" t="str">
        <f>Survey!$N43</f>
        <v>REC-RAI-009-L3</v>
      </c>
      <c r="H43" t="str">
        <f ca="1">IFERROR(_xludf.XLOOKUP(G43,tbl_RecLibrary[Recommendation ID],tbl_RecLibrary[Recommendation Title]),"")</f>
        <v/>
      </c>
      <c r="I43" t="str">
        <f ca="1">IFERROR(_xludf.XLOOKUP(G43,tbl_RecLibrary[Recommendation ID],tbl_RecLibrary[Recommended Action]),"")</f>
        <v/>
      </c>
      <c r="J43" t="str">
        <f ca="1">IFERROR(_xludf.XLOOKUP(G43,tbl_RecLibrary[Recommendation ID],tbl_RecLibrary[Priority]),"")</f>
        <v/>
      </c>
      <c r="K43" t="str">
        <f ca="1">IFERROR(_xludf.XLOOKUP(G43,tbl_RecLibrary[Recommendation ID],tbl_RecLibrary[Roadmap Horizon]),"")</f>
        <v/>
      </c>
    </row>
    <row r="44" spans="1:11" x14ac:dyDescent="0.25">
      <c r="A44" t="str">
        <f>Survey!$A44</f>
        <v>RAI-010</v>
      </c>
      <c r="B44" t="str">
        <f>Survey!$B44</f>
        <v>Responsible AI Guidelines</v>
      </c>
      <c r="C44" t="str">
        <f>Survey!$D44</f>
        <v>Automated Drift Detection</v>
      </c>
      <c r="D44" t="str">
        <f>Survey!$J44</f>
        <v>Drift is checked manually or only when an issue is reported, with no automated alerts</v>
      </c>
      <c r="E44">
        <f>Survey!$K44</f>
        <v>2</v>
      </c>
      <c r="F44" t="str">
        <f>Survey!$M44</f>
        <v>Manual Drift Review Only</v>
      </c>
      <c r="G44" t="str">
        <f>Survey!$N44</f>
        <v>REC-RAI-010-L1</v>
      </c>
      <c r="H44" t="str">
        <f ca="1">IFERROR(_xludf.XLOOKUP(G44,tbl_RecLibrary[Recommendation ID],tbl_RecLibrary[Recommendation Title]),"")</f>
        <v/>
      </c>
      <c r="I44" t="str">
        <f ca="1">IFERROR(_xludf.XLOOKUP(G44,tbl_RecLibrary[Recommendation ID],tbl_RecLibrary[Recommended Action]),"")</f>
        <v/>
      </c>
      <c r="J44" t="str">
        <f ca="1">IFERROR(_xludf.XLOOKUP(G44,tbl_RecLibrary[Recommendation ID],tbl_RecLibrary[Priority]),"")</f>
        <v/>
      </c>
      <c r="K44" t="str">
        <f ca="1">IFERROR(_xludf.XLOOKUP(G44,tbl_RecLibrary[Recommendation ID],tbl_RecLibrary[Roadmap Horizon]),"")</f>
        <v/>
      </c>
    </row>
    <row r="45" spans="1:11" x14ac:dyDescent="0.25">
      <c r="A45" t="str">
        <f>Survey!$A45</f>
        <v>RAI-011</v>
      </c>
      <c r="B45" t="str">
        <f>Survey!$B45</f>
        <v>Responsible AI Guidelines</v>
      </c>
      <c r="C45" t="str">
        <f>Survey!$D45</f>
        <v>AI-Specific Security Controls</v>
      </c>
      <c r="D45" t="str">
        <f>Survey!$J45</f>
        <v>A defined AI security architecture addresses AI-specific threats with input/output guardrails, training-data integrity controls, and AI-aware monitoring</v>
      </c>
      <c r="E45">
        <f>Survey!$K45</f>
        <v>4</v>
      </c>
      <c r="F45" t="str">
        <f>Survey!$M45</f>
        <v>Mature Capability</v>
      </c>
      <c r="G45" t="str">
        <f>Survey!$N45</f>
        <v>REC-RAI-011-L4</v>
      </c>
      <c r="H45" t="str">
        <f ca="1">IFERROR(_xludf.XLOOKUP(G45,tbl_RecLibrary[Recommendation ID],tbl_RecLibrary[Recommendation Title]),"")</f>
        <v/>
      </c>
      <c r="I45" t="str">
        <f ca="1">IFERROR(_xludf.XLOOKUP(G45,tbl_RecLibrary[Recommendation ID],tbl_RecLibrary[Recommended Action]),"")</f>
        <v/>
      </c>
      <c r="J45" t="str">
        <f ca="1">IFERROR(_xludf.XLOOKUP(G45,tbl_RecLibrary[Recommendation ID],tbl_RecLibrary[Priority]),"")</f>
        <v/>
      </c>
      <c r="K45" t="str">
        <f ca="1">IFERROR(_xludf.XLOOKUP(G45,tbl_RecLibrary[Recommendation ID],tbl_RecLibrary[Roadmap Horizon]),"")</f>
        <v/>
      </c>
    </row>
    <row r="46" spans="1:11" x14ac:dyDescent="0.25">
      <c r="A46" t="str">
        <f>Survey!$A46</f>
        <v>RAI-012</v>
      </c>
      <c r="B46" t="str">
        <f>Survey!$B46</f>
        <v>Responsible AI Guidelines</v>
      </c>
      <c r="C46" t="str">
        <f>Survey!$D46</f>
        <v>Emergency Model Disablement</v>
      </c>
      <c r="D46" t="str">
        <f>Survey!$J46</f>
        <v>High-impact AI models have documented kill-switch procedures with defined authority, technical means, and target response times</v>
      </c>
      <c r="E46">
        <f>Survey!$K46</f>
        <v>4</v>
      </c>
      <c r="F46" t="str">
        <f>Survey!$M46</f>
        <v>Mature Capability</v>
      </c>
      <c r="G46" t="str">
        <f>Survey!$N46</f>
        <v>REC-RAI-012-L4</v>
      </c>
      <c r="H46" t="str">
        <f ca="1">IFERROR(_xludf.XLOOKUP(G46,tbl_RecLibrary[Recommendation ID],tbl_RecLibrary[Recommendation Title]),"")</f>
        <v/>
      </c>
      <c r="I46" t="str">
        <f ca="1">IFERROR(_xludf.XLOOKUP(G46,tbl_RecLibrary[Recommendation ID],tbl_RecLibrary[Recommended Action]),"")</f>
        <v/>
      </c>
      <c r="J46" t="str">
        <f ca="1">IFERROR(_xludf.XLOOKUP(G46,tbl_RecLibrary[Recommendation ID],tbl_RecLibrary[Priority]),"")</f>
        <v/>
      </c>
      <c r="K46" t="str">
        <f ca="1">IFERROR(_xludf.XLOOKUP(G46,tbl_RecLibrary[Recommendation ID],tbl_RecLibrary[Roadmap Horizon]),"")</f>
        <v/>
      </c>
    </row>
    <row r="47" spans="1:11" x14ac:dyDescent="0.25">
      <c r="A47" t="str">
        <f>Survey!$A47</f>
        <v>RAI-013</v>
      </c>
      <c r="B47" t="str">
        <f>Survey!$B47</f>
        <v>Responsible AI Guidelines</v>
      </c>
      <c r="C47" t="str">
        <f>Survey!$D47</f>
        <v>AI System Accountability</v>
      </c>
      <c r="D47" t="str">
        <f>Survey!$J47</f>
        <v>Accountable owners are named for some AI systems, but coverage is inconsistent</v>
      </c>
      <c r="E47">
        <f>Survey!$K47</f>
        <v>3</v>
      </c>
      <c r="F47" t="str">
        <f>Survey!$M47</f>
        <v>Partial Capability</v>
      </c>
      <c r="G47" t="str">
        <f>Survey!$N47</f>
        <v>REC-RAI-013-L3</v>
      </c>
      <c r="H47" t="str">
        <f ca="1">IFERROR(_xludf.XLOOKUP(G47,tbl_RecLibrary[Recommendation ID],tbl_RecLibrary[Recommendation Title]),"")</f>
        <v/>
      </c>
      <c r="I47" t="str">
        <f ca="1">IFERROR(_xludf.XLOOKUP(G47,tbl_RecLibrary[Recommendation ID],tbl_RecLibrary[Recommended Action]),"")</f>
        <v/>
      </c>
      <c r="J47" t="str">
        <f ca="1">IFERROR(_xludf.XLOOKUP(G47,tbl_RecLibrary[Recommendation ID],tbl_RecLibrary[Priority]),"")</f>
        <v/>
      </c>
      <c r="K47" t="str">
        <f ca="1">IFERROR(_xludf.XLOOKUP(G47,tbl_RecLibrary[Recommendation ID],tbl_RecLibrary[Roadmap Horizon]),"")</f>
        <v/>
      </c>
    </row>
    <row r="48" spans="1:11" x14ac:dyDescent="0.25">
      <c r="A48" t="str">
        <f>Survey!$A48</f>
        <v>RAI-014</v>
      </c>
      <c r="B48" t="str">
        <f>Survey!$B48</f>
        <v>Responsible AI Guidelines</v>
      </c>
      <c r="C48" t="str">
        <f>Survey!$D48</f>
        <v>Data Minimization Practice</v>
      </c>
      <c r="D48" t="str">
        <f>Survey!$J48</f>
        <v>Some AI projects apply data minimization, but coverage and rigor are inconsistent</v>
      </c>
      <c r="E48">
        <f>Survey!$K48</f>
        <v>3</v>
      </c>
      <c r="F48" t="str">
        <f>Survey!$M48</f>
        <v>Partial Capability</v>
      </c>
      <c r="G48" t="str">
        <f>Survey!$N48</f>
        <v>REC-RAI-014-L3</v>
      </c>
      <c r="H48" t="str">
        <f ca="1">IFERROR(_xludf.XLOOKUP(G48,tbl_RecLibrary[Recommendation ID],tbl_RecLibrary[Recommendation Title]),"")</f>
        <v/>
      </c>
      <c r="I48" t="str">
        <f ca="1">IFERROR(_xludf.XLOOKUP(G48,tbl_RecLibrary[Recommendation ID],tbl_RecLibrary[Recommended Action]),"")</f>
        <v/>
      </c>
      <c r="J48" t="str">
        <f ca="1">IFERROR(_xludf.XLOOKUP(G48,tbl_RecLibrary[Recommendation ID],tbl_RecLibrary[Priority]),"")</f>
        <v/>
      </c>
      <c r="K48" t="str">
        <f ca="1">IFERROR(_xludf.XLOOKUP(G48,tbl_RecLibrary[Recommendation ID],tbl_RecLibrary[Roadmap Horizon]),"")</f>
        <v/>
      </c>
    </row>
    <row r="49" spans="1:11" x14ac:dyDescent="0.25">
      <c r="A49" t="str">
        <f>Survey!$A49</f>
        <v>RAI-015</v>
      </c>
      <c r="B49" t="str">
        <f>Survey!$B49</f>
        <v>Responsible AI Guidelines</v>
      </c>
      <c r="C49" t="str">
        <f>Survey!$D49</f>
        <v>Consent-Based Data Use</v>
      </c>
      <c r="D49" t="str">
        <f>Survey!$J49</f>
        <v>Consent is considered informally, but there is no documented mapping from training data to consent basis</v>
      </c>
      <c r="E49">
        <f>Survey!$K49</f>
        <v>2</v>
      </c>
      <c r="F49" t="str">
        <f>Survey!$M49</f>
        <v>Untracked Consent</v>
      </c>
      <c r="G49" t="str">
        <f>Survey!$N49</f>
        <v>REC-RAI-015-L1</v>
      </c>
      <c r="H49" t="str">
        <f ca="1">IFERROR(_xludf.XLOOKUP(G49,tbl_RecLibrary[Recommendation ID],tbl_RecLibrary[Recommendation Title]),"")</f>
        <v/>
      </c>
      <c r="I49" t="str">
        <f ca="1">IFERROR(_xludf.XLOOKUP(G49,tbl_RecLibrary[Recommendation ID],tbl_RecLibrary[Recommended Action]),"")</f>
        <v/>
      </c>
      <c r="J49" t="str">
        <f ca="1">IFERROR(_xludf.XLOOKUP(G49,tbl_RecLibrary[Recommendation ID],tbl_RecLibrary[Priority]),"")</f>
        <v/>
      </c>
      <c r="K49" t="str">
        <f ca="1">IFERROR(_xludf.XLOOKUP(G49,tbl_RecLibrary[Recommendation ID],tbl_RecLibrary[Roadmap Horizon]),"")</f>
        <v/>
      </c>
    </row>
    <row r="50" spans="1:11" x14ac:dyDescent="0.25">
      <c r="A50" t="str">
        <f>Survey!$A50</f>
        <v>RAI-016</v>
      </c>
      <c r="B50" t="str">
        <f>Survey!$B50</f>
        <v>Responsible AI Guidelines</v>
      </c>
      <c r="C50" t="str">
        <f>Survey!$D50</f>
        <v>AI Sustainability Reporting</v>
      </c>
      <c r="D50" t="str">
        <f>Survey!$J50</f>
        <v>AI energy or carbon footprint is tracked for major training and inference workloads and included in periodic reporting</v>
      </c>
      <c r="E50">
        <f>Survey!$K50</f>
        <v>4</v>
      </c>
      <c r="F50" t="str">
        <f>Survey!$M50</f>
        <v>Mature Capability</v>
      </c>
      <c r="G50" t="str">
        <f>Survey!$N50</f>
        <v>REC-RAI-016-L4</v>
      </c>
      <c r="H50" t="str">
        <f ca="1">IFERROR(_xludf.XLOOKUP(G50,tbl_RecLibrary[Recommendation ID],tbl_RecLibrary[Recommendation Title]),"")</f>
        <v/>
      </c>
      <c r="I50" t="str">
        <f ca="1">IFERROR(_xludf.XLOOKUP(G50,tbl_RecLibrary[Recommendation ID],tbl_RecLibrary[Recommended Action]),"")</f>
        <v/>
      </c>
      <c r="J50" t="str">
        <f ca="1">IFERROR(_xludf.XLOOKUP(G50,tbl_RecLibrary[Recommendation ID],tbl_RecLibrary[Priority]),"")</f>
        <v/>
      </c>
      <c r="K50" t="str">
        <f ca="1">IFERROR(_xludf.XLOOKUP(G50,tbl_RecLibrary[Recommendation ID],tbl_RecLibrary[Roadmap Horizon]),"")</f>
        <v/>
      </c>
    </row>
    <row r="51" spans="1:11" x14ac:dyDescent="0.25">
      <c r="A51" t="str">
        <f>Survey!$A51</f>
        <v>PMF-001</v>
      </c>
      <c r="B51" t="str">
        <f>Survey!$B51</f>
        <v>Performance Measurement Framework</v>
      </c>
      <c r="C51" t="str">
        <f>Survey!$D51</f>
        <v>AI ROI Calculation</v>
      </c>
      <c r="D51" t="str">
        <f>Survey!$J51</f>
        <v>AI initiatives use a documented ROI methodology covering build cost, run cost, value lift, and risk-adjusted returns</v>
      </c>
      <c r="E51">
        <f>Survey!$K51</f>
        <v>4</v>
      </c>
      <c r="F51" t="str">
        <f>Survey!$M51</f>
        <v>Mature Capability</v>
      </c>
      <c r="G51" t="str">
        <f>Survey!$N51</f>
        <v>REC-PMF-001-L4</v>
      </c>
      <c r="H51" t="str">
        <f ca="1">IFERROR(_xludf.XLOOKUP(G51,tbl_RecLibrary[Recommendation ID],tbl_RecLibrary[Recommendation Title]),"")</f>
        <v/>
      </c>
      <c r="I51" t="str">
        <f ca="1">IFERROR(_xludf.XLOOKUP(G51,tbl_RecLibrary[Recommendation ID],tbl_RecLibrary[Recommended Action]),"")</f>
        <v/>
      </c>
      <c r="J51" t="str">
        <f ca="1">IFERROR(_xludf.XLOOKUP(G51,tbl_RecLibrary[Recommendation ID],tbl_RecLibrary[Priority]),"")</f>
        <v/>
      </c>
      <c r="K51" t="str">
        <f ca="1">IFERROR(_xludf.XLOOKUP(G51,tbl_RecLibrary[Recommendation ID],tbl_RecLibrary[Roadmap Horizon]),"")</f>
        <v/>
      </c>
    </row>
    <row r="52" spans="1:11" x14ac:dyDescent="0.25">
      <c r="A52" t="str">
        <f>Survey!$A52</f>
        <v>PMF-002</v>
      </c>
      <c r="B52" t="str">
        <f>Survey!$B52</f>
        <v>Performance Measurement Framework</v>
      </c>
      <c r="C52" t="str">
        <f>Survey!$D52</f>
        <v>Time-to-Value Measurement</v>
      </c>
      <c r="D52" t="str">
        <f>Survey!$J52</f>
        <v>Some initiatives track time-to-value, but definitions and data quality are inconsistent</v>
      </c>
      <c r="E52">
        <f>Survey!$K52</f>
        <v>3</v>
      </c>
      <c r="F52" t="str">
        <f>Survey!$M52</f>
        <v>Partial Capability</v>
      </c>
      <c r="G52" t="str">
        <f>Survey!$N52</f>
        <v>REC-PMF-002-L3</v>
      </c>
      <c r="H52" t="str">
        <f ca="1">IFERROR(_xludf.XLOOKUP(G52,tbl_RecLibrary[Recommendation ID],tbl_RecLibrary[Recommendation Title]),"")</f>
        <v/>
      </c>
      <c r="I52" t="str">
        <f ca="1">IFERROR(_xludf.XLOOKUP(G52,tbl_RecLibrary[Recommendation ID],tbl_RecLibrary[Recommended Action]),"")</f>
        <v/>
      </c>
      <c r="J52" t="str">
        <f ca="1">IFERROR(_xludf.XLOOKUP(G52,tbl_RecLibrary[Recommendation ID],tbl_RecLibrary[Priority]),"")</f>
        <v/>
      </c>
      <c r="K52" t="str">
        <f ca="1">IFERROR(_xludf.XLOOKUP(G52,tbl_RecLibrary[Recommendation ID],tbl_RecLibrary[Roadmap Horizon]),"")</f>
        <v/>
      </c>
    </row>
    <row r="53" spans="1:11" x14ac:dyDescent="0.25">
      <c r="A53" t="str">
        <f>Survey!$A53</f>
        <v>PMF-003</v>
      </c>
      <c r="B53" t="str">
        <f>Survey!$B53</f>
        <v>Performance Measurement Framework</v>
      </c>
      <c r="C53" t="str">
        <f>Survey!$D53</f>
        <v>Workforce Productivity Tracking</v>
      </c>
      <c r="D53" t="str">
        <f>Survey!$J53</f>
        <v>Some AI tools have productivity measures, but coverage and methodology vary</v>
      </c>
      <c r="E53">
        <f>Survey!$K53</f>
        <v>3</v>
      </c>
      <c r="F53" t="str">
        <f>Survey!$M53</f>
        <v>Partial Capability</v>
      </c>
      <c r="G53" t="str">
        <f>Survey!$N53</f>
        <v>REC-PMF-003-L3</v>
      </c>
      <c r="H53" t="str">
        <f ca="1">IFERROR(_xludf.XLOOKUP(G53,tbl_RecLibrary[Recommendation ID],tbl_RecLibrary[Recommendation Title]),"")</f>
        <v/>
      </c>
      <c r="I53" t="str">
        <f ca="1">IFERROR(_xludf.XLOOKUP(G53,tbl_RecLibrary[Recommendation ID],tbl_RecLibrary[Recommended Action]),"")</f>
        <v/>
      </c>
      <c r="J53" t="str">
        <f ca="1">IFERROR(_xludf.XLOOKUP(G53,tbl_RecLibrary[Recommendation ID],tbl_RecLibrary[Priority]),"")</f>
        <v/>
      </c>
      <c r="K53" t="str">
        <f ca="1">IFERROR(_xludf.XLOOKUP(G53,tbl_RecLibrary[Recommendation ID],tbl_RecLibrary[Roadmap Horizon]),"")</f>
        <v/>
      </c>
    </row>
    <row r="54" spans="1:11" x14ac:dyDescent="0.25">
      <c r="A54" t="str">
        <f>Survey!$A54</f>
        <v>PMF-004</v>
      </c>
      <c r="B54" t="str">
        <f>Survey!$B54</f>
        <v>Performance Measurement Framework</v>
      </c>
      <c r="C54" t="str">
        <f>Survey!$D54</f>
        <v>Customer Experience Impact Measurement</v>
      </c>
      <c r="D54" t="str">
        <f>Survey!$J54</f>
        <v>Some AI touchpoints have experience measurement, but coverage is partial and trends are not consistently reviewed</v>
      </c>
      <c r="E54">
        <f>Survey!$K54</f>
        <v>3</v>
      </c>
      <c r="F54" t="str">
        <f>Survey!$M54</f>
        <v>Partial Capability</v>
      </c>
      <c r="G54" t="str">
        <f>Survey!$N54</f>
        <v>REC-PMF-004-L3</v>
      </c>
      <c r="H54" t="str">
        <f ca="1">IFERROR(_xludf.XLOOKUP(G54,tbl_RecLibrary[Recommendation ID],tbl_RecLibrary[Recommendation Title]),"")</f>
        <v/>
      </c>
      <c r="I54" t="str">
        <f ca="1">IFERROR(_xludf.XLOOKUP(G54,tbl_RecLibrary[Recommendation ID],tbl_RecLibrary[Recommended Action]),"")</f>
        <v/>
      </c>
      <c r="J54" t="str">
        <f ca="1">IFERROR(_xludf.XLOOKUP(G54,tbl_RecLibrary[Recommendation ID],tbl_RecLibrary[Priority]),"")</f>
        <v/>
      </c>
      <c r="K54" t="str">
        <f ca="1">IFERROR(_xludf.XLOOKUP(G54,tbl_RecLibrary[Recommendation ID],tbl_RecLibrary[Roadmap Horizon]),"")</f>
        <v/>
      </c>
    </row>
    <row r="55" spans="1:11" x14ac:dyDescent="0.25">
      <c r="A55" t="str">
        <f>Survey!$A55</f>
        <v>PMF-005</v>
      </c>
      <c r="B55" t="str">
        <f>Survey!$B55</f>
        <v>Performance Measurement Framework</v>
      </c>
      <c r="C55" t="str">
        <f>Survey!$D55</f>
        <v>Domain-Specific Accuracy Measurement</v>
      </c>
      <c r="D55" t="str">
        <f>Survey!$J55</f>
        <v>Some teams build informal test sets, but there is no organized ground-truth practice</v>
      </c>
      <c r="E55">
        <f>Survey!$K55</f>
        <v>2</v>
      </c>
      <c r="F55" t="str">
        <f>Survey!$M55</f>
        <v>Informal Eval</v>
      </c>
      <c r="G55" t="str">
        <f>Survey!$N55</f>
        <v>REC-PMF-005-L1</v>
      </c>
      <c r="H55" t="str">
        <f ca="1">IFERROR(_xludf.XLOOKUP(G55,tbl_RecLibrary[Recommendation ID],tbl_RecLibrary[Recommendation Title]),"")</f>
        <v/>
      </c>
      <c r="I55" t="str">
        <f ca="1">IFERROR(_xludf.XLOOKUP(G55,tbl_RecLibrary[Recommendation ID],tbl_RecLibrary[Recommended Action]),"")</f>
        <v/>
      </c>
      <c r="J55" t="str">
        <f ca="1">IFERROR(_xludf.XLOOKUP(G55,tbl_RecLibrary[Recommendation ID],tbl_RecLibrary[Priority]),"")</f>
        <v/>
      </c>
      <c r="K55" t="str">
        <f ca="1">IFERROR(_xludf.XLOOKUP(G55,tbl_RecLibrary[Recommendation ID],tbl_RecLibrary[Roadmap Horizon]),"")</f>
        <v/>
      </c>
    </row>
    <row r="56" spans="1:11" x14ac:dyDescent="0.25">
      <c r="A56" t="str">
        <f>Survey!$A56</f>
        <v>PMF-006</v>
      </c>
      <c r="B56" t="str">
        <f>Survey!$B56</f>
        <v>Performance Measurement Framework</v>
      </c>
      <c r="C56" t="str">
        <f>Survey!$D56</f>
        <v>AI Performance SLAs</v>
      </c>
      <c r="D56" t="str">
        <f>Survey!$J56</f>
        <v>Performance is monitored informally; SLAs are not defined or are not tied to customer/business impact</v>
      </c>
      <c r="E56">
        <f>Survey!$K56</f>
        <v>2</v>
      </c>
      <c r="F56" t="str">
        <f>Survey!$M56</f>
        <v>Untied Monitoring</v>
      </c>
      <c r="G56" t="str">
        <f>Survey!$N56</f>
        <v>REC-PMF-006-L1</v>
      </c>
      <c r="H56" t="str">
        <f ca="1">IFERROR(_xludf.XLOOKUP(G56,tbl_RecLibrary[Recommendation ID],tbl_RecLibrary[Recommendation Title]),"")</f>
        <v/>
      </c>
      <c r="I56" t="str">
        <f ca="1">IFERROR(_xludf.XLOOKUP(G56,tbl_RecLibrary[Recommendation ID],tbl_RecLibrary[Recommended Action]),"")</f>
        <v/>
      </c>
      <c r="J56" t="str">
        <f ca="1">IFERROR(_xludf.XLOOKUP(G56,tbl_RecLibrary[Recommendation ID],tbl_RecLibrary[Priority]),"")</f>
        <v/>
      </c>
      <c r="K56" t="str">
        <f ca="1">IFERROR(_xludf.XLOOKUP(G56,tbl_RecLibrary[Recommendation ID],tbl_RecLibrary[Roadmap Horizon]),"")</f>
        <v/>
      </c>
    </row>
    <row r="57" spans="1:11" x14ac:dyDescent="0.25">
      <c r="A57" t="str">
        <f>Survey!$A57</f>
        <v>PMF-007</v>
      </c>
      <c r="B57" t="str">
        <f>Survey!$B57</f>
        <v>Performance Measurement Framework</v>
      </c>
      <c r="C57" t="str">
        <f>Survey!$D57</f>
        <v>Generative AI Output Quality Measurement</v>
      </c>
      <c r="D57" t="str">
        <f>Survey!$J57</f>
        <v>Output quality is judged anecdotally or by user complaints rather than a measurement methodology</v>
      </c>
      <c r="E57">
        <f>Survey!$K57</f>
        <v>2</v>
      </c>
      <c r="F57" t="str">
        <f>Survey!$M57</f>
        <v>Reactive Quality Review</v>
      </c>
      <c r="G57" t="str">
        <f>Survey!$N57</f>
        <v>REC-PMF-007-L1</v>
      </c>
      <c r="H57" t="str">
        <f ca="1">IFERROR(_xludf.XLOOKUP(G57,tbl_RecLibrary[Recommendation ID],tbl_RecLibrary[Recommendation Title]),"")</f>
        <v/>
      </c>
      <c r="I57" t="str">
        <f ca="1">IFERROR(_xludf.XLOOKUP(G57,tbl_RecLibrary[Recommendation ID],tbl_RecLibrary[Recommended Action]),"")</f>
        <v/>
      </c>
      <c r="J57" t="str">
        <f ca="1">IFERROR(_xludf.XLOOKUP(G57,tbl_RecLibrary[Recommendation ID],tbl_RecLibrary[Priority]),"")</f>
        <v/>
      </c>
      <c r="K57" t="str">
        <f ca="1">IFERROR(_xludf.XLOOKUP(G57,tbl_RecLibrary[Recommendation ID],tbl_RecLibrary[Roadmap Horizon]),"")</f>
        <v/>
      </c>
    </row>
    <row r="58" spans="1:11" x14ac:dyDescent="0.25">
      <c r="A58" t="str">
        <f>Survey!$A58</f>
        <v>PMF-008</v>
      </c>
      <c r="B58" t="str">
        <f>Survey!$B58</f>
        <v>Performance Measurement Framework</v>
      </c>
      <c r="C58" t="str">
        <f>Survey!$D58</f>
        <v>Concept Drift Measurement</v>
      </c>
      <c r="D58" t="str">
        <f>Survey!$J58</f>
        <v>Retraining happens on calendar cadence, without measured drift signals</v>
      </c>
      <c r="E58">
        <f>Survey!$K58</f>
        <v>2</v>
      </c>
      <c r="F58" t="str">
        <f>Survey!$M58</f>
        <v>Calendar-Only Retraining</v>
      </c>
      <c r="G58" t="str">
        <f>Survey!$N58</f>
        <v>REC-PMF-008-L1</v>
      </c>
      <c r="H58" t="str">
        <f ca="1">IFERROR(_xludf.XLOOKUP(G58,tbl_RecLibrary[Recommendation ID],tbl_RecLibrary[Recommendation Title]),"")</f>
        <v/>
      </c>
      <c r="I58" t="str">
        <f ca="1">IFERROR(_xludf.XLOOKUP(G58,tbl_RecLibrary[Recommendation ID],tbl_RecLibrary[Recommended Action]),"")</f>
        <v/>
      </c>
      <c r="J58" t="str">
        <f ca="1">IFERROR(_xludf.XLOOKUP(G58,tbl_RecLibrary[Recommendation ID],tbl_RecLibrary[Priority]),"")</f>
        <v/>
      </c>
      <c r="K58" t="str">
        <f ca="1">IFERROR(_xludf.XLOOKUP(G58,tbl_RecLibrary[Recommendation ID],tbl_RecLibrary[Roadmap Horizon]),"")</f>
        <v/>
      </c>
    </row>
    <row r="59" spans="1:11" x14ac:dyDescent="0.25">
      <c r="A59" t="str">
        <f>Survey!$A59</f>
        <v>PMF-009</v>
      </c>
      <c r="B59" t="str">
        <f>Survey!$B59</f>
        <v>Performance Measurement Framework</v>
      </c>
      <c r="C59" t="str">
        <f>Survey!$D59</f>
        <v>AI Unit-Cost Visibility</v>
      </c>
      <c r="D59" t="str">
        <f>Survey!$J59</f>
        <v>Costs are tracked at an aggregate or invoice level, with no per-use-case or per-query breakdown</v>
      </c>
      <c r="E59">
        <f>Survey!$K59</f>
        <v>2</v>
      </c>
      <c r="F59" t="str">
        <f>Survey!$M59</f>
        <v>Coarse Cost Tracking</v>
      </c>
      <c r="G59" t="str">
        <f>Survey!$N59</f>
        <v>REC-PMF-009-L1</v>
      </c>
      <c r="H59" t="str">
        <f ca="1">IFERROR(_xludf.XLOOKUP(G59,tbl_RecLibrary[Recommendation ID],tbl_RecLibrary[Recommendation Title]),"")</f>
        <v/>
      </c>
      <c r="I59" t="str">
        <f ca="1">IFERROR(_xludf.XLOOKUP(G59,tbl_RecLibrary[Recommendation ID],tbl_RecLibrary[Recommended Action]),"")</f>
        <v/>
      </c>
      <c r="J59" t="str">
        <f ca="1">IFERROR(_xludf.XLOOKUP(G59,tbl_RecLibrary[Recommendation ID],tbl_RecLibrary[Priority]),"")</f>
        <v/>
      </c>
      <c r="K59" t="str">
        <f ca="1">IFERROR(_xludf.XLOOKUP(G59,tbl_RecLibrary[Recommendation ID],tbl_RecLibrary[Roadmap Horizon]),"")</f>
        <v/>
      </c>
    </row>
    <row r="60" spans="1:11" x14ac:dyDescent="0.25">
      <c r="A60" t="str">
        <f>Survey!$A60</f>
        <v>PMF-010</v>
      </c>
      <c r="B60" t="str">
        <f>Survey!$B60</f>
        <v>Performance Measurement Framework</v>
      </c>
      <c r="C60" t="str">
        <f>Survey!$D60</f>
        <v>Compute Resource Optimization</v>
      </c>
      <c r="D60" t="str">
        <f>Survey!$J60</f>
        <v>Some workloads have utilization monitoring, but right-sizing or scaling actions are inconsistent</v>
      </c>
      <c r="E60">
        <f>Survey!$K60</f>
        <v>3</v>
      </c>
      <c r="F60" t="str">
        <f>Survey!$M60</f>
        <v>Partial Capability</v>
      </c>
      <c r="G60" t="str">
        <f>Survey!$N60</f>
        <v>REC-PMF-010-L3</v>
      </c>
      <c r="H60" t="str">
        <f ca="1">IFERROR(_xludf.XLOOKUP(G60,tbl_RecLibrary[Recommendation ID],tbl_RecLibrary[Recommendation Title]),"")</f>
        <v/>
      </c>
      <c r="I60" t="str">
        <f ca="1">IFERROR(_xludf.XLOOKUP(G60,tbl_RecLibrary[Recommendation ID],tbl_RecLibrary[Recommended Action]),"")</f>
        <v/>
      </c>
      <c r="J60" t="str">
        <f ca="1">IFERROR(_xludf.XLOOKUP(G60,tbl_RecLibrary[Recommendation ID],tbl_RecLibrary[Priority]),"")</f>
        <v/>
      </c>
      <c r="K60" t="str">
        <f ca="1">IFERROR(_xludf.XLOOKUP(G60,tbl_RecLibrary[Recommendation ID],tbl_RecLibrary[Roadmap Horizon]),"")</f>
        <v/>
      </c>
    </row>
    <row r="61" spans="1:11" x14ac:dyDescent="0.25">
      <c r="A61" t="str">
        <f>Survey!$A61</f>
        <v>PMF-011</v>
      </c>
      <c r="B61" t="str">
        <f>Survey!$B61</f>
        <v>Performance Measurement Framework</v>
      </c>
      <c r="C61" t="str">
        <f>Survey!$D61</f>
        <v>AI Total Cost of Ownership</v>
      </c>
      <c r="D61" t="str">
        <f>Survey!$J61</f>
        <v>TCO is calculated for some initiatives, but human oversight, labeling, and governance costs are inconsistently included</v>
      </c>
      <c r="E61">
        <f>Survey!$K61</f>
        <v>3</v>
      </c>
      <c r="F61" t="str">
        <f>Survey!$M61</f>
        <v>Partial Capability</v>
      </c>
      <c r="G61" t="str">
        <f>Survey!$N61</f>
        <v>REC-PMF-011-L3</v>
      </c>
      <c r="H61" t="str">
        <f ca="1">IFERROR(_xludf.XLOOKUP(G61,tbl_RecLibrary[Recommendation ID],tbl_RecLibrary[Recommendation Title]),"")</f>
        <v/>
      </c>
      <c r="I61" t="str">
        <f ca="1">IFERROR(_xludf.XLOOKUP(G61,tbl_RecLibrary[Recommendation ID],tbl_RecLibrary[Recommended Action]),"")</f>
        <v/>
      </c>
      <c r="J61" t="str">
        <f ca="1">IFERROR(_xludf.XLOOKUP(G61,tbl_RecLibrary[Recommendation ID],tbl_RecLibrary[Priority]),"")</f>
        <v/>
      </c>
      <c r="K61" t="str">
        <f ca="1">IFERROR(_xludf.XLOOKUP(G61,tbl_RecLibrary[Recommendation ID],tbl_RecLibrary[Roadmap Horizon]),"")</f>
        <v/>
      </c>
    </row>
    <row r="62" spans="1:11" x14ac:dyDescent="0.25">
      <c r="A62" t="str">
        <f>Survey!$A62</f>
        <v>PMF-012</v>
      </c>
      <c r="B62" t="str">
        <f>Survey!$B62</f>
        <v>Performance Measurement Framework</v>
      </c>
      <c r="C62" t="str">
        <f>Survey!$D62</f>
        <v>AI Sustainability Measurement</v>
      </c>
      <c r="D62" t="str">
        <f>Survey!$J62</f>
        <v>High-scale AI deployments have defined energy or carbon metrics, tracked and reported on a defined cadence</v>
      </c>
      <c r="E62">
        <f>Survey!$K62</f>
        <v>4</v>
      </c>
      <c r="F62" t="str">
        <f>Survey!$M62</f>
        <v>Mature Capability</v>
      </c>
      <c r="G62" t="str">
        <f>Survey!$N62</f>
        <v>REC-PMF-012-L4</v>
      </c>
      <c r="H62" t="str">
        <f ca="1">IFERROR(_xludf.XLOOKUP(G62,tbl_RecLibrary[Recommendation ID],tbl_RecLibrary[Recommendation Title]),"")</f>
        <v/>
      </c>
      <c r="I62" t="str">
        <f ca="1">IFERROR(_xludf.XLOOKUP(G62,tbl_RecLibrary[Recommendation ID],tbl_RecLibrary[Recommended Action]),"")</f>
        <v/>
      </c>
      <c r="J62" t="str">
        <f ca="1">IFERROR(_xludf.XLOOKUP(G62,tbl_RecLibrary[Recommendation ID],tbl_RecLibrary[Priority]),"")</f>
        <v/>
      </c>
      <c r="K62" t="str">
        <f ca="1">IFERROR(_xludf.XLOOKUP(G62,tbl_RecLibrary[Recommendation ID],tbl_RecLibrary[Roadmap Horizon]),"")</f>
        <v/>
      </c>
    </row>
    <row r="63" spans="1:11" x14ac:dyDescent="0.25">
      <c r="A63" t="str">
        <f>Survey!$A63</f>
        <v>PMF-013</v>
      </c>
      <c r="B63" t="str">
        <f>Survey!$B63</f>
        <v>Performance Measurement Framework</v>
      </c>
      <c r="C63" t="str">
        <f>Survey!$D63</f>
        <v>Fairness Performance Reporting</v>
      </c>
      <c r="D63" t="str">
        <f>Survey!$J63</f>
        <v>Some fairness data exists, but it is not aggregated into a recurring scorecard or governance review</v>
      </c>
      <c r="E63">
        <f>Survey!$K63</f>
        <v>2</v>
      </c>
      <c r="F63" t="str">
        <f>Survey!$M63</f>
        <v>Unreported Fairness Data</v>
      </c>
      <c r="G63" t="str">
        <f>Survey!$N63</f>
        <v>REC-PMF-013-L1</v>
      </c>
      <c r="H63" t="str">
        <f ca="1">IFERROR(_xludf.XLOOKUP(G63,tbl_RecLibrary[Recommendation ID],tbl_RecLibrary[Recommendation Title]),"")</f>
        <v/>
      </c>
      <c r="I63" t="str">
        <f ca="1">IFERROR(_xludf.XLOOKUP(G63,tbl_RecLibrary[Recommendation ID],tbl_RecLibrary[Recommended Action]),"")</f>
        <v/>
      </c>
      <c r="J63" t="str">
        <f ca="1">IFERROR(_xludf.XLOOKUP(G63,tbl_RecLibrary[Recommendation ID],tbl_RecLibrary[Priority]),"")</f>
        <v/>
      </c>
      <c r="K63" t="str">
        <f ca="1">IFERROR(_xludf.XLOOKUP(G63,tbl_RecLibrary[Recommendation ID],tbl_RecLibrary[Roadmap Horizon]),"")</f>
        <v/>
      </c>
    </row>
    <row r="64" spans="1:11" x14ac:dyDescent="0.25">
      <c r="A64" t="str">
        <f>Survey!$A64</f>
        <v>PMF-014</v>
      </c>
      <c r="B64" t="str">
        <f>Survey!$B64</f>
        <v>Performance Measurement Framework</v>
      </c>
      <c r="C64" t="str">
        <f>Survey!$D64</f>
        <v>Human Oversight Measurement</v>
      </c>
      <c r="D64" t="str">
        <f>Survey!$J64</f>
        <v>Some use cases analyze agreement rate, but it is not consistently used to drive model improvements</v>
      </c>
      <c r="E64">
        <f>Survey!$K64</f>
        <v>3</v>
      </c>
      <c r="F64" t="str">
        <f>Survey!$M64</f>
        <v>Partial Capability</v>
      </c>
      <c r="G64" t="str">
        <f>Survey!$N64</f>
        <v>REC-PMF-014-L3</v>
      </c>
      <c r="H64" t="str">
        <f ca="1">IFERROR(_xludf.XLOOKUP(G64,tbl_RecLibrary[Recommendation ID],tbl_RecLibrary[Recommendation Title]),"")</f>
        <v/>
      </c>
      <c r="I64" t="str">
        <f ca="1">IFERROR(_xludf.XLOOKUP(G64,tbl_RecLibrary[Recommendation ID],tbl_RecLibrary[Recommended Action]),"")</f>
        <v/>
      </c>
      <c r="J64" t="str">
        <f ca="1">IFERROR(_xludf.XLOOKUP(G64,tbl_RecLibrary[Recommendation ID],tbl_RecLibrary[Priority]),"")</f>
        <v/>
      </c>
      <c r="K64" t="str">
        <f ca="1">IFERROR(_xludf.XLOOKUP(G64,tbl_RecLibrary[Recommendation ID],tbl_RecLibrary[Roadmap Horizon]),"")</f>
        <v/>
      </c>
    </row>
    <row r="65" spans="1:11" x14ac:dyDescent="0.25">
      <c r="A65" t="str">
        <f>Survey!$A65</f>
        <v>PMF-015</v>
      </c>
      <c r="B65" t="str">
        <f>Survey!$B65</f>
        <v>Performance Measurement Framework</v>
      </c>
      <c r="C65" t="str">
        <f>Survey!$D65</f>
        <v>AI Audit Readiness</v>
      </c>
      <c r="D65" t="str">
        <f>Survey!$J65</f>
        <v>Producing a performance history would take weeks or months and require significant manual effort</v>
      </c>
      <c r="E65">
        <f>Survey!$K65</f>
        <v>2</v>
      </c>
      <c r="F65" t="str">
        <f>Survey!$M65</f>
        <v>High-Effort Audit</v>
      </c>
      <c r="G65" t="str">
        <f>Survey!$N65</f>
        <v>REC-PMF-015-L1</v>
      </c>
      <c r="H65" t="str">
        <f ca="1">IFERROR(_xludf.XLOOKUP(G65,tbl_RecLibrary[Recommendation ID],tbl_RecLibrary[Recommendation Title]),"")</f>
        <v/>
      </c>
      <c r="I65" t="str">
        <f ca="1">IFERROR(_xludf.XLOOKUP(G65,tbl_RecLibrary[Recommendation ID],tbl_RecLibrary[Recommended Action]),"")</f>
        <v/>
      </c>
      <c r="J65" t="str">
        <f ca="1">IFERROR(_xludf.XLOOKUP(G65,tbl_RecLibrary[Recommendation ID],tbl_RecLibrary[Priority]),"")</f>
        <v/>
      </c>
      <c r="K65" t="str">
        <f ca="1">IFERROR(_xludf.XLOOKUP(G65,tbl_RecLibrary[Recommendation ID],tbl_RecLibrary[Roadmap Horizon]),"")</f>
        <v/>
      </c>
    </row>
    <row r="66" spans="1:11" x14ac:dyDescent="0.25">
      <c r="A66" t="str">
        <f>Survey!$A66</f>
        <v>PMF-016</v>
      </c>
      <c r="B66" t="str">
        <f>Survey!$B66</f>
        <v>Performance Measurement Framework</v>
      </c>
      <c r="C66" t="str">
        <f>Survey!$D66</f>
        <v>Documentation Coverage Metric</v>
      </c>
      <c r="D66" t="str">
        <f>Survey!$J66</f>
        <v>Documentation coverage and currency are tracked across the AI portfolio, with defined targets and remediation when coverage drops</v>
      </c>
      <c r="E66">
        <f>Survey!$K66</f>
        <v>4</v>
      </c>
      <c r="F66" t="str">
        <f>Survey!$M66</f>
        <v>Mature Capability</v>
      </c>
      <c r="G66" t="str">
        <f>Survey!$N66</f>
        <v>REC-PMF-016-L4</v>
      </c>
      <c r="H66" t="str">
        <f ca="1">IFERROR(_xludf.XLOOKUP(G66,tbl_RecLibrary[Recommendation ID],tbl_RecLibrary[Recommendation Title]),"")</f>
        <v/>
      </c>
      <c r="I66" t="str">
        <f ca="1">IFERROR(_xludf.XLOOKUP(G66,tbl_RecLibrary[Recommendation ID],tbl_RecLibrary[Recommended Action]),"")</f>
        <v/>
      </c>
      <c r="J66" t="str">
        <f ca="1">IFERROR(_xludf.XLOOKUP(G66,tbl_RecLibrary[Recommendation ID],tbl_RecLibrary[Priority]),"")</f>
        <v/>
      </c>
      <c r="K66" t="str">
        <f ca="1">IFERROR(_xludf.XLOOKUP(G66,tbl_RecLibrary[Recommendation ID],tbl_RecLibrary[Roadmap Horizon]),"")</f>
        <v/>
      </c>
    </row>
    <row r="67" spans="1:11" x14ac:dyDescent="0.25">
      <c r="A67" t="str">
        <f>Survey!$A67</f>
        <v>AOM-001</v>
      </c>
      <c r="B67" t="str">
        <f>Survey!$B67</f>
        <v>AI Operating Model Blueprint</v>
      </c>
      <c r="C67" t="str">
        <f>Survey!$D67</f>
        <v>AI Organizational Archetype</v>
      </c>
      <c r="D67" t="str">
        <f>Survey!$J67</f>
        <v>There is no defined operating model for AI; delivery happens wherever a use case originates</v>
      </c>
      <c r="E67">
        <f>Survey!$K67</f>
        <v>1</v>
      </c>
      <c r="F67" t="str">
        <f>Survey!$M67</f>
        <v>Operating Model Gap</v>
      </c>
      <c r="G67" t="str">
        <f>Survey!$N67</f>
        <v>REC-AOM-001-L1</v>
      </c>
      <c r="H67" t="str">
        <f ca="1">IFERROR(_xludf.XLOOKUP(G67,tbl_RecLibrary[Recommendation ID],tbl_RecLibrary[Recommendation Title]),"")</f>
        <v/>
      </c>
      <c r="I67" t="str">
        <f ca="1">IFERROR(_xludf.XLOOKUP(G67,tbl_RecLibrary[Recommendation ID],tbl_RecLibrary[Recommended Action]),"")</f>
        <v/>
      </c>
      <c r="J67" t="str">
        <f ca="1">IFERROR(_xludf.XLOOKUP(G67,tbl_RecLibrary[Recommendation ID],tbl_RecLibrary[Priority]),"")</f>
        <v/>
      </c>
      <c r="K67" t="str">
        <f ca="1">IFERROR(_xludf.XLOOKUP(G67,tbl_RecLibrary[Recommendation ID],tbl_RecLibrary[Roadmap Horizon]),"")</f>
        <v/>
      </c>
    </row>
    <row r="68" spans="1:11" x14ac:dyDescent="0.25">
      <c r="A68" t="str">
        <f>Survey!$A68</f>
        <v>AOM-002</v>
      </c>
      <c r="B68" t="str">
        <f>Survey!$B68</f>
        <v>AI Operating Model Blueprint</v>
      </c>
      <c r="C68" t="str">
        <f>Survey!$D68</f>
        <v>Dual Ownership Model</v>
      </c>
      <c r="D68" t="str">
        <f>Survey!$J68</f>
        <v>Technical and business ownership are not distinguished; one role is assumed to cover both</v>
      </c>
      <c r="E68">
        <f>Survey!$K68</f>
        <v>1</v>
      </c>
      <c r="F68" t="str">
        <f>Survey!$M68</f>
        <v>Ownership Gap</v>
      </c>
      <c r="G68" t="str">
        <f>Survey!$N68</f>
        <v>REC-AOM-002-L1</v>
      </c>
      <c r="H68" t="str">
        <f ca="1">IFERROR(_xludf.XLOOKUP(G68,tbl_RecLibrary[Recommendation ID],tbl_RecLibrary[Recommendation Title]),"")</f>
        <v/>
      </c>
      <c r="I68" t="str">
        <f ca="1">IFERROR(_xludf.XLOOKUP(G68,tbl_RecLibrary[Recommendation ID],tbl_RecLibrary[Recommended Action]),"")</f>
        <v/>
      </c>
      <c r="J68" t="str">
        <f ca="1">IFERROR(_xludf.XLOOKUP(G68,tbl_RecLibrary[Recommendation ID],tbl_RecLibrary[Priority]),"")</f>
        <v/>
      </c>
      <c r="K68" t="str">
        <f ca="1">IFERROR(_xludf.XLOOKUP(G68,tbl_RecLibrary[Recommendation ID],tbl_RecLibrary[Roadmap Horizon]),"")</f>
        <v/>
      </c>
    </row>
    <row r="69" spans="1:11" x14ac:dyDescent="0.25">
      <c r="A69" t="str">
        <f>Survey!$A69</f>
        <v>AOM-003</v>
      </c>
      <c r="B69" t="str">
        <f>Survey!$B69</f>
        <v>AI Operating Model Blueprint</v>
      </c>
      <c r="C69" t="str">
        <f>Survey!$D69</f>
        <v>Shadow AI Discovery</v>
      </c>
      <c r="D69" t="str">
        <f>Survey!$J69</f>
        <v>No mechanism exists to discover decentralized or shadow AI usage</v>
      </c>
      <c r="E69">
        <f>Survey!$K69</f>
        <v>1</v>
      </c>
      <c r="F69" t="str">
        <f>Survey!$M69</f>
        <v>Shadow AI Discovery Gap</v>
      </c>
      <c r="G69" t="str">
        <f>Survey!$N69</f>
        <v>REC-AOM-003-L1</v>
      </c>
      <c r="H69" t="str">
        <f ca="1">IFERROR(_xludf.XLOOKUP(G69,tbl_RecLibrary[Recommendation ID],tbl_RecLibrary[Recommendation Title]),"")</f>
        <v/>
      </c>
      <c r="I69" t="str">
        <f ca="1">IFERROR(_xludf.XLOOKUP(G69,tbl_RecLibrary[Recommendation ID],tbl_RecLibrary[Recommended Action]),"")</f>
        <v/>
      </c>
      <c r="J69" t="str">
        <f ca="1">IFERROR(_xludf.XLOOKUP(G69,tbl_RecLibrary[Recommendation ID],tbl_RecLibrary[Priority]),"")</f>
        <v/>
      </c>
      <c r="K69" t="str">
        <f ca="1">IFERROR(_xludf.XLOOKUP(G69,tbl_RecLibrary[Recommendation ID],tbl_RecLibrary[Roadmap Horizon]),"")</f>
        <v/>
      </c>
    </row>
    <row r="70" spans="1:11" x14ac:dyDescent="0.25">
      <c r="A70" t="str">
        <f>Survey!$A70</f>
        <v>AOM-004</v>
      </c>
      <c r="B70" t="str">
        <f>Survey!$B70</f>
        <v>AI Operating Model Blueprint</v>
      </c>
      <c r="C70" t="str">
        <f>Survey!$D70</f>
        <v>AI Funding Model</v>
      </c>
      <c r="D70" t="str">
        <f>Survey!$J70</f>
        <v>AI funding is unclear; teams negotiate access to AI capability case by case</v>
      </c>
      <c r="E70">
        <f>Survey!$K70</f>
        <v>1</v>
      </c>
      <c r="F70" t="str">
        <f>Survey!$M70</f>
        <v>Funding Model Gap</v>
      </c>
      <c r="G70" t="str">
        <f>Survey!$N70</f>
        <v>REC-AOM-004-L1</v>
      </c>
      <c r="H70" t="str">
        <f ca="1">IFERROR(_xludf.XLOOKUP(G70,tbl_RecLibrary[Recommendation ID],tbl_RecLibrary[Recommendation Title]),"")</f>
        <v/>
      </c>
      <c r="I70" t="str">
        <f ca="1">IFERROR(_xludf.XLOOKUP(G70,tbl_RecLibrary[Recommendation ID],tbl_RecLibrary[Recommended Action]),"")</f>
        <v/>
      </c>
      <c r="J70" t="str">
        <f ca="1">IFERROR(_xludf.XLOOKUP(G70,tbl_RecLibrary[Recommendation ID],tbl_RecLibrary[Priority]),"")</f>
        <v/>
      </c>
      <c r="K70" t="str">
        <f ca="1">IFERROR(_xludf.XLOOKUP(G70,tbl_RecLibrary[Recommendation ID],tbl_RecLibrary[Roadmap Horizon]),"")</f>
        <v/>
      </c>
    </row>
    <row r="71" spans="1:11" x14ac:dyDescent="0.25">
      <c r="A71" t="str">
        <f>Survey!$A71</f>
        <v>AOM-005</v>
      </c>
      <c r="B71" t="str">
        <f>Survey!$B71</f>
        <v>AI Operating Model Blueprint</v>
      </c>
      <c r="C71" t="str">
        <f>Survey!$D71</f>
        <v>AI Use Case Intake</v>
      </c>
      <c r="D71" t="str">
        <f>Survey!$J71</f>
        <v>A single intake process vets new AI ideas for feasibility (strategy) and risk (governance), with clear ownership and timelines</v>
      </c>
      <c r="E71">
        <f>Survey!$K71</f>
        <v>4</v>
      </c>
      <c r="F71" t="str">
        <f>Survey!$M71</f>
        <v>Mature Capability</v>
      </c>
      <c r="G71" t="str">
        <f>Survey!$N71</f>
        <v>REC-AOM-005-L4</v>
      </c>
      <c r="H71" t="str">
        <f ca="1">IFERROR(_xludf.XLOOKUP(G71,tbl_RecLibrary[Recommendation ID],tbl_RecLibrary[Recommendation Title]),"")</f>
        <v/>
      </c>
      <c r="I71" t="str">
        <f ca="1">IFERROR(_xludf.XLOOKUP(G71,tbl_RecLibrary[Recommendation ID],tbl_RecLibrary[Recommended Action]),"")</f>
        <v/>
      </c>
      <c r="J71" t="str">
        <f ca="1">IFERROR(_xludf.XLOOKUP(G71,tbl_RecLibrary[Recommendation ID],tbl_RecLibrary[Priority]),"")</f>
        <v/>
      </c>
      <c r="K71" t="str">
        <f ca="1">IFERROR(_xludf.XLOOKUP(G71,tbl_RecLibrary[Recommendation ID],tbl_RecLibrary[Roadmap Horizon]),"")</f>
        <v/>
      </c>
    </row>
    <row r="72" spans="1:11" x14ac:dyDescent="0.25">
      <c r="A72" t="str">
        <f>Survey!$A72</f>
        <v>AOM-006</v>
      </c>
      <c r="B72" t="str">
        <f>Survey!$B72</f>
        <v>AI Operating Model Blueprint</v>
      </c>
      <c r="C72" t="str">
        <f>Survey!$D72</f>
        <v>Human-in-the-Loop Design</v>
      </c>
      <c r="D72" t="str">
        <f>Survey!$J72</f>
        <v>HITL requirements are not defined in the AI delivery blueprint</v>
      </c>
      <c r="E72">
        <f>Survey!$K72</f>
        <v>1</v>
      </c>
      <c r="F72" t="str">
        <f>Survey!$M72</f>
        <v>HITL Design Gap</v>
      </c>
      <c r="G72" t="str">
        <f>Survey!$N72</f>
        <v>REC-AOM-006-L1</v>
      </c>
      <c r="H72" t="str">
        <f ca="1">IFERROR(_xludf.XLOOKUP(G72,tbl_RecLibrary[Recommendation ID],tbl_RecLibrary[Recommendation Title]),"")</f>
        <v/>
      </c>
      <c r="I72" t="str">
        <f ca="1">IFERROR(_xludf.XLOOKUP(G72,tbl_RecLibrary[Recommendation ID],tbl_RecLibrary[Recommended Action]),"")</f>
        <v/>
      </c>
      <c r="J72" t="str">
        <f ca="1">IFERROR(_xludf.XLOOKUP(G72,tbl_RecLibrary[Recommendation ID],tbl_RecLibrary[Priority]),"")</f>
        <v/>
      </c>
      <c r="K72" t="str">
        <f ca="1">IFERROR(_xludf.XLOOKUP(G72,tbl_RecLibrary[Recommendation ID],tbl_RecLibrary[Roadmap Horizon]),"")</f>
        <v/>
      </c>
    </row>
    <row r="73" spans="1:11" x14ac:dyDescent="0.25">
      <c r="A73" t="str">
        <f>Survey!$A73</f>
        <v>AOM-007</v>
      </c>
      <c r="B73" t="str">
        <f>Survey!$B73</f>
        <v>AI Operating Model Blueprint</v>
      </c>
      <c r="C73" t="str">
        <f>Survey!$D73</f>
        <v>AI Decommissioning Process</v>
      </c>
      <c r="D73" t="str">
        <f>Survey!$J73</f>
        <v>No process exists for decommissioning AI models; outdated models may remain in production</v>
      </c>
      <c r="E73">
        <f>Survey!$K73</f>
        <v>1</v>
      </c>
      <c r="F73" t="str">
        <f>Survey!$M73</f>
        <v>Decommissioning Gap</v>
      </c>
      <c r="G73" t="str">
        <f>Survey!$N73</f>
        <v>REC-AOM-007-L1</v>
      </c>
      <c r="H73" t="str">
        <f ca="1">IFERROR(_xludf.XLOOKUP(G73,tbl_RecLibrary[Recommendation ID],tbl_RecLibrary[Recommendation Title]),"")</f>
        <v/>
      </c>
      <c r="I73" t="str">
        <f ca="1">IFERROR(_xludf.XLOOKUP(G73,tbl_RecLibrary[Recommendation ID],tbl_RecLibrary[Recommended Action]),"")</f>
        <v/>
      </c>
      <c r="J73" t="str">
        <f ca="1">IFERROR(_xludf.XLOOKUP(G73,tbl_RecLibrary[Recommendation ID],tbl_RecLibrary[Priority]),"")</f>
        <v/>
      </c>
      <c r="K73" t="str">
        <f ca="1">IFERROR(_xludf.XLOOKUP(G73,tbl_RecLibrary[Recommendation ID],tbl_RecLibrary[Roadmap Horizon]),"")</f>
        <v/>
      </c>
    </row>
    <row r="74" spans="1:11" x14ac:dyDescent="0.25">
      <c r="A74" t="str">
        <f>Survey!$A74</f>
        <v>AOM-008</v>
      </c>
      <c r="B74" t="str">
        <f>Survey!$B74</f>
        <v>AI Operating Model Blueprint</v>
      </c>
      <c r="C74" t="str">
        <f>Survey!$D74</f>
        <v>Day-to-Day RACI Clarity</v>
      </c>
      <c r="D74" t="str">
        <f>Survey!$J74</f>
        <v>When an AI issue arises, no one is sure who owns the fix; accountability has to be negotiated</v>
      </c>
      <c r="E74">
        <f>Survey!$K74</f>
        <v>1</v>
      </c>
      <c r="F74" t="str">
        <f>Survey!$M74</f>
        <v>Operational RACI Gap</v>
      </c>
      <c r="G74" t="str">
        <f>Survey!$N74</f>
        <v>REC-AOM-008-L1</v>
      </c>
      <c r="H74" t="str">
        <f ca="1">IFERROR(_xludf.XLOOKUP(G74,tbl_RecLibrary[Recommendation ID],tbl_RecLibrary[Recommendation Title]),"")</f>
        <v/>
      </c>
      <c r="I74" t="str">
        <f ca="1">IFERROR(_xludf.XLOOKUP(G74,tbl_RecLibrary[Recommendation ID],tbl_RecLibrary[Recommended Action]),"")</f>
        <v/>
      </c>
      <c r="J74" t="str">
        <f ca="1">IFERROR(_xludf.XLOOKUP(G74,tbl_RecLibrary[Recommendation ID],tbl_RecLibrary[Priority]),"")</f>
        <v/>
      </c>
      <c r="K74" t="str">
        <f ca="1">IFERROR(_xludf.XLOOKUP(G74,tbl_RecLibrary[Recommendation ID],tbl_RecLibrary[Roadmap Horizon]),"")</f>
        <v/>
      </c>
    </row>
    <row r="75" spans="1:11" x14ac:dyDescent="0.25">
      <c r="A75" t="str">
        <f>Survey!$A75</f>
        <v>AOM-009</v>
      </c>
      <c r="B75" t="str">
        <f>Survey!$B75</f>
        <v>AI Operating Model Blueprint</v>
      </c>
      <c r="C75" t="str">
        <f>Survey!$D75</f>
        <v>Reusable Data Pipelines for AI</v>
      </c>
      <c r="D75" t="str">
        <f>Survey!$J75</f>
        <v>There is no AI data supply chain; teams clean and curate data manually for every new project</v>
      </c>
      <c r="E75">
        <f>Survey!$K75</f>
        <v>1</v>
      </c>
      <c r="F75" t="str">
        <f>Survey!$M75</f>
        <v>Data Supply Chain Gap</v>
      </c>
      <c r="G75" t="str">
        <f>Survey!$N75</f>
        <v>REC-AOM-009-L1</v>
      </c>
      <c r="H75" t="str">
        <f ca="1">IFERROR(_xludf.XLOOKUP(G75,tbl_RecLibrary[Recommendation ID],tbl_RecLibrary[Recommendation Title]),"")</f>
        <v/>
      </c>
      <c r="I75" t="str">
        <f ca="1">IFERROR(_xludf.XLOOKUP(G75,tbl_RecLibrary[Recommendation ID],tbl_RecLibrary[Recommended Action]),"")</f>
        <v/>
      </c>
      <c r="J75" t="str">
        <f ca="1">IFERROR(_xludf.XLOOKUP(G75,tbl_RecLibrary[Recommendation ID],tbl_RecLibrary[Priority]),"")</f>
        <v/>
      </c>
      <c r="K75" t="str">
        <f ca="1">IFERROR(_xludf.XLOOKUP(G75,tbl_RecLibrary[Recommendation ID],tbl_RecLibrary[Roadmap Horizon]),"")</f>
        <v/>
      </c>
    </row>
    <row r="76" spans="1:11" x14ac:dyDescent="0.25">
      <c r="A76" t="str">
        <f>Survey!$A76</f>
        <v>AOM-010</v>
      </c>
      <c r="B76" t="str">
        <f>Survey!$B76</f>
        <v>AI Operating Model Blueprint</v>
      </c>
      <c r="C76" t="str">
        <f>Survey!$D76</f>
        <v>Real-Time Model Inventory</v>
      </c>
      <c r="D76" t="str">
        <f>Survey!$J76</f>
        <v>There is no live view of production AI models; assembling an inventory takes manual effort</v>
      </c>
      <c r="E76">
        <f>Survey!$K76</f>
        <v>1</v>
      </c>
      <c r="F76" t="str">
        <f>Survey!$M76</f>
        <v>Live Inventory Gap</v>
      </c>
      <c r="G76" t="str">
        <f>Survey!$N76</f>
        <v>REC-AOM-010-L1</v>
      </c>
      <c r="H76" t="str">
        <f ca="1">IFERROR(_xludf.XLOOKUP(G76,tbl_RecLibrary[Recommendation ID],tbl_RecLibrary[Recommendation Title]),"")</f>
        <v/>
      </c>
      <c r="I76" t="str">
        <f ca="1">IFERROR(_xludf.XLOOKUP(G76,tbl_RecLibrary[Recommendation ID],tbl_RecLibrary[Recommended Action]),"")</f>
        <v/>
      </c>
      <c r="J76" t="str">
        <f ca="1">IFERROR(_xludf.XLOOKUP(G76,tbl_RecLibrary[Recommendation ID],tbl_RecLibrary[Priority]),"")</f>
        <v/>
      </c>
      <c r="K76" t="str">
        <f ca="1">IFERROR(_xludf.XLOOKUP(G76,tbl_RecLibrary[Recommendation ID],tbl_RecLibrary[Roadmap Horizon]),"")</f>
        <v/>
      </c>
    </row>
    <row r="77" spans="1:11" x14ac:dyDescent="0.25">
      <c r="A77" t="str">
        <f>Survey!$A77</f>
        <v>AOM-011</v>
      </c>
      <c r="B77" t="str">
        <f>Survey!$B77</f>
        <v>AI Operating Model Blueprint</v>
      </c>
      <c r="C77" t="str">
        <f>Survey!$D77</f>
        <v>AI Tooling Standards</v>
      </c>
      <c r="D77" t="str">
        <f>Survey!$J77</f>
        <v>There are no AI tooling standards; each team picks its own platforms, LLMs, and databases</v>
      </c>
      <c r="E77">
        <f>Survey!$K77</f>
        <v>1</v>
      </c>
      <c r="F77" t="str">
        <f>Survey!$M77</f>
        <v>Tooling Standards Gap</v>
      </c>
      <c r="G77" t="str">
        <f>Survey!$N77</f>
        <v>REC-AOM-011-L1</v>
      </c>
      <c r="H77" t="str">
        <f ca="1">IFERROR(_xludf.XLOOKUP(G77,tbl_RecLibrary[Recommendation ID],tbl_RecLibrary[Recommendation Title]),"")</f>
        <v/>
      </c>
      <c r="I77" t="str">
        <f ca="1">IFERROR(_xludf.XLOOKUP(G77,tbl_RecLibrary[Recommendation ID],tbl_RecLibrary[Recommended Action]),"")</f>
        <v/>
      </c>
      <c r="J77" t="str">
        <f ca="1">IFERROR(_xludf.XLOOKUP(G77,tbl_RecLibrary[Recommendation ID],tbl_RecLibrary[Priority]),"")</f>
        <v/>
      </c>
      <c r="K77" t="str">
        <f ca="1">IFERROR(_xludf.XLOOKUP(G77,tbl_RecLibrary[Recommendation ID],tbl_RecLibrary[Roadmap Horizon]),"")</f>
        <v/>
      </c>
    </row>
    <row r="78" spans="1:11" x14ac:dyDescent="0.25">
      <c r="A78" t="str">
        <f>Survey!$A78</f>
        <v>AOM-012</v>
      </c>
      <c r="B78" t="str">
        <f>Survey!$B78</f>
        <v>AI Operating Model Blueprint</v>
      </c>
      <c r="C78" t="str">
        <f>Survey!$D78</f>
        <v>Pipeline-Embedded Governance</v>
      </c>
      <c r="D78" t="str">
        <f>Survey!$J78</f>
        <v>Governance guardrails are not part of the AI delivery pipeline</v>
      </c>
      <c r="E78">
        <f>Survey!$K78</f>
        <v>1</v>
      </c>
      <c r="F78" t="str">
        <f>Survey!$M78</f>
        <v>Pipeline Guardrails Gap</v>
      </c>
      <c r="G78" t="str">
        <f>Survey!$N78</f>
        <v>REC-AOM-012-L1</v>
      </c>
      <c r="H78" t="str">
        <f ca="1">IFERROR(_xludf.XLOOKUP(G78,tbl_RecLibrary[Recommendation ID],tbl_RecLibrary[Recommendation Title]),"")</f>
        <v/>
      </c>
      <c r="I78" t="str">
        <f ca="1">IFERROR(_xludf.XLOOKUP(G78,tbl_RecLibrary[Recommendation ID],tbl_RecLibrary[Recommended Action]),"")</f>
        <v/>
      </c>
      <c r="J78" t="str">
        <f ca="1">IFERROR(_xludf.XLOOKUP(G78,tbl_RecLibrary[Recommendation ID],tbl_RecLibrary[Priority]),"")</f>
        <v/>
      </c>
      <c r="K78" t="str">
        <f ca="1">IFERROR(_xludf.XLOOKUP(G78,tbl_RecLibrary[Recommendation ID],tbl_RecLibrary[Roadmap Horizon]),"")</f>
        <v/>
      </c>
    </row>
    <row r="79" spans="1:11" x14ac:dyDescent="0.25">
      <c r="A79" t="str">
        <f>Survey!$A79</f>
        <v>AOM-013</v>
      </c>
      <c r="B79" t="str">
        <f>Survey!$B79</f>
        <v>AI Operating Model Blueprint</v>
      </c>
      <c r="C79" t="str">
        <f>Survey!$D79</f>
        <v>AI Role Definition</v>
      </c>
      <c r="D79" t="str">
        <f>Survey!$J79</f>
        <v>AI role definitions are reviewed as the operating model evolves, integrated with HR systems, supported by career pathing, and aligned to workforce planning</v>
      </c>
      <c r="E79">
        <f>Survey!$K79</f>
        <v>5</v>
      </c>
      <c r="F79" t="str">
        <f>Survey!$M79</f>
        <v>Optimized Capability</v>
      </c>
      <c r="G79" t="str">
        <f>Survey!$N79</f>
        <v>REC-AOM-013-L5</v>
      </c>
      <c r="H79" t="str">
        <f ca="1">IFERROR(_xludf.XLOOKUP(G79,tbl_RecLibrary[Recommendation ID],tbl_RecLibrary[Recommendation Title]),"")</f>
        <v/>
      </c>
      <c r="I79" t="str">
        <f ca="1">IFERROR(_xludf.XLOOKUP(G79,tbl_RecLibrary[Recommendation ID],tbl_RecLibrary[Recommended Action]),"")</f>
        <v/>
      </c>
      <c r="J79" t="str">
        <f ca="1">IFERROR(_xludf.XLOOKUP(G79,tbl_RecLibrary[Recommendation ID],tbl_RecLibrary[Priority]),"")</f>
        <v/>
      </c>
      <c r="K79" t="str">
        <f ca="1">IFERROR(_xludf.XLOOKUP(G79,tbl_RecLibrary[Recommendation ID],tbl_RecLibrary[Roadmap Horizon]),"")</f>
        <v/>
      </c>
    </row>
    <row r="80" spans="1:11" x14ac:dyDescent="0.25">
      <c r="A80" t="str">
        <f>Survey!$A80</f>
        <v>AOM-014</v>
      </c>
      <c r="B80" t="str">
        <f>Survey!$B80</f>
        <v>AI Operating Model Blueprint</v>
      </c>
      <c r="C80" t="str">
        <f>Survey!$D80</f>
        <v>Delivery Incentive Alignment</v>
      </c>
      <c r="D80" t="str">
        <f>Survey!$J80</f>
        <v>KPIs include some non-speed measures, but they are informal and inconsistently applied</v>
      </c>
      <c r="E80">
        <f>Survey!$K80</f>
        <v>2</v>
      </c>
      <c r="F80" t="str">
        <f>Survey!$M80</f>
        <v>Informal Balance</v>
      </c>
      <c r="G80" t="str">
        <f>Survey!$N80</f>
        <v>REC-AOM-014-L1</v>
      </c>
      <c r="H80" t="str">
        <f ca="1">IFERROR(_xludf.XLOOKUP(G80,tbl_RecLibrary[Recommendation ID],tbl_RecLibrary[Recommendation Title]),"")</f>
        <v/>
      </c>
      <c r="I80" t="str">
        <f ca="1">IFERROR(_xludf.XLOOKUP(G80,tbl_RecLibrary[Recommendation ID],tbl_RecLibrary[Recommended Action]),"")</f>
        <v/>
      </c>
      <c r="J80" t="str">
        <f ca="1">IFERROR(_xludf.XLOOKUP(G80,tbl_RecLibrary[Recommendation ID],tbl_RecLibrary[Priority]),"")</f>
        <v/>
      </c>
      <c r="K80" t="str">
        <f ca="1">IFERROR(_xludf.XLOOKUP(G80,tbl_RecLibrary[Recommendation ID],tbl_RecLibrary[Roadmap Horizon]),"")</f>
        <v/>
      </c>
    </row>
    <row r="81" spans="1:11" x14ac:dyDescent="0.25">
      <c r="A81" t="str">
        <f>Survey!$A81</f>
        <v>AOM-015</v>
      </c>
      <c r="B81" t="str">
        <f>Survey!$B81</f>
        <v>AI Operating Model Blueprint</v>
      </c>
      <c r="C81" t="str">
        <f>Survey!$D81</f>
        <v>Cross-Functional AI Literacy</v>
      </c>
      <c r="D81" t="str">
        <f>Survey!$J81</f>
        <v>Non-technical stakeholders pick up AI knowledge ad-hoc through their own initiative</v>
      </c>
      <c r="E81">
        <f>Survey!$K81</f>
        <v>2</v>
      </c>
      <c r="F81" t="str">
        <f>Survey!$M81</f>
        <v>Self-Directed Only</v>
      </c>
      <c r="G81" t="str">
        <f>Survey!$N81</f>
        <v>REC-AOM-015-L1</v>
      </c>
      <c r="H81" t="str">
        <f ca="1">IFERROR(_xludf.XLOOKUP(G81,tbl_RecLibrary[Recommendation ID],tbl_RecLibrary[Recommendation Title]),"")</f>
        <v/>
      </c>
      <c r="I81" t="str">
        <f ca="1">IFERROR(_xludf.XLOOKUP(G81,tbl_RecLibrary[Recommendation ID],tbl_RecLibrary[Recommended Action]),"")</f>
        <v/>
      </c>
      <c r="J81" t="str">
        <f ca="1">IFERROR(_xludf.XLOOKUP(G81,tbl_RecLibrary[Recommendation ID],tbl_RecLibrary[Priority]),"")</f>
        <v/>
      </c>
      <c r="K81" t="str">
        <f ca="1">IFERROR(_xludf.XLOOKUP(G81,tbl_RecLibrary[Recommendation ID],tbl_RecLibrary[Roadmap Horizon]),"")</f>
        <v/>
      </c>
    </row>
    <row r="82" spans="1:11" x14ac:dyDescent="0.25">
      <c r="A82" t="str">
        <f>Survey!$A82</f>
        <v>UCP-001</v>
      </c>
      <c r="B82" t="str">
        <f>Survey!$B82</f>
        <v>Use Case Prioritization Framework</v>
      </c>
      <c r="C82" t="str">
        <f>Survey!$D82</f>
        <v>Use Case Scoring Rubric</v>
      </c>
      <c r="D82" t="str">
        <f>Survey!$J82</f>
        <v>AI use cases are prioritized informally; no scoring rubric exists</v>
      </c>
      <c r="E82">
        <f>Survey!$K82</f>
        <v>1</v>
      </c>
      <c r="F82" t="str">
        <f>Survey!$M82</f>
        <v>Scoring Rubric Gap</v>
      </c>
      <c r="G82" t="str">
        <f>Survey!$N82</f>
        <v>REC-UCP-001-L1</v>
      </c>
      <c r="H82" t="str">
        <f ca="1">IFERROR(_xludf.XLOOKUP(G82,tbl_RecLibrary[Recommendation ID],tbl_RecLibrary[Recommendation Title]),"")</f>
        <v/>
      </c>
      <c r="I82" t="str">
        <f ca="1">IFERROR(_xludf.XLOOKUP(G82,tbl_RecLibrary[Recommendation ID],tbl_RecLibrary[Recommended Action]),"")</f>
        <v/>
      </c>
      <c r="J82" t="str">
        <f ca="1">IFERROR(_xludf.XLOOKUP(G82,tbl_RecLibrary[Recommendation ID],tbl_RecLibrary[Priority]),"")</f>
        <v/>
      </c>
      <c r="K82" t="str">
        <f ca="1">IFERROR(_xludf.XLOOKUP(G82,tbl_RecLibrary[Recommendation ID],tbl_RecLibrary[Roadmap Horizon]),"")</f>
        <v/>
      </c>
    </row>
    <row r="83" spans="1:11" x14ac:dyDescent="0.25">
      <c r="A83" t="str">
        <f>Survey!$A83</f>
        <v>UCP-002</v>
      </c>
      <c r="B83" t="str">
        <f>Survey!$B83</f>
        <v>Use Case Prioritization Framework</v>
      </c>
      <c r="C83" t="str">
        <f>Survey!$D83</f>
        <v>Multi-Dimensional Value Definition</v>
      </c>
      <c r="D83" t="str">
        <f>Survey!$J83</f>
        <v>Value is defined narrowly (cost savings only); other dimensions are ignored</v>
      </c>
      <c r="E83">
        <f>Survey!$K83</f>
        <v>1</v>
      </c>
      <c r="F83" t="str">
        <f>Survey!$M83</f>
        <v>Single-Lens Value</v>
      </c>
      <c r="G83" t="str">
        <f>Survey!$N83</f>
        <v>REC-UCP-002-L1</v>
      </c>
      <c r="H83" t="str">
        <f ca="1">IFERROR(_xludf.XLOOKUP(G83,tbl_RecLibrary[Recommendation ID],tbl_RecLibrary[Recommendation Title]),"")</f>
        <v/>
      </c>
      <c r="I83" t="str">
        <f ca="1">IFERROR(_xludf.XLOOKUP(G83,tbl_RecLibrary[Recommendation ID],tbl_RecLibrary[Recommended Action]),"")</f>
        <v/>
      </c>
      <c r="J83" t="str">
        <f ca="1">IFERROR(_xludf.XLOOKUP(G83,tbl_RecLibrary[Recommendation ID],tbl_RecLibrary[Priority]),"")</f>
        <v/>
      </c>
      <c r="K83" t="str">
        <f ca="1">IFERROR(_xludf.XLOOKUP(G83,tbl_RecLibrary[Recommendation ID],tbl_RecLibrary[Roadmap Horizon]),"")</f>
        <v/>
      </c>
    </row>
    <row r="84" spans="1:11" x14ac:dyDescent="0.25">
      <c r="A84" t="str">
        <f>Survey!$A84</f>
        <v>UCP-003</v>
      </c>
      <c r="B84" t="str">
        <f>Survey!$B84</f>
        <v>Use Case Prioritization Framework</v>
      </c>
      <c r="C84" t="str">
        <f>Survey!$D84</f>
        <v>Feasibility Assessment</v>
      </c>
      <c r="D84" t="str">
        <f>Survey!$J84</f>
        <v>Feasibility is estimated as developer hours only; technical complexity factors are not considered</v>
      </c>
      <c r="E84">
        <f>Survey!$K84</f>
        <v>1</v>
      </c>
      <c r="F84" t="str">
        <f>Survey!$M84</f>
        <v>Shallow Feasibility</v>
      </c>
      <c r="G84" t="str">
        <f>Survey!$N84</f>
        <v>REC-UCP-003-L1</v>
      </c>
      <c r="H84" t="str">
        <f ca="1">IFERROR(_xludf.XLOOKUP(G84,tbl_RecLibrary[Recommendation ID],tbl_RecLibrary[Recommendation Title]),"")</f>
        <v/>
      </c>
      <c r="I84" t="str">
        <f ca="1">IFERROR(_xludf.XLOOKUP(G84,tbl_RecLibrary[Recommendation ID],tbl_RecLibrary[Recommended Action]),"")</f>
        <v/>
      </c>
      <c r="J84" t="str">
        <f ca="1">IFERROR(_xludf.XLOOKUP(G84,tbl_RecLibrary[Recommendation ID],tbl_RecLibrary[Priority]),"")</f>
        <v/>
      </c>
      <c r="K84" t="str">
        <f ca="1">IFERROR(_xludf.XLOOKUP(G84,tbl_RecLibrary[Recommendation ID],tbl_RecLibrary[Roadmap Horizon]),"")</f>
        <v/>
      </c>
    </row>
    <row r="85" spans="1:11" x14ac:dyDescent="0.25">
      <c r="A85" t="str">
        <f>Survey!$A85</f>
        <v>UCP-004</v>
      </c>
      <c r="B85" t="str">
        <f>Survey!$B85</f>
        <v>Use Case Prioritization Framework</v>
      </c>
      <c r="C85" t="str">
        <f>Survey!$D85</f>
        <v>Right-Tool Evaluation</v>
      </c>
      <c r="D85" t="str">
        <f>Survey!$J85</f>
        <v>All "AI ideas" proceed as AI projects; non-AI alternatives are not considered</v>
      </c>
      <c r="E85">
        <f>Survey!$K85</f>
        <v>1</v>
      </c>
      <c r="F85" t="str">
        <f>Survey!$M85</f>
        <v>Right-Tool Gap</v>
      </c>
      <c r="G85" t="str">
        <f>Survey!$N85</f>
        <v>REC-UCP-004-L1</v>
      </c>
      <c r="H85" t="str">
        <f ca="1">IFERROR(_xludf.XLOOKUP(G85,tbl_RecLibrary[Recommendation ID],tbl_RecLibrary[Recommendation Title]),"")</f>
        <v/>
      </c>
      <c r="I85" t="str">
        <f ca="1">IFERROR(_xludf.XLOOKUP(G85,tbl_RecLibrary[Recommendation ID],tbl_RecLibrary[Recommended Action]),"")</f>
        <v/>
      </c>
      <c r="J85" t="str">
        <f ca="1">IFERROR(_xludf.XLOOKUP(G85,tbl_RecLibrary[Recommendation ID],tbl_RecLibrary[Priority]),"")</f>
        <v/>
      </c>
      <c r="K85" t="str">
        <f ca="1">IFERROR(_xludf.XLOOKUP(G85,tbl_RecLibrary[Recommendation ID],tbl_RecLibrary[Roadmap Horizon]),"")</f>
        <v/>
      </c>
    </row>
    <row r="86" spans="1:11" x14ac:dyDescent="0.25">
      <c r="A86" t="str">
        <f>Survey!$A86</f>
        <v>UCP-005</v>
      </c>
      <c r="B86" t="str">
        <f>Survey!$B86</f>
        <v>Use Case Prioritization Framework</v>
      </c>
      <c r="C86" t="str">
        <f>Survey!$D86</f>
        <v>Strategic Alignment Weighting</v>
      </c>
      <c r="D86" t="str">
        <f>Survey!$J86</f>
        <v>Strategic alignment is not factored into AI use case prioritization</v>
      </c>
      <c r="E86">
        <f>Survey!$K86</f>
        <v>1</v>
      </c>
      <c r="F86" t="str">
        <f>Survey!$M86</f>
        <v>Strategic Alignment Gap</v>
      </c>
      <c r="G86" t="str">
        <f>Survey!$N86</f>
        <v>REC-UCP-005-L1</v>
      </c>
      <c r="H86" t="str">
        <f ca="1">IFERROR(_xludf.XLOOKUP(G86,tbl_RecLibrary[Recommendation ID],tbl_RecLibrary[Recommendation Title]),"")</f>
        <v/>
      </c>
      <c r="I86" t="str">
        <f ca="1">IFERROR(_xludf.XLOOKUP(G86,tbl_RecLibrary[Recommendation ID],tbl_RecLibrary[Recommended Action]),"")</f>
        <v/>
      </c>
      <c r="J86" t="str">
        <f ca="1">IFERROR(_xludf.XLOOKUP(G86,tbl_RecLibrary[Recommendation ID],tbl_RecLibrary[Priority]),"")</f>
        <v/>
      </c>
      <c r="K86" t="str">
        <f ca="1">IFERROR(_xludf.XLOOKUP(G86,tbl_RecLibrary[Recommendation ID],tbl_RecLibrary[Roadmap Horizon]),"")</f>
        <v/>
      </c>
    </row>
    <row r="87" spans="1:11" x14ac:dyDescent="0.25">
      <c r="A87" t="str">
        <f>Survey!$A87</f>
        <v>UCP-006</v>
      </c>
      <c r="B87" t="str">
        <f>Survey!$B87</f>
        <v>Use Case Prioritization Framework</v>
      </c>
      <c r="C87" t="str">
        <f>Survey!$D87</f>
        <v>Portfolio Horizon Mix</v>
      </c>
      <c r="D87" t="str">
        <f>Survey!$J87</f>
        <v>The AI portfolio is not segmented by horizon; everything is incremental</v>
      </c>
      <c r="E87">
        <f>Survey!$K87</f>
        <v>1</v>
      </c>
      <c r="F87" t="str">
        <f>Survey!$M87</f>
        <v>Horizon Mix Gap</v>
      </c>
      <c r="G87" t="str">
        <f>Survey!$N87</f>
        <v>REC-UCP-006-L1</v>
      </c>
      <c r="H87" t="str">
        <f ca="1">IFERROR(_xludf.XLOOKUP(G87,tbl_RecLibrary[Recommendation ID],tbl_RecLibrary[Recommendation Title]),"")</f>
        <v/>
      </c>
      <c r="I87" t="str">
        <f ca="1">IFERROR(_xludf.XLOOKUP(G87,tbl_RecLibrary[Recommendation ID],tbl_RecLibrary[Recommended Action]),"")</f>
        <v/>
      </c>
      <c r="J87" t="str">
        <f ca="1">IFERROR(_xludf.XLOOKUP(G87,tbl_RecLibrary[Recommendation ID],tbl_RecLibrary[Priority]),"")</f>
        <v/>
      </c>
      <c r="K87" t="str">
        <f ca="1">IFERROR(_xludf.XLOOKUP(G87,tbl_RecLibrary[Recommendation ID],tbl_RecLibrary[Roadmap Horizon]),"")</f>
        <v/>
      </c>
    </row>
    <row r="88" spans="1:11" x14ac:dyDescent="0.25">
      <c r="A88" t="str">
        <f>Survey!$A88</f>
        <v>UCP-007</v>
      </c>
      <c r="B88" t="str">
        <f>Survey!$B88</f>
        <v>Use Case Prioritization Framework</v>
      </c>
      <c r="C88" t="str">
        <f>Survey!$D88</f>
        <v>Active Portfolio Rebalancing</v>
      </c>
      <c r="D88" t="str">
        <f>Survey!$J88</f>
        <v>Approved projects continue to completion regardless of changes in value or context</v>
      </c>
      <c r="E88">
        <f>Survey!$K88</f>
        <v>1</v>
      </c>
      <c r="F88" t="str">
        <f>Survey!$M88</f>
        <v>Sunk Cost Bias</v>
      </c>
      <c r="G88" t="str">
        <f>Survey!$N88</f>
        <v>REC-UCP-007-L1</v>
      </c>
      <c r="H88" t="str">
        <f ca="1">IFERROR(_xludf.XLOOKUP(G88,tbl_RecLibrary[Recommendation ID],tbl_RecLibrary[Recommendation Title]),"")</f>
        <v/>
      </c>
      <c r="I88" t="str">
        <f ca="1">IFERROR(_xludf.XLOOKUP(G88,tbl_RecLibrary[Recommendation ID],tbl_RecLibrary[Recommended Action]),"")</f>
        <v/>
      </c>
      <c r="J88" t="str">
        <f ca="1">IFERROR(_xludf.XLOOKUP(G88,tbl_RecLibrary[Recommendation ID],tbl_RecLibrary[Priority]),"")</f>
        <v/>
      </c>
      <c r="K88" t="str">
        <f ca="1">IFERROR(_xludf.XLOOKUP(G88,tbl_RecLibrary[Recommendation ID],tbl_RecLibrary[Roadmap Horizon]),"")</f>
        <v/>
      </c>
    </row>
    <row r="89" spans="1:11" x14ac:dyDescent="0.25">
      <c r="A89" t="str">
        <f>Survey!$A89</f>
        <v>UCP-008</v>
      </c>
      <c r="B89" t="str">
        <f>Survey!$B89</f>
        <v>Use Case Prioritization Framework</v>
      </c>
      <c r="C89" t="str">
        <f>Survey!$D89</f>
        <v>Scarce-Resource Allocation</v>
      </c>
      <c r="D89" t="str">
        <f>Survey!$J89</f>
        <v>There is no defined way to resolve resource contention; "first one to ask wins" or politics decides</v>
      </c>
      <c r="E89">
        <f>Survey!$K89</f>
        <v>1</v>
      </c>
      <c r="F89" t="str">
        <f>Survey!$M89</f>
        <v>Allocation Gap</v>
      </c>
      <c r="G89" t="str">
        <f>Survey!$N89</f>
        <v>REC-UCP-008-L1</v>
      </c>
      <c r="H89" t="str">
        <f ca="1">IFERROR(_xludf.XLOOKUP(G89,tbl_RecLibrary[Recommendation ID],tbl_RecLibrary[Recommendation Title]),"")</f>
        <v/>
      </c>
      <c r="I89" t="str">
        <f ca="1">IFERROR(_xludf.XLOOKUP(G89,tbl_RecLibrary[Recommendation ID],tbl_RecLibrary[Recommended Action]),"")</f>
        <v/>
      </c>
      <c r="J89" t="str">
        <f ca="1">IFERROR(_xludf.XLOOKUP(G89,tbl_RecLibrary[Recommendation ID],tbl_RecLibrary[Priority]),"")</f>
        <v/>
      </c>
      <c r="K89" t="str">
        <f ca="1">IFERROR(_xludf.XLOOKUP(G89,tbl_RecLibrary[Recommendation ID],tbl_RecLibrary[Roadmap Horizon]),"")</f>
        <v/>
      </c>
    </row>
    <row r="90" spans="1:11" x14ac:dyDescent="0.25">
      <c r="A90" t="str">
        <f>Survey!$A90</f>
        <v>UCP-009</v>
      </c>
      <c r="B90" t="str">
        <f>Survey!$B90</f>
        <v>Use Case Prioritization Framework</v>
      </c>
      <c r="C90" t="str">
        <f>Survey!$D90</f>
        <v>Early Risk Screening</v>
      </c>
      <c r="D90" t="str">
        <f>Survey!$J90</f>
        <v>Privacy and ethics risk is not screened before prioritization; issues are found later in delivery</v>
      </c>
      <c r="E90">
        <f>Survey!$K90</f>
        <v>1</v>
      </c>
      <c r="F90" t="str">
        <f>Survey!$M90</f>
        <v>Late Risk Discovery</v>
      </c>
      <c r="G90" t="str">
        <f>Survey!$N90</f>
        <v>REC-UCP-009-L1</v>
      </c>
      <c r="H90" t="str">
        <f ca="1">IFERROR(_xludf.XLOOKUP(G90,tbl_RecLibrary[Recommendation ID],tbl_RecLibrary[Recommendation Title]),"")</f>
        <v/>
      </c>
      <c r="I90" t="str">
        <f ca="1">IFERROR(_xludf.XLOOKUP(G90,tbl_RecLibrary[Recommendation ID],tbl_RecLibrary[Recommended Action]),"")</f>
        <v/>
      </c>
      <c r="J90" t="str">
        <f ca="1">IFERROR(_xludf.XLOOKUP(G90,tbl_RecLibrary[Recommendation ID],tbl_RecLibrary[Priority]),"")</f>
        <v/>
      </c>
      <c r="K90" t="str">
        <f ca="1">IFERROR(_xludf.XLOOKUP(G90,tbl_RecLibrary[Recommendation ID],tbl_RecLibrary[Roadmap Horizon]),"")</f>
        <v/>
      </c>
    </row>
    <row r="91" spans="1:11" x14ac:dyDescent="0.25">
      <c r="A91" t="str">
        <f>Survey!$A91</f>
        <v>UCP-010</v>
      </c>
      <c r="B91" t="str">
        <f>Survey!$B91</f>
        <v>Use Case Prioritization Framework</v>
      </c>
      <c r="C91" t="str">
        <f>Survey!$D91</f>
        <v>Cost-of-Governance Inclusion</v>
      </c>
      <c r="D91" t="str">
        <f>Survey!$J91</f>
        <v>Governance cost is not considered in AI use case scoring</v>
      </c>
      <c r="E91">
        <f>Survey!$K91</f>
        <v>1</v>
      </c>
      <c r="F91" t="str">
        <f>Survey!$M91</f>
        <v>Cost-of-Governance Blind Spot</v>
      </c>
      <c r="G91" t="str">
        <f>Survey!$N91</f>
        <v>REC-UCP-010-L1</v>
      </c>
      <c r="H91" t="str">
        <f ca="1">IFERROR(_xludf.XLOOKUP(G91,tbl_RecLibrary[Recommendation ID],tbl_RecLibrary[Recommendation Title]),"")</f>
        <v/>
      </c>
      <c r="I91" t="str">
        <f ca="1">IFERROR(_xludf.XLOOKUP(G91,tbl_RecLibrary[Recommendation ID],tbl_RecLibrary[Recommended Action]),"")</f>
        <v/>
      </c>
      <c r="J91" t="str">
        <f ca="1">IFERROR(_xludf.XLOOKUP(G91,tbl_RecLibrary[Recommendation ID],tbl_RecLibrary[Priority]),"")</f>
        <v/>
      </c>
      <c r="K91" t="str">
        <f ca="1">IFERROR(_xludf.XLOOKUP(G91,tbl_RecLibrary[Recommendation ID],tbl_RecLibrary[Roadmap Horizon]),"")</f>
        <v/>
      </c>
    </row>
    <row r="92" spans="1:11" x14ac:dyDescent="0.25">
      <c r="A92" t="str">
        <f>Survey!$A92</f>
        <v>UCP-011</v>
      </c>
      <c r="B92" t="str">
        <f>Survey!$B92</f>
        <v>Use Case Prioritization Framework</v>
      </c>
      <c r="C92" t="str">
        <f>Survey!$D92</f>
        <v>Data Sovereignty Risk Scoring</v>
      </c>
      <c r="D92" t="str">
        <f>Survey!$J92</f>
        <v>Data sovereignty and IP-leak risk are not reflected in use case scoring</v>
      </c>
      <c r="E92">
        <f>Survey!$K92</f>
        <v>1</v>
      </c>
      <c r="F92" t="str">
        <f>Survey!$M92</f>
        <v>Sovereignty Risk Gap</v>
      </c>
      <c r="G92" t="str">
        <f>Survey!$N92</f>
        <v>REC-UCP-011-L1</v>
      </c>
      <c r="H92" t="str">
        <f ca="1">IFERROR(_xludf.XLOOKUP(G92,tbl_RecLibrary[Recommendation ID],tbl_RecLibrary[Recommendation Title]),"")</f>
        <v/>
      </c>
      <c r="I92" t="str">
        <f ca="1">IFERROR(_xludf.XLOOKUP(G92,tbl_RecLibrary[Recommendation ID],tbl_RecLibrary[Recommended Action]),"")</f>
        <v/>
      </c>
      <c r="J92" t="str">
        <f ca="1">IFERROR(_xludf.XLOOKUP(G92,tbl_RecLibrary[Recommendation ID],tbl_RecLibrary[Priority]),"")</f>
        <v/>
      </c>
      <c r="K92" t="str">
        <f ca="1">IFERROR(_xludf.XLOOKUP(G92,tbl_RecLibrary[Recommendation ID],tbl_RecLibrary[Roadmap Horizon]),"")</f>
        <v/>
      </c>
    </row>
    <row r="93" spans="1:11" x14ac:dyDescent="0.25">
      <c r="A93" t="str">
        <f>Survey!$A93</f>
        <v>UCP-012</v>
      </c>
      <c r="B93" t="str">
        <f>Survey!$B93</f>
        <v>Use Case Prioritization Framework</v>
      </c>
      <c r="C93" t="str">
        <f>Survey!$D93</f>
        <v>Business Champion Commitment</v>
      </c>
      <c r="D93" t="str">
        <f>Survey!$J93</f>
        <v>Use cases are prioritized without a named business champion responsible for adoption</v>
      </c>
      <c r="E93">
        <f>Survey!$K93</f>
        <v>1</v>
      </c>
      <c r="F93" t="str">
        <f>Survey!$M93</f>
        <v>Champion Gap</v>
      </c>
      <c r="G93" t="str">
        <f>Survey!$N93</f>
        <v>REC-UCP-012-L1</v>
      </c>
      <c r="H93" t="str">
        <f ca="1">IFERROR(_xludf.XLOOKUP(G93,tbl_RecLibrary[Recommendation ID],tbl_RecLibrary[Recommendation Title]),"")</f>
        <v/>
      </c>
      <c r="I93" t="str">
        <f ca="1">IFERROR(_xludf.XLOOKUP(G93,tbl_RecLibrary[Recommendation ID],tbl_RecLibrary[Recommended Action]),"")</f>
        <v/>
      </c>
      <c r="J93" t="str">
        <f ca="1">IFERROR(_xludf.XLOOKUP(G93,tbl_RecLibrary[Recommendation ID],tbl_RecLibrary[Priority]),"")</f>
        <v/>
      </c>
      <c r="K93" t="str">
        <f ca="1">IFERROR(_xludf.XLOOKUP(G93,tbl_RecLibrary[Recommendation ID],tbl_RecLibrary[Roadmap Horizon]),"")</f>
        <v/>
      </c>
    </row>
    <row r="94" spans="1:11" x14ac:dyDescent="0.25">
      <c r="A94" t="str">
        <f>Survey!$A94</f>
        <v>UCP-013</v>
      </c>
      <c r="B94" t="str">
        <f>Survey!$B94</f>
        <v>Use Case Prioritization Framework</v>
      </c>
      <c r="C94" t="str">
        <f>Survey!$D94</f>
        <v>Adoption Effort Scoring</v>
      </c>
      <c r="D94" t="str">
        <f>Survey!$J94</f>
        <v>Change management effort is not part of feasibility scoring</v>
      </c>
      <c r="E94">
        <f>Survey!$K94</f>
        <v>1</v>
      </c>
      <c r="F94" t="str">
        <f>Survey!$M94</f>
        <v>Adoption Effort Blind Spot</v>
      </c>
      <c r="G94" t="str">
        <f>Survey!$N94</f>
        <v>REC-UCP-013-L1</v>
      </c>
      <c r="H94" t="str">
        <f ca="1">IFERROR(_xludf.XLOOKUP(G94,tbl_RecLibrary[Recommendation ID],tbl_RecLibrary[Recommendation Title]),"")</f>
        <v/>
      </c>
      <c r="I94" t="str">
        <f ca="1">IFERROR(_xludf.XLOOKUP(G94,tbl_RecLibrary[Recommendation ID],tbl_RecLibrary[Recommended Action]),"")</f>
        <v/>
      </c>
      <c r="J94" t="str">
        <f ca="1">IFERROR(_xludf.XLOOKUP(G94,tbl_RecLibrary[Recommendation ID],tbl_RecLibrary[Priority]),"")</f>
        <v/>
      </c>
      <c r="K94" t="str">
        <f ca="1">IFERROR(_xludf.XLOOKUP(G94,tbl_RecLibrary[Recommendation ID],tbl_RecLibrary[Roadmap Horizon]),"")</f>
        <v/>
      </c>
    </row>
    <row r="95" spans="1:11" x14ac:dyDescent="0.25">
      <c r="A95" t="str">
        <f>Survey!$A95</f>
        <v>UCP-014</v>
      </c>
      <c r="B95" t="str">
        <f>Survey!$B95</f>
        <v>Use Case Prioritization Framework</v>
      </c>
      <c r="C95" t="str">
        <f>Survey!$D95</f>
        <v>Failed-Use-Case Learning Loop</v>
      </c>
      <c r="D95" t="str">
        <f>Survey!$J95</f>
        <v>Lessons from failed AI use cases are not captured or shared</v>
      </c>
      <c r="E95">
        <f>Survey!$K95</f>
        <v>1</v>
      </c>
      <c r="F95" t="str">
        <f>Survey!$M95</f>
        <v>Learning Loop Gap</v>
      </c>
      <c r="G95" t="str">
        <f>Survey!$N95</f>
        <v>REC-UCP-014-L1</v>
      </c>
      <c r="H95" t="str">
        <f ca="1">IFERROR(_xludf.XLOOKUP(G95,tbl_RecLibrary[Recommendation ID],tbl_RecLibrary[Recommendation Title]),"")</f>
        <v/>
      </c>
      <c r="I95" t="str">
        <f ca="1">IFERROR(_xludf.XLOOKUP(G95,tbl_RecLibrary[Recommendation ID],tbl_RecLibrary[Recommended Action]),"")</f>
        <v/>
      </c>
      <c r="J95" t="str">
        <f ca="1">IFERROR(_xludf.XLOOKUP(G95,tbl_RecLibrary[Recommendation ID],tbl_RecLibrary[Priority]),"")</f>
        <v/>
      </c>
      <c r="K95" t="str">
        <f ca="1">IFERROR(_xludf.XLOOKUP(G95,tbl_RecLibrary[Recommendation ID],tbl_RecLibrary[Roadmap Horizon]),"")</f>
        <v/>
      </c>
    </row>
    <row r="96" spans="1:11" x14ac:dyDescent="0.25">
      <c r="A96" t="str">
        <f>Survey!$A96</f>
        <v>TRN-001</v>
      </c>
      <c r="B96" t="str">
        <f>Survey!$B96</f>
        <v>Training Program for Council and Business Units</v>
      </c>
      <c r="C96" t="str">
        <f>Survey!$D96</f>
        <v>Council AI Fluency</v>
      </c>
      <c r="D96" t="str">
        <f>Survey!$J96</f>
        <v>Council members do not have a shared baseline of AI fluency</v>
      </c>
      <c r="E96">
        <f>Survey!$K96</f>
        <v>1</v>
      </c>
      <c r="F96" t="str">
        <f>Survey!$M96</f>
        <v>Council Fluency Gap</v>
      </c>
      <c r="G96" t="str">
        <f>Survey!$N96</f>
        <v>REC-TRN-001-L1</v>
      </c>
      <c r="H96" t="str">
        <f ca="1">IFERROR(_xludf.XLOOKUP(G96,tbl_RecLibrary[Recommendation ID],tbl_RecLibrary[Recommendation Title]),"")</f>
        <v/>
      </c>
      <c r="I96" t="str">
        <f ca="1">IFERROR(_xludf.XLOOKUP(G96,tbl_RecLibrary[Recommendation ID],tbl_RecLibrary[Recommended Action]),"")</f>
        <v/>
      </c>
      <c r="J96" t="str">
        <f ca="1">IFERROR(_xludf.XLOOKUP(G96,tbl_RecLibrary[Recommendation ID],tbl_RecLibrary[Priority]),"")</f>
        <v/>
      </c>
      <c r="K96" t="str">
        <f ca="1">IFERROR(_xludf.XLOOKUP(G96,tbl_RecLibrary[Recommendation ID],tbl_RecLibrary[Roadmap Horizon]),"")</f>
        <v/>
      </c>
    </row>
    <row r="97" spans="1:11" x14ac:dyDescent="0.25">
      <c r="A97" t="str">
        <f>Survey!$A97</f>
        <v>TRN-002</v>
      </c>
      <c r="B97" t="str">
        <f>Survey!$B97</f>
        <v>Training Program for Council and Business Units</v>
      </c>
      <c r="C97" t="str">
        <f>Survey!$D97</f>
        <v>AI Regulatory Knowledge</v>
      </c>
      <c r="D97" t="str">
        <f>Survey!$J97</f>
        <v>The council has not been trained on applicable AI regulations or frameworks</v>
      </c>
      <c r="E97">
        <f>Survey!$K97</f>
        <v>1</v>
      </c>
      <c r="F97" t="str">
        <f>Survey!$M97</f>
        <v>Regulatory Training Gap</v>
      </c>
      <c r="G97" t="str">
        <f>Survey!$N97</f>
        <v>REC-TRN-002-L1</v>
      </c>
      <c r="H97" t="str">
        <f ca="1">IFERROR(_xludf.XLOOKUP(G97,tbl_RecLibrary[Recommendation ID],tbl_RecLibrary[Recommendation Title]),"")</f>
        <v/>
      </c>
      <c r="I97" t="str">
        <f ca="1">IFERROR(_xludf.XLOOKUP(G97,tbl_RecLibrary[Recommendation ID],tbl_RecLibrary[Recommended Action]),"")</f>
        <v/>
      </c>
      <c r="J97" t="str">
        <f ca="1">IFERROR(_xludf.XLOOKUP(G97,tbl_RecLibrary[Recommendation ID],tbl_RecLibrary[Priority]),"")</f>
        <v/>
      </c>
      <c r="K97" t="str">
        <f ca="1">IFERROR(_xludf.XLOOKUP(G97,tbl_RecLibrary[Recommendation ID],tbl_RecLibrary[Roadmap Horizon]),"")</f>
        <v/>
      </c>
    </row>
    <row r="98" spans="1:11" x14ac:dyDescent="0.25">
      <c r="A98" t="str">
        <f>Survey!$A98</f>
        <v>TRN-003</v>
      </c>
      <c r="B98" t="str">
        <f>Survey!$B98</f>
        <v>Training Program for Council and Business Units</v>
      </c>
      <c r="C98" t="str">
        <f>Survey!$D98</f>
        <v>Council Risk Decision Calibration</v>
      </c>
      <c r="D98" t="str">
        <f>Survey!$J98</f>
        <v>Council has not practiced risk-tiering decisions; calibration is untested</v>
      </c>
      <c r="E98">
        <f>Survey!$K98</f>
        <v>1</v>
      </c>
      <c r="F98" t="str">
        <f>Survey!$M98</f>
        <v>Calibration Gap</v>
      </c>
      <c r="G98" t="str">
        <f>Survey!$N98</f>
        <v>REC-TRN-003-L1</v>
      </c>
      <c r="H98" t="str">
        <f ca="1">IFERROR(_xludf.XLOOKUP(G98,tbl_RecLibrary[Recommendation ID],tbl_RecLibrary[Recommendation Title]),"")</f>
        <v/>
      </c>
      <c r="I98" t="str">
        <f ca="1">IFERROR(_xludf.XLOOKUP(G98,tbl_RecLibrary[Recommendation ID],tbl_RecLibrary[Recommended Action]),"")</f>
        <v/>
      </c>
      <c r="J98" t="str">
        <f ca="1">IFERROR(_xludf.XLOOKUP(G98,tbl_RecLibrary[Recommendation ID],tbl_RecLibrary[Priority]),"")</f>
        <v/>
      </c>
      <c r="K98" t="str">
        <f ca="1">IFERROR(_xludf.XLOOKUP(G98,tbl_RecLibrary[Recommendation ID],tbl_RecLibrary[Roadmap Horizon]),"")</f>
        <v/>
      </c>
    </row>
    <row r="99" spans="1:11" x14ac:dyDescent="0.25">
      <c r="A99" t="str">
        <f>Survey!$A99</f>
        <v>TRN-004</v>
      </c>
      <c r="B99" t="str">
        <f>Survey!$B99</f>
        <v>Training Program for Council and Business Units</v>
      </c>
      <c r="C99" t="str">
        <f>Survey!$D99</f>
        <v>Council Explainability Literacy</v>
      </c>
      <c r="D99" t="str">
        <f>Survey!$J99</f>
        <v>Council members generally accept model outputs without challenging explainability</v>
      </c>
      <c r="E99">
        <f>Survey!$K99</f>
        <v>1</v>
      </c>
      <c r="F99" t="str">
        <f>Survey!$M99</f>
        <v>Black Box Acceptance</v>
      </c>
      <c r="G99" t="str">
        <f>Survey!$N99</f>
        <v>REC-TRN-004-L1</v>
      </c>
      <c r="H99" t="str">
        <f ca="1">IFERROR(_xludf.XLOOKUP(G99,tbl_RecLibrary[Recommendation ID],tbl_RecLibrary[Recommendation Title]),"")</f>
        <v/>
      </c>
      <c r="I99" t="str">
        <f ca="1">IFERROR(_xludf.XLOOKUP(G99,tbl_RecLibrary[Recommendation ID],tbl_RecLibrary[Recommended Action]),"")</f>
        <v/>
      </c>
      <c r="J99" t="str">
        <f ca="1">IFERROR(_xludf.XLOOKUP(G99,tbl_RecLibrary[Recommendation ID],tbl_RecLibrary[Priority]),"")</f>
        <v/>
      </c>
      <c r="K99" t="str">
        <f ca="1">IFERROR(_xludf.XLOOKUP(G99,tbl_RecLibrary[Recommendation ID],tbl_RecLibrary[Roadmap Horizon]),"")</f>
        <v/>
      </c>
    </row>
    <row r="100" spans="1:11" x14ac:dyDescent="0.25">
      <c r="A100" t="str">
        <f>Survey!$A100</f>
        <v>TRN-005</v>
      </c>
      <c r="B100" t="str">
        <f>Survey!$B100</f>
        <v>Training Program for Council and Business Units</v>
      </c>
      <c r="C100" t="str">
        <f>Survey!$D100</f>
        <v>Council Technical Failure Recognition</v>
      </c>
      <c r="D100" t="str">
        <f>Survey!$J100</f>
        <v>Council members rely entirely on technical team interpretation of AI reports</v>
      </c>
      <c r="E100">
        <f>Survey!$K100</f>
        <v>1</v>
      </c>
      <c r="F100" t="str">
        <f>Survey!$M100</f>
        <v>Intuition Gap</v>
      </c>
      <c r="G100" t="str">
        <f>Survey!$N100</f>
        <v>REC-TRN-005-L1</v>
      </c>
      <c r="H100" t="str">
        <f ca="1">IFERROR(_xludf.XLOOKUP(G100,tbl_RecLibrary[Recommendation ID],tbl_RecLibrary[Recommendation Title]),"")</f>
        <v/>
      </c>
      <c r="I100" t="str">
        <f ca="1">IFERROR(_xludf.XLOOKUP(G100,tbl_RecLibrary[Recommendation ID],tbl_RecLibrary[Recommended Action]),"")</f>
        <v/>
      </c>
      <c r="J100" t="str">
        <f ca="1">IFERROR(_xludf.XLOOKUP(G100,tbl_RecLibrary[Recommendation ID],tbl_RecLibrary[Priority]),"")</f>
        <v/>
      </c>
      <c r="K100" t="str">
        <f ca="1">IFERROR(_xludf.XLOOKUP(G100,tbl_RecLibrary[Recommendation ID],tbl_RecLibrary[Roadmap Horizon]),"")</f>
        <v/>
      </c>
    </row>
    <row r="101" spans="1:11" x14ac:dyDescent="0.25">
      <c r="A101" t="str">
        <f>Survey!$A101</f>
        <v>TRN-006</v>
      </c>
      <c r="B101" t="str">
        <f>Survey!$B101</f>
        <v>Training Program for Council and Business Units</v>
      </c>
      <c r="C101" t="str">
        <f>Survey!$D101</f>
        <v>Employee Tool-Awareness Training</v>
      </c>
      <c r="D101" t="str">
        <f>Survey!$J101</f>
        <v>Employees do not know which AI tools are sanctioned versus prohibited</v>
      </c>
      <c r="E101">
        <f>Survey!$K101</f>
        <v>1</v>
      </c>
      <c r="F101" t="str">
        <f>Survey!$M101</f>
        <v>Tool Awareness Gap</v>
      </c>
      <c r="G101" t="str">
        <f>Survey!$N101</f>
        <v>REC-TRN-006-L1</v>
      </c>
      <c r="H101" t="str">
        <f ca="1">IFERROR(_xludf.XLOOKUP(G101,tbl_RecLibrary[Recommendation ID],tbl_RecLibrary[Recommendation Title]),"")</f>
        <v/>
      </c>
      <c r="I101" t="str">
        <f ca="1">IFERROR(_xludf.XLOOKUP(G101,tbl_RecLibrary[Recommendation ID],tbl_RecLibrary[Recommended Action]),"")</f>
        <v/>
      </c>
      <c r="J101" t="str">
        <f ca="1">IFERROR(_xludf.XLOOKUP(G101,tbl_RecLibrary[Recommendation ID],tbl_RecLibrary[Priority]),"")</f>
        <v/>
      </c>
      <c r="K101" t="str">
        <f ca="1">IFERROR(_xludf.XLOOKUP(G101,tbl_RecLibrary[Recommendation ID],tbl_RecLibrary[Roadmap Horizon]),"")</f>
        <v/>
      </c>
    </row>
    <row r="102" spans="1:11" x14ac:dyDescent="0.25">
      <c r="A102" t="str">
        <f>Survey!$A102</f>
        <v>TRN-007</v>
      </c>
      <c r="B102" t="str">
        <f>Survey!$B102</f>
        <v>Training Program for Council and Business Units</v>
      </c>
      <c r="C102" t="str">
        <f>Survey!$D102</f>
        <v>Prompt and Output Verification Skills</v>
      </c>
      <c r="D102" t="str">
        <f>Survey!$J102</f>
        <v>No training exists for prompt engineering or output verification</v>
      </c>
      <c r="E102">
        <f>Survey!$K102</f>
        <v>1</v>
      </c>
      <c r="F102" t="str">
        <f>Survey!$M102</f>
        <v>Prompt/Verify Training Gap</v>
      </c>
      <c r="G102" t="str">
        <f>Survey!$N102</f>
        <v>REC-TRN-007-L1</v>
      </c>
      <c r="H102" t="str">
        <f ca="1">IFERROR(_xludf.XLOOKUP(G102,tbl_RecLibrary[Recommendation ID],tbl_RecLibrary[Recommendation Title]),"")</f>
        <v/>
      </c>
      <c r="I102" t="str">
        <f ca="1">IFERROR(_xludf.XLOOKUP(G102,tbl_RecLibrary[Recommendation ID],tbl_RecLibrary[Recommended Action]),"")</f>
        <v/>
      </c>
      <c r="J102" t="str">
        <f ca="1">IFERROR(_xludf.XLOOKUP(G102,tbl_RecLibrary[Recommendation ID],tbl_RecLibrary[Priority]),"")</f>
        <v/>
      </c>
      <c r="K102" t="str">
        <f ca="1">IFERROR(_xludf.XLOOKUP(G102,tbl_RecLibrary[Recommendation ID],tbl_RecLibrary[Roadmap Horizon]),"")</f>
        <v/>
      </c>
    </row>
    <row r="103" spans="1:11" x14ac:dyDescent="0.25">
      <c r="A103" t="str">
        <f>Survey!$A103</f>
        <v>TRN-008</v>
      </c>
      <c r="B103" t="str">
        <f>Survey!$B103</f>
        <v>Training Program for Council and Business Units</v>
      </c>
      <c r="C103" t="str">
        <f>Survey!$D103</f>
        <v>Sensitive Data Awareness</v>
      </c>
      <c r="D103" t="str">
        <f>Survey!$J103</f>
        <v>Business users cannot consistently identify sensitive data; risk is high</v>
      </c>
      <c r="E103">
        <f>Survey!$K103</f>
        <v>1</v>
      </c>
      <c r="F103" t="str">
        <f>Survey!$M103</f>
        <v>Sensitive Data Awareness Gap</v>
      </c>
      <c r="G103" t="str">
        <f>Survey!$N103</f>
        <v>REC-TRN-008-L1</v>
      </c>
      <c r="H103" t="str">
        <f ca="1">IFERROR(_xludf.XLOOKUP(G103,tbl_RecLibrary[Recommendation ID],tbl_RecLibrary[Recommendation Title]),"")</f>
        <v/>
      </c>
      <c r="I103" t="str">
        <f ca="1">IFERROR(_xludf.XLOOKUP(G103,tbl_RecLibrary[Recommendation ID],tbl_RecLibrary[Recommended Action]),"")</f>
        <v/>
      </c>
      <c r="J103" t="str">
        <f ca="1">IFERROR(_xludf.XLOOKUP(G103,tbl_RecLibrary[Recommendation ID],tbl_RecLibrary[Priority]),"")</f>
        <v/>
      </c>
      <c r="K103" t="str">
        <f ca="1">IFERROR(_xludf.XLOOKUP(G103,tbl_RecLibrary[Recommendation ID],tbl_RecLibrary[Roadmap Horizon]),"")</f>
        <v/>
      </c>
    </row>
    <row r="104" spans="1:11" x14ac:dyDescent="0.25">
      <c r="A104" t="str">
        <f>Survey!$A104</f>
        <v>TRN-009</v>
      </c>
      <c r="B104" t="str">
        <f>Survey!$B104</f>
        <v>Training Program for Council and Business Units</v>
      </c>
      <c r="C104" t="str">
        <f>Survey!$D104</f>
        <v>Human Accountability for AI Output</v>
      </c>
      <c r="D104" t="str">
        <f>Survey!$J104</f>
        <v>Users assume AI output is correct by default and do not see themselves as the final filter</v>
      </c>
      <c r="E104">
        <f>Survey!$K104</f>
        <v>1</v>
      </c>
      <c r="F104" t="str">
        <f>Survey!$M104</f>
        <v>Accountability Gap</v>
      </c>
      <c r="G104" t="str">
        <f>Survey!$N104</f>
        <v>REC-TRN-009-L1</v>
      </c>
      <c r="H104" t="str">
        <f ca="1">IFERROR(_xludf.XLOOKUP(G104,tbl_RecLibrary[Recommendation ID],tbl_RecLibrary[Recommendation Title]),"")</f>
        <v/>
      </c>
      <c r="I104" t="str">
        <f ca="1">IFERROR(_xludf.XLOOKUP(G104,tbl_RecLibrary[Recommendation ID],tbl_RecLibrary[Recommended Action]),"")</f>
        <v/>
      </c>
      <c r="J104" t="str">
        <f ca="1">IFERROR(_xludf.XLOOKUP(G104,tbl_RecLibrary[Recommendation ID],tbl_RecLibrary[Priority]),"")</f>
        <v/>
      </c>
      <c r="K104" t="str">
        <f ca="1">IFERROR(_xludf.XLOOKUP(G104,tbl_RecLibrary[Recommendation ID],tbl_RecLibrary[Roadmap Horizon]),"")</f>
        <v/>
      </c>
    </row>
    <row r="105" spans="1:11" x14ac:dyDescent="0.25">
      <c r="A105" t="str">
        <f>Survey!$A105</f>
        <v>TRN-010</v>
      </c>
      <c r="B105" t="str">
        <f>Survey!$B105</f>
        <v>Training Program for Council and Business Units</v>
      </c>
      <c r="C105" t="str">
        <f>Survey!$D105</f>
        <v>"Good AI Problem" Recognition</v>
      </c>
      <c r="D105" t="str">
        <f>Survey!$J105</f>
        <v>Business leads cannot reliably distinguish good AI use cases from poor-fit ones; intake is noisy</v>
      </c>
      <c r="E105">
        <f>Survey!$K105</f>
        <v>1</v>
      </c>
      <c r="F105" t="str">
        <f>Survey!$M105</f>
        <v>Use Case Recognition Gap</v>
      </c>
      <c r="G105" t="str">
        <f>Survey!$N105</f>
        <v>REC-TRN-010-L1</v>
      </c>
      <c r="H105" t="str">
        <f ca="1">IFERROR(_xludf.XLOOKUP(G105,tbl_RecLibrary[Recommendation ID],tbl_RecLibrary[Recommendation Title]),"")</f>
        <v/>
      </c>
      <c r="I105" t="str">
        <f ca="1">IFERROR(_xludf.XLOOKUP(G105,tbl_RecLibrary[Recommendation ID],tbl_RecLibrary[Recommended Action]),"")</f>
        <v/>
      </c>
      <c r="J105" t="str">
        <f ca="1">IFERROR(_xludf.XLOOKUP(G105,tbl_RecLibrary[Recommendation ID],tbl_RecLibrary[Priority]),"")</f>
        <v/>
      </c>
      <c r="K105" t="str">
        <f ca="1">IFERROR(_xludf.XLOOKUP(G105,tbl_RecLibrary[Recommendation ID],tbl_RecLibrary[Roadmap Horizon]),"")</f>
        <v/>
      </c>
    </row>
    <row r="106" spans="1:11" x14ac:dyDescent="0.25">
      <c r="A106" t="str">
        <f>Survey!$A106</f>
        <v>TRN-011</v>
      </c>
      <c r="B106" t="str">
        <f>Survey!$B106</f>
        <v>Training Program for Council and Business Units</v>
      </c>
      <c r="C106" t="str">
        <f>Survey!$D106</f>
        <v>Role-Differentiated Training</v>
      </c>
      <c r="D106" t="str">
        <f>Survey!$J106</f>
        <v>Training is one-size-fits-all; no persona differentiation</v>
      </c>
      <c r="E106">
        <f>Survey!$K106</f>
        <v>1</v>
      </c>
      <c r="F106" t="str">
        <f>Survey!$M106</f>
        <v>Persona Differentiation Gap</v>
      </c>
      <c r="G106" t="str">
        <f>Survey!$N106</f>
        <v>REC-TRN-011-L1</v>
      </c>
      <c r="H106" t="str">
        <f ca="1">IFERROR(_xludf.XLOOKUP(G106,tbl_RecLibrary[Recommendation ID],tbl_RecLibrary[Recommendation Title]),"")</f>
        <v/>
      </c>
      <c r="I106" t="str">
        <f ca="1">IFERROR(_xludf.XLOOKUP(G106,tbl_RecLibrary[Recommendation ID],tbl_RecLibrary[Recommended Action]),"")</f>
        <v/>
      </c>
      <c r="J106" t="str">
        <f ca="1">IFERROR(_xludf.XLOOKUP(G106,tbl_RecLibrary[Recommendation ID],tbl_RecLibrary[Priority]),"")</f>
        <v/>
      </c>
      <c r="K106" t="str">
        <f ca="1">IFERROR(_xludf.XLOOKUP(G106,tbl_RecLibrary[Recommendation ID],tbl_RecLibrary[Roadmap Horizon]),"")</f>
        <v/>
      </c>
    </row>
    <row r="107" spans="1:11" x14ac:dyDescent="0.25">
      <c r="A107" t="str">
        <f>Survey!$A107</f>
        <v>TRN-012</v>
      </c>
      <c r="B107" t="str">
        <f>Survey!$B107</f>
        <v>Training Program for Council and Business Units</v>
      </c>
      <c r="C107" t="str">
        <f>Survey!$D107</f>
        <v>Training Content Currency</v>
      </c>
      <c r="D107" t="str">
        <f>Survey!$J107</f>
        <v>AI training content is rarely updated; it does not reflect current AI capabilities or risks</v>
      </c>
      <c r="E107">
        <f>Survey!$K107</f>
        <v>1</v>
      </c>
      <c r="F107" t="str">
        <f>Survey!$M107</f>
        <v>Stale Training</v>
      </c>
      <c r="G107" t="str">
        <f>Survey!$N107</f>
        <v>REC-TRN-012-L1</v>
      </c>
      <c r="H107" t="str">
        <f ca="1">IFERROR(_xludf.XLOOKUP(G107,tbl_RecLibrary[Recommendation ID],tbl_RecLibrary[Recommendation Title]),"")</f>
        <v/>
      </c>
      <c r="I107" t="str">
        <f ca="1">IFERROR(_xludf.XLOOKUP(G107,tbl_RecLibrary[Recommendation ID],tbl_RecLibrary[Recommended Action]),"")</f>
        <v/>
      </c>
      <c r="J107" t="str">
        <f ca="1">IFERROR(_xludf.XLOOKUP(G107,tbl_RecLibrary[Recommendation ID],tbl_RecLibrary[Priority]),"")</f>
        <v/>
      </c>
      <c r="K107" t="str">
        <f ca="1">IFERROR(_xludf.XLOOKUP(G107,tbl_RecLibrary[Recommendation ID],tbl_RecLibrary[Roadmap Horizon]),"")</f>
        <v/>
      </c>
    </row>
    <row r="108" spans="1:11" x14ac:dyDescent="0.25">
      <c r="A108" t="str">
        <f>Survey!$A108</f>
        <v>TRN-013</v>
      </c>
      <c r="B108" t="str">
        <f>Survey!$B108</f>
        <v>Training Program for Council and Business Units</v>
      </c>
      <c r="C108" t="str">
        <f>Survey!$D108</f>
        <v>Behavior-Change Measurement</v>
      </c>
      <c r="D108" t="str">
        <f>Survey!$J108</f>
        <v>Training is measured only by completion rates</v>
      </c>
      <c r="E108">
        <f>Survey!$K108</f>
        <v>1</v>
      </c>
      <c r="F108" t="str">
        <f>Survey!$M108</f>
        <v>Impact Measurement Gap</v>
      </c>
      <c r="G108" t="str">
        <f>Survey!$N108</f>
        <v>REC-TRN-013-L1</v>
      </c>
      <c r="H108" t="str">
        <f ca="1">IFERROR(_xludf.XLOOKUP(G108,tbl_RecLibrary[Recommendation ID],tbl_RecLibrary[Recommendation Title]),"")</f>
        <v/>
      </c>
      <c r="I108" t="str">
        <f ca="1">IFERROR(_xludf.XLOOKUP(G108,tbl_RecLibrary[Recommendation ID],tbl_RecLibrary[Recommended Action]),"")</f>
        <v/>
      </c>
      <c r="J108" t="str">
        <f ca="1">IFERROR(_xludf.XLOOKUP(G108,tbl_RecLibrary[Recommendation ID],tbl_RecLibrary[Priority]),"")</f>
        <v/>
      </c>
      <c r="K108" t="str">
        <f ca="1">IFERROR(_xludf.XLOOKUP(G108,tbl_RecLibrary[Recommendation ID],tbl_RecLibrary[Roadmap Horizon]),"")</f>
        <v/>
      </c>
    </row>
    <row r="109" spans="1:11" x14ac:dyDescent="0.25">
      <c r="A109" t="str">
        <f>Survey!$A109</f>
        <v>TRN-014</v>
      </c>
      <c r="B109" t="str">
        <f>Survey!$B109</f>
        <v>Training Program for Council and Business Units</v>
      </c>
      <c r="C109" t="str">
        <f>Survey!$D109</f>
        <v>Just-in-Time AI Expert Access</v>
      </c>
      <c r="D109" t="str">
        <f>Survey!$J109</f>
        <v>Business users do not know how to access AI expertise for grey-area questions</v>
      </c>
      <c r="E109">
        <f>Survey!$K109</f>
        <v>1</v>
      </c>
      <c r="F109" t="str">
        <f>Survey!$M109</f>
        <v>Expert Access Gap</v>
      </c>
      <c r="G109" t="str">
        <f>Survey!$N109</f>
        <v>REC-TRN-014-L1</v>
      </c>
      <c r="H109" t="str">
        <f ca="1">IFERROR(_xludf.XLOOKUP(G109,tbl_RecLibrary[Recommendation ID],tbl_RecLibrary[Recommendation Title]),"")</f>
        <v/>
      </c>
      <c r="I109" t="str">
        <f ca="1">IFERROR(_xludf.XLOOKUP(G109,tbl_RecLibrary[Recommendation ID],tbl_RecLibrary[Recommended Action]),"")</f>
        <v/>
      </c>
      <c r="J109" t="str">
        <f ca="1">IFERROR(_xludf.XLOOKUP(G109,tbl_RecLibrary[Recommendation ID],tbl_RecLibrary[Priority]),"")</f>
        <v/>
      </c>
      <c r="K109" t="str">
        <f ca="1">IFERROR(_xludf.XLOOKUP(G109,tbl_RecLibrary[Recommendation ID],tbl_RecLibrary[Roadmap Horizon]),"")</f>
        <v/>
      </c>
    </row>
    <row r="110" spans="1:11" x14ac:dyDescent="0.25">
      <c r="A110" t="str">
        <f>Survey!$A110</f>
        <v>CMA-001</v>
      </c>
      <c r="B110" t="str">
        <f>Survey!$B110</f>
        <v>Change Management and Adoption Plan</v>
      </c>
      <c r="C110" t="str">
        <f>Survey!$D110</f>
        <v>AI Vision Framing</v>
      </c>
      <c r="D110" t="str">
        <f>Survey!$J110</f>
        <v>The AI vision is framed primarily as cost or headcount reduction, generating fear and resistance</v>
      </c>
      <c r="E110">
        <f>Survey!$K110</f>
        <v>1</v>
      </c>
      <c r="F110" t="str">
        <f>Survey!$M110</f>
        <v>Vision Framing Gap</v>
      </c>
      <c r="G110" t="str">
        <f>Survey!$N110</f>
        <v>REC-CMA-001-L1</v>
      </c>
      <c r="H110" t="str">
        <f ca="1">IFERROR(_xludf.XLOOKUP(G110,tbl_RecLibrary[Recommendation ID],tbl_RecLibrary[Recommendation Title]),"")</f>
        <v/>
      </c>
      <c r="I110" t="str">
        <f ca="1">IFERROR(_xludf.XLOOKUP(G110,tbl_RecLibrary[Recommendation ID],tbl_RecLibrary[Recommended Action]),"")</f>
        <v/>
      </c>
      <c r="J110" t="str">
        <f ca="1">IFERROR(_xludf.XLOOKUP(G110,tbl_RecLibrary[Recommendation ID],tbl_RecLibrary[Priority]),"")</f>
        <v/>
      </c>
      <c r="K110" t="str">
        <f ca="1">IFERROR(_xludf.XLOOKUP(G110,tbl_RecLibrary[Recommendation ID],tbl_RecLibrary[Roadmap Horizon]),"")</f>
        <v/>
      </c>
    </row>
    <row r="111" spans="1:11" x14ac:dyDescent="0.25">
      <c r="A111" t="str">
        <f>Survey!$A111</f>
        <v>CMA-002</v>
      </c>
      <c r="B111" t="str">
        <f>Survey!$B111</f>
        <v>Change Management and Adoption Plan</v>
      </c>
      <c r="C111" t="str">
        <f>Survey!$D111</f>
        <v>Portfolio Transparency</v>
      </c>
      <c r="D111" t="str">
        <f>Survey!$J111</f>
        <v>The workforce has no visibility into the AI portfolio</v>
      </c>
      <c r="E111">
        <f>Survey!$K111</f>
        <v>1</v>
      </c>
      <c r="F111" t="str">
        <f>Survey!$M111</f>
        <v>Portfolio Transparency Gap</v>
      </c>
      <c r="G111" t="str">
        <f>Survey!$N111</f>
        <v>REC-CMA-002-L1</v>
      </c>
      <c r="H111" t="str">
        <f ca="1">IFERROR(_xludf.XLOOKUP(G111,tbl_RecLibrary[Recommendation ID],tbl_RecLibrary[Recommendation Title]),"")</f>
        <v/>
      </c>
      <c r="I111" t="str">
        <f ca="1">IFERROR(_xludf.XLOOKUP(G111,tbl_RecLibrary[Recommendation ID],tbl_RecLibrary[Recommended Action]),"")</f>
        <v/>
      </c>
      <c r="J111" t="str">
        <f ca="1">IFERROR(_xludf.XLOOKUP(G111,tbl_RecLibrary[Recommendation ID],tbl_RecLibrary[Priority]),"")</f>
        <v/>
      </c>
      <c r="K111" t="str">
        <f ca="1">IFERROR(_xludf.XLOOKUP(G111,tbl_RecLibrary[Recommendation ID],tbl_RecLibrary[Roadmap Horizon]),"")</f>
        <v/>
      </c>
    </row>
    <row r="112" spans="1:11" x14ac:dyDescent="0.25">
      <c r="A112" t="str">
        <f>Survey!$A112</f>
        <v>CMA-003</v>
      </c>
      <c r="B112" t="str">
        <f>Survey!$B112</f>
        <v>Change Management and Adoption Plan</v>
      </c>
      <c r="C112" t="str">
        <f>Survey!$D112</f>
        <v>End-User Value Articulation</v>
      </c>
      <c r="D112" t="str">
        <f>Survey!$J112</f>
        <v>Personal value of AI is not articulated to end users</v>
      </c>
      <c r="E112">
        <f>Survey!$K112</f>
        <v>1</v>
      </c>
      <c r="F112" t="str">
        <f>Survey!$M112</f>
        <v>WIIFM Gap</v>
      </c>
      <c r="G112" t="str">
        <f>Survey!$N112</f>
        <v>REC-CMA-003-L1</v>
      </c>
      <c r="H112" t="str">
        <f ca="1">IFERROR(_xludf.XLOOKUP(G112,tbl_RecLibrary[Recommendation ID],tbl_RecLibrary[Recommendation Title]),"")</f>
        <v/>
      </c>
      <c r="I112" t="str">
        <f ca="1">IFERROR(_xludf.XLOOKUP(G112,tbl_RecLibrary[Recommendation ID],tbl_RecLibrary[Recommended Action]),"")</f>
        <v/>
      </c>
      <c r="J112" t="str">
        <f ca="1">IFERROR(_xludf.XLOOKUP(G112,tbl_RecLibrary[Recommendation ID],tbl_RecLibrary[Priority]),"")</f>
        <v/>
      </c>
      <c r="K112" t="str">
        <f ca="1">IFERROR(_xludf.XLOOKUP(G112,tbl_RecLibrary[Recommendation ID],tbl_RecLibrary[Roadmap Horizon]),"")</f>
        <v/>
      </c>
    </row>
    <row r="113" spans="1:11" x14ac:dyDescent="0.25">
      <c r="A113" t="str">
        <f>Survey!$A113</f>
        <v>CMA-004</v>
      </c>
      <c r="B113" t="str">
        <f>Survey!$B113</f>
        <v>Change Management and Adoption Plan</v>
      </c>
      <c r="C113" t="str">
        <f>Survey!$D113</f>
        <v>Message Cascade Consistency</v>
      </c>
      <c r="D113" t="str">
        <f>Survey!$J113</f>
        <v>Enterprise AI messaging frequently conflicts with what local leaders say to their teams</v>
      </c>
      <c r="E113">
        <f>Survey!$K113</f>
        <v>1</v>
      </c>
      <c r="F113" t="str">
        <f>Survey!$M113</f>
        <v>Message Cascade Gap</v>
      </c>
      <c r="G113" t="str">
        <f>Survey!$N113</f>
        <v>REC-CMA-004-L1</v>
      </c>
      <c r="H113" t="str">
        <f ca="1">IFERROR(_xludf.XLOOKUP(G113,tbl_RecLibrary[Recommendation ID],tbl_RecLibrary[Recommendation Title]),"")</f>
        <v/>
      </c>
      <c r="I113" t="str">
        <f ca="1">IFERROR(_xludf.XLOOKUP(G113,tbl_RecLibrary[Recommendation ID],tbl_RecLibrary[Recommended Action]),"")</f>
        <v/>
      </c>
      <c r="J113" t="str">
        <f ca="1">IFERROR(_xludf.XLOOKUP(G113,tbl_RecLibrary[Recommendation ID],tbl_RecLibrary[Priority]),"")</f>
        <v/>
      </c>
      <c r="K113" t="str">
        <f ca="1">IFERROR(_xludf.XLOOKUP(G113,tbl_RecLibrary[Recommendation ID],tbl_RecLibrary[Roadmap Horizon]),"")</f>
        <v/>
      </c>
    </row>
    <row r="114" spans="1:11" x14ac:dyDescent="0.25">
      <c r="A114" t="str">
        <f>Survey!$A114</f>
        <v>CMA-005</v>
      </c>
      <c r="B114" t="str">
        <f>Survey!$B114</f>
        <v>Change Management and Adoption Plan</v>
      </c>
      <c r="C114" t="str">
        <f>Survey!$D114</f>
        <v>Local AI Champion Network</v>
      </c>
      <c r="D114" t="str">
        <f>Survey!$J114</f>
        <v>No AI champion network exists; adoption depends entirely on central teams</v>
      </c>
      <c r="E114">
        <f>Survey!$K114</f>
        <v>1</v>
      </c>
      <c r="F114" t="str">
        <f>Survey!$M114</f>
        <v>Champion Network Gap</v>
      </c>
      <c r="G114" t="str">
        <f>Survey!$N114</f>
        <v>REC-CMA-005-L1</v>
      </c>
      <c r="H114" t="str">
        <f ca="1">IFERROR(_xludf.XLOOKUP(G114,tbl_RecLibrary[Recommendation ID],tbl_RecLibrary[Recommendation Title]),"")</f>
        <v/>
      </c>
      <c r="I114" t="str">
        <f ca="1">IFERROR(_xludf.XLOOKUP(G114,tbl_RecLibrary[Recommendation ID],tbl_RecLibrary[Recommended Action]),"")</f>
        <v/>
      </c>
      <c r="J114" t="str">
        <f ca="1">IFERROR(_xludf.XLOOKUP(G114,tbl_RecLibrary[Recommendation ID],tbl_RecLibrary[Priority]),"")</f>
        <v/>
      </c>
      <c r="K114" t="str">
        <f ca="1">IFERROR(_xludf.XLOOKUP(G114,tbl_RecLibrary[Recommendation ID],tbl_RecLibrary[Roadmap Horizon]),"")</f>
        <v/>
      </c>
    </row>
    <row r="115" spans="1:11" x14ac:dyDescent="0.25">
      <c r="A115" t="str">
        <f>Survey!$A115</f>
        <v>CMA-006</v>
      </c>
      <c r="B115" t="str">
        <f>Survey!$B115</f>
        <v>Change Management and Adoption Plan</v>
      </c>
      <c r="C115" t="str">
        <f>Survey!$D115</f>
        <v>Executive Modeling of AI Use</v>
      </c>
      <c r="D115" t="str">
        <f>Survey!$J115</f>
        <v>Executives do not visibly use AI tools; AI is positioned as "for everyone else"</v>
      </c>
      <c r="E115">
        <f>Survey!$K115</f>
        <v>1</v>
      </c>
      <c r="F115" t="str">
        <f>Survey!$M115</f>
        <v>Leadership Modeling Gap</v>
      </c>
      <c r="G115" t="str">
        <f>Survey!$N115</f>
        <v>REC-CMA-006-L1</v>
      </c>
      <c r="H115" t="str">
        <f ca="1">IFERROR(_xludf.XLOOKUP(G115,tbl_RecLibrary[Recommendation ID],tbl_RecLibrary[Recommendation Title]),"")</f>
        <v/>
      </c>
      <c r="I115" t="str">
        <f ca="1">IFERROR(_xludf.XLOOKUP(G115,tbl_RecLibrary[Recommendation ID],tbl_RecLibrary[Recommended Action]),"")</f>
        <v/>
      </c>
      <c r="J115" t="str">
        <f ca="1">IFERROR(_xludf.XLOOKUP(G115,tbl_RecLibrary[Recommendation ID],tbl_RecLibrary[Priority]),"")</f>
        <v/>
      </c>
      <c r="K115" t="str">
        <f ca="1">IFERROR(_xludf.XLOOKUP(G115,tbl_RecLibrary[Recommendation ID],tbl_RecLibrary[Roadmap Horizon]),"")</f>
        <v/>
      </c>
    </row>
    <row r="116" spans="1:11" x14ac:dyDescent="0.25">
      <c r="A116" t="str">
        <f>Survey!$A116</f>
        <v>CMA-007</v>
      </c>
      <c r="B116" t="str">
        <f>Survey!$B116</f>
        <v>Change Management and Adoption Plan</v>
      </c>
      <c r="C116" t="str">
        <f>Survey!$D116</f>
        <v>Resistance-Informed Engagement</v>
      </c>
      <c r="D116" t="str">
        <f>Survey!$J116</f>
        <v>Resistance is not anticipated or mapped; adoption strategies are generic</v>
      </c>
      <c r="E116">
        <f>Survey!$K116</f>
        <v>1</v>
      </c>
      <c r="F116" t="str">
        <f>Survey!$M116</f>
        <v>Resistance Awareness Gap</v>
      </c>
      <c r="G116" t="str">
        <f>Survey!$N116</f>
        <v>REC-CMA-007-L1</v>
      </c>
      <c r="H116" t="str">
        <f ca="1">IFERROR(_xludf.XLOOKUP(G116,tbl_RecLibrary[Recommendation ID],tbl_RecLibrary[Recommendation Title]),"")</f>
        <v/>
      </c>
      <c r="I116" t="str">
        <f ca="1">IFERROR(_xludf.XLOOKUP(G116,tbl_RecLibrary[Recommendation ID],tbl_RecLibrary[Recommended Action]),"")</f>
        <v/>
      </c>
      <c r="J116" t="str">
        <f ca="1">IFERROR(_xludf.XLOOKUP(G116,tbl_RecLibrary[Recommendation ID],tbl_RecLibrary[Priority]),"")</f>
        <v/>
      </c>
      <c r="K116" t="str">
        <f ca="1">IFERROR(_xludf.XLOOKUP(G116,tbl_RecLibrary[Recommendation ID],tbl_RecLibrary[Roadmap Horizon]),"")</f>
        <v/>
      </c>
    </row>
    <row r="117" spans="1:11" x14ac:dyDescent="0.25">
      <c r="A117" t="str">
        <f>Survey!$A117</f>
        <v>CMA-008</v>
      </c>
      <c r="B117" t="str">
        <f>Survey!$B117</f>
        <v>Change Management and Adoption Plan</v>
      </c>
      <c r="C117" t="str">
        <f>Survey!$D117</f>
        <v>User Feedback Channel</v>
      </c>
      <c r="D117" t="str">
        <f>Survey!$J117</f>
        <v>No defined channel exists for users to report AI tool problems</v>
      </c>
      <c r="E117">
        <f>Survey!$K117</f>
        <v>1</v>
      </c>
      <c r="F117" t="str">
        <f>Survey!$M117</f>
        <v>Feedback Channel Gap</v>
      </c>
      <c r="G117" t="str">
        <f>Survey!$N117</f>
        <v>REC-CMA-008-L1</v>
      </c>
      <c r="H117" t="str">
        <f ca="1">IFERROR(_xludf.XLOOKUP(G117,tbl_RecLibrary[Recommendation ID],tbl_RecLibrary[Recommendation Title]),"")</f>
        <v/>
      </c>
      <c r="I117" t="str">
        <f ca="1">IFERROR(_xludf.XLOOKUP(G117,tbl_RecLibrary[Recommendation ID],tbl_RecLibrary[Recommended Action]),"")</f>
        <v/>
      </c>
      <c r="J117" t="str">
        <f ca="1">IFERROR(_xludf.XLOOKUP(G117,tbl_RecLibrary[Recommendation ID],tbl_RecLibrary[Priority]),"")</f>
        <v/>
      </c>
      <c r="K117" t="str">
        <f ca="1">IFERROR(_xludf.XLOOKUP(G117,tbl_RecLibrary[Recommendation ID],tbl_RecLibrary[Roadmap Horizon]),"")</f>
        <v/>
      </c>
    </row>
    <row r="118" spans="1:11" x14ac:dyDescent="0.25">
      <c r="A118" t="str">
        <f>Survey!$A118</f>
        <v>CMA-009</v>
      </c>
      <c r="B118" t="str">
        <f>Survey!$B118</f>
        <v>Change Management and Adoption Plan</v>
      </c>
      <c r="C118" t="str">
        <f>Survey!$D118</f>
        <v>Workforce Literacy Baseline</v>
      </c>
      <c r="D118" t="str">
        <f>Survey!$J118</f>
        <v>No assessment has been done; the literacy gap is unknown</v>
      </c>
      <c r="E118">
        <f>Survey!$K118</f>
        <v>1</v>
      </c>
      <c r="F118" t="str">
        <f>Survey!$M118</f>
        <v>Literacy Baseline Gap</v>
      </c>
      <c r="G118" t="str">
        <f>Survey!$N118</f>
        <v>REC-CMA-009-L1</v>
      </c>
      <c r="H118" t="str">
        <f ca="1">IFERROR(_xludf.XLOOKUP(G118,tbl_RecLibrary[Recommendation ID],tbl_RecLibrary[Recommendation Title]),"")</f>
        <v/>
      </c>
      <c r="I118" t="str">
        <f ca="1">IFERROR(_xludf.XLOOKUP(G118,tbl_RecLibrary[Recommendation ID],tbl_RecLibrary[Recommended Action]),"")</f>
        <v/>
      </c>
      <c r="J118" t="str">
        <f ca="1">IFERROR(_xludf.XLOOKUP(G118,tbl_RecLibrary[Recommendation ID],tbl_RecLibrary[Priority]),"")</f>
        <v/>
      </c>
      <c r="K118" t="str">
        <f ca="1">IFERROR(_xludf.XLOOKUP(G118,tbl_RecLibrary[Recommendation ID],tbl_RecLibrary[Roadmap Horizon]),"")</f>
        <v/>
      </c>
    </row>
    <row r="119" spans="1:11" x14ac:dyDescent="0.25">
      <c r="A119" t="str">
        <f>Survey!$A119</f>
        <v>CMA-010</v>
      </c>
      <c r="B119" t="str">
        <f>Survey!$B119</f>
        <v>Change Management and Adoption Plan</v>
      </c>
      <c r="C119" t="str">
        <f>Survey!$D119</f>
        <v>Function-Specific Adoption Training</v>
      </c>
      <c r="D119" t="str">
        <f>Survey!$J119</f>
        <v>Adoption training is generic; functions get the same content regardless of context</v>
      </c>
      <c r="E119">
        <f>Survey!$K119</f>
        <v>1</v>
      </c>
      <c r="F119" t="str">
        <f>Survey!$M119</f>
        <v>Function-Specific Training Gap</v>
      </c>
      <c r="G119" t="str">
        <f>Survey!$N119</f>
        <v>REC-CMA-010-L1</v>
      </c>
      <c r="H119" t="str">
        <f ca="1">IFERROR(_xludf.XLOOKUP(G119,tbl_RecLibrary[Recommendation ID],tbl_RecLibrary[Recommendation Title]),"")</f>
        <v/>
      </c>
      <c r="I119" t="str">
        <f ca="1">IFERROR(_xludf.XLOOKUP(G119,tbl_RecLibrary[Recommendation ID],tbl_RecLibrary[Recommended Action]),"")</f>
        <v/>
      </c>
      <c r="J119" t="str">
        <f ca="1">IFERROR(_xludf.XLOOKUP(G119,tbl_RecLibrary[Recommendation ID],tbl_RecLibrary[Priority]),"")</f>
        <v/>
      </c>
      <c r="K119" t="str">
        <f ca="1">IFERROR(_xludf.XLOOKUP(G119,tbl_RecLibrary[Recommendation ID],tbl_RecLibrary[Roadmap Horizon]),"")</f>
        <v/>
      </c>
    </row>
    <row r="120" spans="1:11" x14ac:dyDescent="0.25">
      <c r="A120" t="str">
        <f>Survey!$A120</f>
        <v>CMA-011</v>
      </c>
      <c r="B120" t="str">
        <f>Survey!$B120</f>
        <v>Change Management and Adoption Plan</v>
      </c>
      <c r="C120" t="str">
        <f>Survey!$D120</f>
        <v>Dedicated AI Learning Time</v>
      </c>
      <c r="D120" t="str">
        <f>Survey!$J120</f>
        <v>Employees are expected to learn AI tools on top of their existing workload; no protected time exists</v>
      </c>
      <c r="E120">
        <f>Survey!$K120</f>
        <v>1</v>
      </c>
      <c r="F120" t="str">
        <f>Survey!$M120</f>
        <v>Learning Time Gap</v>
      </c>
      <c r="G120" t="str">
        <f>Survey!$N120</f>
        <v>REC-CMA-011-L1</v>
      </c>
      <c r="H120" t="str">
        <f ca="1">IFERROR(_xludf.XLOOKUP(G120,tbl_RecLibrary[Recommendation ID],tbl_RecLibrary[Recommendation Title]),"")</f>
        <v/>
      </c>
      <c r="I120" t="str">
        <f ca="1">IFERROR(_xludf.XLOOKUP(G120,tbl_RecLibrary[Recommendation ID],tbl_RecLibrary[Recommended Action]),"")</f>
        <v/>
      </c>
      <c r="J120" t="str">
        <f ca="1">IFERROR(_xludf.XLOOKUP(G120,tbl_RecLibrary[Recommendation ID],tbl_RecLibrary[Priority]),"")</f>
        <v/>
      </c>
      <c r="K120" t="str">
        <f ca="1">IFERROR(_xludf.XLOOKUP(G120,tbl_RecLibrary[Recommendation ID],tbl_RecLibrary[Roadmap Horizon]),"")</f>
        <v/>
      </c>
    </row>
    <row r="121" spans="1:11" x14ac:dyDescent="0.25">
      <c r="A121" t="str">
        <f>Survey!$A121</f>
        <v>CMA-012</v>
      </c>
      <c r="B121" t="str">
        <f>Survey!$B121</f>
        <v>Change Management and Adoption Plan</v>
      </c>
      <c r="C121" t="str">
        <f>Survey!$D121</f>
        <v>AI Help Desk and Knowledge Base</v>
      </c>
      <c r="D121" t="str">
        <f>Survey!$J121</f>
        <v>No AI help desk or knowledge base exists for end users</v>
      </c>
      <c r="E121">
        <f>Survey!$K121</f>
        <v>1</v>
      </c>
      <c r="F121" t="str">
        <f>Survey!$M121</f>
        <v>AI Support Gap</v>
      </c>
      <c r="G121" t="str">
        <f>Survey!$N121</f>
        <v>REC-CMA-012-L1</v>
      </c>
      <c r="H121" t="str">
        <f ca="1">IFERROR(_xludf.XLOOKUP(G121,tbl_RecLibrary[Recommendation ID],tbl_RecLibrary[Recommendation Title]),"")</f>
        <v/>
      </c>
      <c r="I121" t="str">
        <f ca="1">IFERROR(_xludf.XLOOKUP(G121,tbl_RecLibrary[Recommendation ID],tbl_RecLibrary[Recommended Action]),"")</f>
        <v/>
      </c>
      <c r="J121" t="str">
        <f ca="1">IFERROR(_xludf.XLOOKUP(G121,tbl_RecLibrary[Recommendation ID],tbl_RecLibrary[Priority]),"")</f>
        <v/>
      </c>
      <c r="K121" t="str">
        <f ca="1">IFERROR(_xludf.XLOOKUP(G121,tbl_RecLibrary[Recommendation ID],tbl_RecLibrary[Roadmap Horizon]),"")</f>
        <v/>
      </c>
    </row>
    <row r="122" spans="1:11" x14ac:dyDescent="0.25">
      <c r="A122" t="str">
        <f>Survey!$A122</f>
        <v>CMA-013</v>
      </c>
      <c r="B122" t="str">
        <f>Survey!$B122</f>
        <v>Change Management and Adoption Plan</v>
      </c>
      <c r="C122" t="str">
        <f>Survey!$D122</f>
        <v>Real Adoption Measurement</v>
      </c>
      <c r="D122" t="str">
        <f>Survey!$J122</f>
        <v>Adoption is tracked by licenses assigned only; real usage is unknown</v>
      </c>
      <c r="E122">
        <f>Survey!$K122</f>
        <v>1</v>
      </c>
      <c r="F122" t="str">
        <f>Survey!$M122</f>
        <v>License-Only KPIs</v>
      </c>
      <c r="G122" t="str">
        <f>Survey!$N122</f>
        <v>REC-CMA-013-L1</v>
      </c>
      <c r="H122" t="str">
        <f ca="1">IFERROR(_xludf.XLOOKUP(G122,tbl_RecLibrary[Recommendation ID],tbl_RecLibrary[Recommendation Title]),"")</f>
        <v/>
      </c>
      <c r="I122" t="str">
        <f ca="1">IFERROR(_xludf.XLOOKUP(G122,tbl_RecLibrary[Recommendation ID],tbl_RecLibrary[Recommended Action]),"")</f>
        <v/>
      </c>
      <c r="J122" t="str">
        <f ca="1">IFERROR(_xludf.XLOOKUP(G122,tbl_RecLibrary[Recommendation ID],tbl_RecLibrary[Priority]),"")</f>
        <v/>
      </c>
      <c r="K122" t="str">
        <f ca="1">IFERROR(_xludf.XLOOKUP(G122,tbl_RecLibrary[Recommendation ID],tbl_RecLibrary[Roadmap Horizon]),"")</f>
        <v/>
      </c>
    </row>
    <row r="123" spans="1:11" x14ac:dyDescent="0.25">
      <c r="A123" t="str">
        <f>Survey!$A123</f>
        <v>CMA-014</v>
      </c>
      <c r="B123" t="str">
        <f>Survey!$B123</f>
        <v>Change Management and Adoption Plan</v>
      </c>
      <c r="C123" t="str">
        <f>Survey!$D123</f>
        <v>AI-Aware Performance Management</v>
      </c>
      <c r="D123" t="str">
        <f>Survey!$J123</f>
        <v>Performance reviews do not recognize AI use; efficiency-only metrics dominate</v>
      </c>
      <c r="E123">
        <f>Survey!$K123</f>
        <v>1</v>
      </c>
      <c r="F123" t="str">
        <f>Survey!$M123</f>
        <v>Incentive Refresh Gap</v>
      </c>
      <c r="G123" t="str">
        <f>Survey!$N123</f>
        <v>REC-CMA-014-L1</v>
      </c>
      <c r="H123" t="str">
        <f ca="1">IFERROR(_xludf.XLOOKUP(G123,tbl_RecLibrary[Recommendation ID],tbl_RecLibrary[Recommendation Title]),"")</f>
        <v/>
      </c>
      <c r="I123" t="str">
        <f ca="1">IFERROR(_xludf.XLOOKUP(G123,tbl_RecLibrary[Recommendation ID],tbl_RecLibrary[Recommended Action]),"")</f>
        <v/>
      </c>
      <c r="J123" t="str">
        <f ca="1">IFERROR(_xludf.XLOOKUP(G123,tbl_RecLibrary[Recommendation ID],tbl_RecLibrary[Priority]),"")</f>
        <v/>
      </c>
      <c r="K123" t="str">
        <f ca="1">IFERROR(_xludf.XLOOKUP(G123,tbl_RecLibrary[Recommendation ID],tbl_RecLibrary[Roadmap Horizon]),"")</f>
        <v/>
      </c>
    </row>
    <row r="124" spans="1:11" x14ac:dyDescent="0.25">
      <c r="A124" t="str">
        <f>Survey!$A124</f>
        <v>CMA-015</v>
      </c>
      <c r="B124" t="str">
        <f>Survey!$B124</f>
        <v>Change Management and Adoption Plan</v>
      </c>
      <c r="C124" t="str">
        <f>Survey!$D124</f>
        <v>Shadow AI Response Posture</v>
      </c>
      <c r="D124" t="str">
        <f>Survey!$J124</f>
        <v>Shadow AI is met with blocking and discipline, with no path to legitimize useful tools</v>
      </c>
      <c r="E124">
        <f>Survey!$K124</f>
        <v>1</v>
      </c>
      <c r="F124" t="str">
        <f>Survey!$M124</f>
        <v>Punitive Response</v>
      </c>
      <c r="G124" t="str">
        <f>Survey!$N124</f>
        <v>REC-CMA-015-L1</v>
      </c>
      <c r="H124" t="str">
        <f ca="1">IFERROR(_xludf.XLOOKUP(G124,tbl_RecLibrary[Recommendation ID],tbl_RecLibrary[Recommendation Title]),"")</f>
        <v/>
      </c>
      <c r="I124" t="str">
        <f ca="1">IFERROR(_xludf.XLOOKUP(G124,tbl_RecLibrary[Recommendation ID],tbl_RecLibrary[Recommended Action]),"")</f>
        <v/>
      </c>
      <c r="J124" t="str">
        <f ca="1">IFERROR(_xludf.XLOOKUP(G124,tbl_RecLibrary[Recommendation ID],tbl_RecLibrary[Priority]),"")</f>
        <v/>
      </c>
      <c r="K124" t="str">
        <f ca="1">IFERROR(_xludf.XLOOKUP(G124,tbl_RecLibrary[Recommendation ID],tbl_RecLibrary[Roadmap Horizon]),"")</f>
        <v/>
      </c>
    </row>
    <row r="125" spans="1:11" x14ac:dyDescent="0.25">
      <c r="A125" t="str">
        <f>Survey!$A125</f>
        <v>CMA-016</v>
      </c>
      <c r="B125" t="str">
        <f>Survey!$B125</f>
        <v>Change Management and Adoption Plan</v>
      </c>
      <c r="C125" t="str">
        <f>Survey!$D125</f>
        <v>Post-Launch Adoption Review</v>
      </c>
      <c r="D125" t="str">
        <f>Survey!$J125</f>
        <v>AI use cases are not revisited after launch; reverting to old processes goes unnoticed</v>
      </c>
      <c r="E125">
        <f>Survey!$K125</f>
        <v>1</v>
      </c>
      <c r="F125" t="str">
        <f>Survey!$M125</f>
        <v>Post-Launch Review Gap</v>
      </c>
      <c r="G125" t="str">
        <f>Survey!$N125</f>
        <v>REC-CMA-016-L1</v>
      </c>
      <c r="H125" t="str">
        <f ca="1">IFERROR(_xludf.XLOOKUP(G125,tbl_RecLibrary[Recommendation ID],tbl_RecLibrary[Recommendation Title]),"")</f>
        <v/>
      </c>
      <c r="I125" t="str">
        <f ca="1">IFERROR(_xludf.XLOOKUP(G125,tbl_RecLibrary[Recommendation ID],tbl_RecLibrary[Recommended Action]),"")</f>
        <v/>
      </c>
      <c r="J125" t="str">
        <f ca="1">IFERROR(_xludf.XLOOKUP(G125,tbl_RecLibrary[Recommendation ID],tbl_RecLibrary[Priority]),"")</f>
        <v/>
      </c>
      <c r="K125" t="str">
        <f ca="1">IFERROR(_xludf.XLOOKUP(G125,tbl_RecLibrary[Recommendation ID],tbl_RecLibrary[Roadmap Horizon]),"")</f>
        <v/>
      </c>
    </row>
    <row r="126" spans="1:11" x14ac:dyDescent="0.25">
      <c r="A126" t="str">
        <f>Survey!$A126</f>
        <v>TAG-001</v>
      </c>
      <c r="B126" t="str">
        <f>Survey!$B126</f>
        <v>Technology Architecture and Guidance</v>
      </c>
      <c r="C126" t="str">
        <f>Survey!$D126</f>
        <v>AI Hosting Architecture</v>
      </c>
      <c r="D126" t="str">
        <f>Survey!$J126</f>
        <v>No standardized hosting strategy exists; AI workloads are deployed wherever teams choose</v>
      </c>
      <c r="E126">
        <f>Survey!$K126</f>
        <v>1</v>
      </c>
      <c r="F126" t="str">
        <f>Survey!$M126</f>
        <v>Hosting Strategy Gap</v>
      </c>
      <c r="G126" t="str">
        <f>Survey!$N126</f>
        <v>REC-TAG-001-L1</v>
      </c>
      <c r="H126" t="str">
        <f ca="1">IFERROR(_xludf.XLOOKUP(G126,tbl_RecLibrary[Recommendation ID],tbl_RecLibrary[Recommendation Title]),"")</f>
        <v/>
      </c>
      <c r="I126" t="str">
        <f ca="1">IFERROR(_xludf.XLOOKUP(G126,tbl_RecLibrary[Recommendation ID],tbl_RecLibrary[Recommended Action]),"")</f>
        <v/>
      </c>
      <c r="J126" t="str">
        <f ca="1">IFERROR(_xludf.XLOOKUP(G126,tbl_RecLibrary[Recommendation ID],tbl_RecLibrary[Priority]),"")</f>
        <v/>
      </c>
      <c r="K126" t="str">
        <f ca="1">IFERROR(_xludf.XLOOKUP(G126,tbl_RecLibrary[Recommendation ID],tbl_RecLibrary[Roadmap Horizon]),"")</f>
        <v/>
      </c>
    </row>
    <row r="127" spans="1:11" x14ac:dyDescent="0.25">
      <c r="A127" t="str">
        <f>Survey!$A127</f>
        <v>TAG-002</v>
      </c>
      <c r="B127" t="str">
        <f>Survey!$B127</f>
        <v>Technology Architecture and Guidance</v>
      </c>
      <c r="C127" t="str">
        <f>Survey!$D127</f>
        <v>Vector Data Infrastructure</v>
      </c>
      <c r="D127" t="str">
        <f>Survey!$J127</f>
        <v>No vector database strategy exists; either there is no vector store, or every team builds its own</v>
      </c>
      <c r="E127">
        <f>Survey!$K127</f>
        <v>1</v>
      </c>
      <c r="F127" t="str">
        <f>Survey!$M127</f>
        <v>Vector Strategy Gap</v>
      </c>
      <c r="G127" t="str">
        <f>Survey!$N127</f>
        <v>REC-TAG-002-L1</v>
      </c>
      <c r="H127" t="str">
        <f ca="1">IFERROR(_xludf.XLOOKUP(G127,tbl_RecLibrary[Recommendation ID],tbl_RecLibrary[Recommendation Title]),"")</f>
        <v/>
      </c>
      <c r="I127" t="str">
        <f ca="1">IFERROR(_xludf.XLOOKUP(G127,tbl_RecLibrary[Recommendation ID],tbl_RecLibrary[Recommended Action]),"")</f>
        <v/>
      </c>
      <c r="J127" t="str">
        <f ca="1">IFERROR(_xludf.XLOOKUP(G127,tbl_RecLibrary[Recommendation ID],tbl_RecLibrary[Priority]),"")</f>
        <v/>
      </c>
      <c r="K127" t="str">
        <f ca="1">IFERROR(_xludf.XLOOKUP(G127,tbl_RecLibrary[Recommendation ID],tbl_RecLibrary[Roadmap Horizon]),"")</f>
        <v/>
      </c>
    </row>
    <row r="128" spans="1:11" x14ac:dyDescent="0.25">
      <c r="A128" t="str">
        <f>Survey!$A128</f>
        <v>TAG-003</v>
      </c>
      <c r="B128" t="str">
        <f>Survey!$B128</f>
        <v>Technology Architecture and Guidance</v>
      </c>
      <c r="C128" t="str">
        <f>Survey!$D128</f>
        <v>AI Compute Elasticity</v>
      </c>
      <c r="D128" t="str">
        <f>Survey!$J128</f>
        <v>Architecture cannot reliably handle concurrent AI inference spikes; core systems are at risk</v>
      </c>
      <c r="E128">
        <f>Survey!$K128</f>
        <v>1</v>
      </c>
      <c r="F128" t="str">
        <f>Survey!$M128</f>
        <v>Elasticity Gap</v>
      </c>
      <c r="G128" t="str">
        <f>Survey!$N128</f>
        <v>REC-TAG-003-L1</v>
      </c>
      <c r="H128" t="str">
        <f ca="1">IFERROR(_xludf.XLOOKUP(G128,tbl_RecLibrary[Recommendation ID],tbl_RecLibrary[Recommendation Title]),"")</f>
        <v/>
      </c>
      <c r="I128" t="str">
        <f ca="1">IFERROR(_xludf.XLOOKUP(G128,tbl_RecLibrary[Recommendation ID],tbl_RecLibrary[Recommended Action]),"")</f>
        <v/>
      </c>
      <c r="J128" t="str">
        <f ca="1">IFERROR(_xludf.XLOOKUP(G128,tbl_RecLibrary[Recommendation ID],tbl_RecLibrary[Priority]),"")</f>
        <v/>
      </c>
      <c r="K128" t="str">
        <f ca="1">IFERROR(_xludf.XLOOKUP(G128,tbl_RecLibrary[Recommendation ID],tbl_RecLibrary[Roadmap Horizon]),"")</f>
        <v/>
      </c>
    </row>
    <row r="129" spans="1:11" x14ac:dyDescent="0.25">
      <c r="A129" t="str">
        <f>Survey!$A129</f>
        <v>TAG-004</v>
      </c>
      <c r="B129" t="str">
        <f>Survey!$B129</f>
        <v>Technology Architecture and Guidance</v>
      </c>
      <c r="C129" t="str">
        <f>Survey!$D129</f>
        <v>Agent and Tool-Use Architecture</v>
      </c>
      <c r="D129" t="str">
        <f>Survey!$J129</f>
        <v>The architecture supports only chat-style AI; agentic patterns are not supported</v>
      </c>
      <c r="E129">
        <f>Survey!$K129</f>
        <v>1</v>
      </c>
      <c r="F129" t="str">
        <f>Survey!$M129</f>
        <v>Agentic Readiness Gap</v>
      </c>
      <c r="G129" t="str">
        <f>Survey!$N129</f>
        <v>REC-TAG-004-L1</v>
      </c>
      <c r="H129" t="str">
        <f ca="1">IFERROR(_xludf.XLOOKUP(G129,tbl_RecLibrary[Recommendation ID],tbl_RecLibrary[Recommendation Title]),"")</f>
        <v/>
      </c>
      <c r="I129" t="str">
        <f ca="1">IFERROR(_xludf.XLOOKUP(G129,tbl_RecLibrary[Recommendation ID],tbl_RecLibrary[Recommended Action]),"")</f>
        <v/>
      </c>
      <c r="J129" t="str">
        <f ca="1">IFERROR(_xludf.XLOOKUP(G129,tbl_RecLibrary[Recommendation ID],tbl_RecLibrary[Priority]),"")</f>
        <v/>
      </c>
      <c r="K129" t="str">
        <f ca="1">IFERROR(_xludf.XLOOKUP(G129,tbl_RecLibrary[Recommendation ID],tbl_RecLibrary[Roadmap Horizon]),"")</f>
        <v/>
      </c>
    </row>
    <row r="130" spans="1:11" x14ac:dyDescent="0.25">
      <c r="A130" t="str">
        <f>Survey!$A130</f>
        <v>TAG-005</v>
      </c>
      <c r="B130" t="str">
        <f>Survey!$B130</f>
        <v>Technology Architecture and Guidance</v>
      </c>
      <c r="C130" t="str">
        <f>Survey!$D130</f>
        <v>Model Registry</v>
      </c>
      <c r="D130" t="str">
        <f>Survey!$J130</f>
        <v>There is no central model registry; models live on developer machines, notebooks, or scattered storage</v>
      </c>
      <c r="E130">
        <f>Survey!$K130</f>
        <v>1</v>
      </c>
      <c r="F130" t="str">
        <f>Survey!$M130</f>
        <v>Model Registry Gap</v>
      </c>
      <c r="G130" t="str">
        <f>Survey!$N130</f>
        <v>REC-TAG-005-L1</v>
      </c>
      <c r="H130" t="str">
        <f ca="1">IFERROR(_xludf.XLOOKUP(G130,tbl_RecLibrary[Recommendation ID],tbl_RecLibrary[Recommendation Title]),"")</f>
        <v/>
      </c>
      <c r="I130" t="str">
        <f ca="1">IFERROR(_xludf.XLOOKUP(G130,tbl_RecLibrary[Recommendation ID],tbl_RecLibrary[Recommended Action]),"")</f>
        <v/>
      </c>
      <c r="J130" t="str">
        <f ca="1">IFERROR(_xludf.XLOOKUP(G130,tbl_RecLibrary[Recommendation ID],tbl_RecLibrary[Priority]),"")</f>
        <v/>
      </c>
      <c r="K130" t="str">
        <f ca="1">IFERROR(_xludf.XLOOKUP(G130,tbl_RecLibrary[Recommendation ID],tbl_RecLibrary[Roadmap Horizon]),"")</f>
        <v/>
      </c>
    </row>
    <row r="131" spans="1:11" x14ac:dyDescent="0.25">
      <c r="A131" t="str">
        <f>Survey!$A131</f>
        <v>TAG-006</v>
      </c>
      <c r="B131" t="str">
        <f>Survey!$B131</f>
        <v>Technology Architecture and Guidance</v>
      </c>
      <c r="C131" t="str">
        <f>Survey!$D131</f>
        <v>Centralized LLM Gateway</v>
      </c>
      <c r="D131" t="str">
        <f>Survey!$J131</f>
        <v>No centralized gateway exists; AI API calls are made directly from each application</v>
      </c>
      <c r="E131">
        <f>Survey!$K131</f>
        <v>1</v>
      </c>
      <c r="F131" t="str">
        <f>Survey!$M131</f>
        <v>LLM Gateway Gap</v>
      </c>
      <c r="G131" t="str">
        <f>Survey!$N131</f>
        <v>REC-TAG-006-L1</v>
      </c>
      <c r="H131" t="str">
        <f ca="1">IFERROR(_xludf.XLOOKUP(G131,tbl_RecLibrary[Recommendation ID],tbl_RecLibrary[Recommendation Title]),"")</f>
        <v/>
      </c>
      <c r="I131" t="str">
        <f ca="1">IFERROR(_xludf.XLOOKUP(G131,tbl_RecLibrary[Recommendation ID],tbl_RecLibrary[Recommended Action]),"")</f>
        <v/>
      </c>
      <c r="J131" t="str">
        <f ca="1">IFERROR(_xludf.XLOOKUP(G131,tbl_RecLibrary[Recommendation ID],tbl_RecLibrary[Priority]),"")</f>
        <v/>
      </c>
      <c r="K131" t="str">
        <f ca="1">IFERROR(_xludf.XLOOKUP(G131,tbl_RecLibrary[Recommendation ID],tbl_RecLibrary[Roadmap Horizon]),"")</f>
        <v/>
      </c>
    </row>
    <row r="132" spans="1:11" x14ac:dyDescent="0.25">
      <c r="A132" t="str">
        <f>Survey!$A132</f>
        <v>TAG-007</v>
      </c>
      <c r="B132" t="str">
        <f>Survey!$B132</f>
        <v>Technology Architecture and Guidance</v>
      </c>
      <c r="C132" t="str">
        <f>Survey!$D132</f>
        <v>Open-Source Model Vetting</v>
      </c>
      <c r="D132" t="str">
        <f>Survey!$J132</f>
        <v>No process exists for vetting open-source models; either none are allowed, or any model can be used</v>
      </c>
      <c r="E132">
        <f>Survey!$K132</f>
        <v>1</v>
      </c>
      <c r="F132" t="str">
        <f>Survey!$M132</f>
        <v>BYOM Process Gap</v>
      </c>
      <c r="G132" t="str">
        <f>Survey!$N132</f>
        <v>REC-TAG-007-L1</v>
      </c>
      <c r="H132" t="str">
        <f ca="1">IFERROR(_xludf.XLOOKUP(G132,tbl_RecLibrary[Recommendation ID],tbl_RecLibrary[Recommendation Title]),"")</f>
        <v/>
      </c>
      <c r="I132" t="str">
        <f ca="1">IFERROR(_xludf.XLOOKUP(G132,tbl_RecLibrary[Recommendation ID],tbl_RecLibrary[Recommended Action]),"")</f>
        <v/>
      </c>
      <c r="J132" t="str">
        <f ca="1">IFERROR(_xludf.XLOOKUP(G132,tbl_RecLibrary[Recommendation ID],tbl_RecLibrary[Priority]),"")</f>
        <v/>
      </c>
      <c r="K132" t="str">
        <f ca="1">IFERROR(_xludf.XLOOKUP(G132,tbl_RecLibrary[Recommendation ID],tbl_RecLibrary[Roadmap Horizon]),"")</f>
        <v/>
      </c>
    </row>
    <row r="133" spans="1:11" x14ac:dyDescent="0.25">
      <c r="A133" t="str">
        <f>Survey!$A133</f>
        <v>TAG-008</v>
      </c>
      <c r="B133" t="str">
        <f>Survey!$B133</f>
        <v>Technology Architecture and Guidance</v>
      </c>
      <c r="C133" t="str">
        <f>Survey!$D133</f>
        <v>CI/CD with Continuous Monitoring</v>
      </c>
      <c r="D133" t="str">
        <f>Survey!$J133</f>
        <v>Deployment pipelines do not include continuous monitoring; decay is found only by user complaint</v>
      </c>
      <c r="E133">
        <f>Survey!$K133</f>
        <v>1</v>
      </c>
      <c r="F133" t="str">
        <f>Survey!$M133</f>
        <v>Monitoring Integration Gap</v>
      </c>
      <c r="G133" t="str">
        <f>Survey!$N133</f>
        <v>REC-TAG-008-L1</v>
      </c>
      <c r="H133" t="str">
        <f ca="1">IFERROR(_xludf.XLOOKUP(G133,tbl_RecLibrary[Recommendation ID],tbl_RecLibrary[Recommendation Title]),"")</f>
        <v/>
      </c>
      <c r="I133" t="str">
        <f ca="1">IFERROR(_xludf.XLOOKUP(G133,tbl_RecLibrary[Recommendation ID],tbl_RecLibrary[Recommended Action]),"")</f>
        <v/>
      </c>
      <c r="J133" t="str">
        <f ca="1">IFERROR(_xludf.XLOOKUP(G133,tbl_RecLibrary[Recommendation ID],tbl_RecLibrary[Priority]),"")</f>
        <v/>
      </c>
      <c r="K133" t="str">
        <f ca="1">IFERROR(_xludf.XLOOKUP(G133,tbl_RecLibrary[Recommendation ID],tbl_RecLibrary[Roadmap Horizon]),"")</f>
        <v/>
      </c>
    </row>
    <row r="134" spans="1:11" x14ac:dyDescent="0.25">
      <c r="A134" t="str">
        <f>Survey!$A134</f>
        <v>TAG-009</v>
      </c>
      <c r="B134" t="str">
        <f>Survey!$B134</f>
        <v>Technology Architecture and Guidance</v>
      </c>
      <c r="C134" t="str">
        <f>Survey!$D134</f>
        <v>AI Data Lineage</v>
      </c>
      <c r="D134" t="str">
        <f>Survey!$J134</f>
        <v>RAG outputs cannot be traced back to their original data sources</v>
      </c>
      <c r="E134">
        <f>Survey!$K134</f>
        <v>1</v>
      </c>
      <c r="F134" t="str">
        <f>Survey!$M134</f>
        <v>Lineage Gap</v>
      </c>
      <c r="G134" t="str">
        <f>Survey!$N134</f>
        <v>REC-TAG-009-L1</v>
      </c>
      <c r="H134" t="str">
        <f ca="1">IFERROR(_xludf.XLOOKUP(G134,tbl_RecLibrary[Recommendation ID],tbl_RecLibrary[Recommendation Title]),"")</f>
        <v/>
      </c>
      <c r="I134" t="str">
        <f ca="1">IFERROR(_xludf.XLOOKUP(G134,tbl_RecLibrary[Recommendation ID],tbl_RecLibrary[Recommended Action]),"")</f>
        <v/>
      </c>
      <c r="J134" t="str">
        <f ca="1">IFERROR(_xludf.XLOOKUP(G134,tbl_RecLibrary[Recommendation ID],tbl_RecLibrary[Priority]),"")</f>
        <v/>
      </c>
      <c r="K134" t="str">
        <f ca="1">IFERROR(_xludf.XLOOKUP(G134,tbl_RecLibrary[Recommendation ID],tbl_RecLibrary[Roadmap Horizon]),"")</f>
        <v/>
      </c>
    </row>
    <row r="135" spans="1:11" x14ac:dyDescent="0.25">
      <c r="A135" t="str">
        <f>Survey!$A135</f>
        <v>TAG-010</v>
      </c>
      <c r="B135" t="str">
        <f>Survey!$B135</f>
        <v>Technology Architecture and Guidance</v>
      </c>
      <c r="C135" t="str">
        <f>Survey!$D135</f>
        <v>Real-Time Data Integration</v>
      </c>
      <c r="D135" t="str">
        <f>Survey!$J135</f>
        <v>AI is limited to batch data; real-time use cases cannot be supported</v>
      </c>
      <c r="E135">
        <f>Survey!$K135</f>
        <v>1</v>
      </c>
      <c r="F135" t="str">
        <f>Survey!$M135</f>
        <v>Real-Time Data Gap</v>
      </c>
      <c r="G135" t="str">
        <f>Survey!$N135</f>
        <v>REC-TAG-010-L1</v>
      </c>
      <c r="H135" t="str">
        <f ca="1">IFERROR(_xludf.XLOOKUP(G135,tbl_RecLibrary[Recommendation ID],tbl_RecLibrary[Recommendation Title]),"")</f>
        <v/>
      </c>
      <c r="I135" t="str">
        <f ca="1">IFERROR(_xludf.XLOOKUP(G135,tbl_RecLibrary[Recommendation ID],tbl_RecLibrary[Recommended Action]),"")</f>
        <v/>
      </c>
      <c r="J135" t="str">
        <f ca="1">IFERROR(_xludf.XLOOKUP(G135,tbl_RecLibrary[Recommendation ID],tbl_RecLibrary[Priority]),"")</f>
        <v/>
      </c>
      <c r="K135" t="str">
        <f ca="1">IFERROR(_xludf.XLOOKUP(G135,tbl_RecLibrary[Recommendation ID],tbl_RecLibrary[Roadmap Horizon]),"")</f>
        <v/>
      </c>
    </row>
    <row r="136" spans="1:11" x14ac:dyDescent="0.25">
      <c r="A136" t="str">
        <f>Survey!$A136</f>
        <v>TAG-011</v>
      </c>
      <c r="B136" t="str">
        <f>Survey!$B136</f>
        <v>Technology Architecture and Guidance</v>
      </c>
      <c r="C136" t="str">
        <f>Survey!$D136</f>
        <v>Metadata Standards for AI</v>
      </c>
      <c r="D136" t="str">
        <f>Survey!$J136</f>
        <v>Metadata is inconsistent across data assets; AI models cannot reliably share or interpret data</v>
      </c>
      <c r="E136">
        <f>Survey!$K136</f>
        <v>1</v>
      </c>
      <c r="F136" t="str">
        <f>Survey!$M136</f>
        <v>Metadata Gap</v>
      </c>
      <c r="G136" t="str">
        <f>Survey!$N136</f>
        <v>REC-TAG-011-L1</v>
      </c>
      <c r="H136" t="str">
        <f ca="1">IFERROR(_xludf.XLOOKUP(G136,tbl_RecLibrary[Recommendation ID],tbl_RecLibrary[Recommendation Title]),"")</f>
        <v/>
      </c>
      <c r="I136" t="str">
        <f ca="1">IFERROR(_xludf.XLOOKUP(G136,tbl_RecLibrary[Recommendation ID],tbl_RecLibrary[Recommended Action]),"")</f>
        <v/>
      </c>
      <c r="J136" t="str">
        <f ca="1">IFERROR(_xludf.XLOOKUP(G136,tbl_RecLibrary[Recommendation ID],tbl_RecLibrary[Priority]),"")</f>
        <v/>
      </c>
      <c r="K136" t="str">
        <f ca="1">IFERROR(_xludf.XLOOKUP(G136,tbl_RecLibrary[Recommendation ID],tbl_RecLibrary[Roadmap Horizon]),"")</f>
        <v/>
      </c>
    </row>
    <row r="137" spans="1:11" x14ac:dyDescent="0.25">
      <c r="A137" t="str">
        <f>Survey!$A137</f>
        <v>TAG-012</v>
      </c>
      <c r="B137" t="str">
        <f>Survey!$B137</f>
        <v>Technology Architecture and Guidance</v>
      </c>
      <c r="C137" t="str">
        <f>Survey!$D137</f>
        <v>Pre-Inference Data Sanitization</v>
      </c>
      <c r="D137" t="str">
        <f>Survey!$J137</f>
        <v>No automated detection or masking of sensitive data before AI model calls; reliance is on user discretion</v>
      </c>
      <c r="E137">
        <f>Survey!$K137</f>
        <v>1</v>
      </c>
      <c r="F137" t="str">
        <f>Survey!$M137</f>
        <v>Sanitization Gap</v>
      </c>
      <c r="G137" t="str">
        <f>Survey!$N137</f>
        <v>REC-TAG-012-L1</v>
      </c>
      <c r="H137" t="str">
        <f ca="1">IFERROR(_xludf.XLOOKUP(G137,tbl_RecLibrary[Recommendation ID],tbl_RecLibrary[Recommendation Title]),"")</f>
        <v/>
      </c>
      <c r="I137" t="str">
        <f ca="1">IFERROR(_xludf.XLOOKUP(G137,tbl_RecLibrary[Recommendation ID],tbl_RecLibrary[Recommended Action]),"")</f>
        <v/>
      </c>
      <c r="J137" t="str">
        <f ca="1">IFERROR(_xludf.XLOOKUP(G137,tbl_RecLibrary[Recommendation ID],tbl_RecLibrary[Priority]),"")</f>
        <v/>
      </c>
      <c r="K137" t="str">
        <f ca="1">IFERROR(_xludf.XLOOKUP(G137,tbl_RecLibrary[Recommendation ID],tbl_RecLibrary[Roadmap Horizon]),"")</f>
        <v/>
      </c>
    </row>
    <row r="138" spans="1:11" x14ac:dyDescent="0.25">
      <c r="A138" t="str">
        <f>Survey!$A138</f>
        <v>TAG-013</v>
      </c>
      <c r="B138" t="str">
        <f>Survey!$B138</f>
        <v>Technology Architecture and Guidance</v>
      </c>
      <c r="C138" t="str">
        <f>Survey!$D138</f>
        <v>Automated AI Security Testing</v>
      </c>
      <c r="D138" t="str">
        <f>Survey!$J138</f>
        <v>No automated AI security testing is in place</v>
      </c>
      <c r="E138">
        <f>Survey!$K138</f>
        <v>1</v>
      </c>
      <c r="F138" t="str">
        <f>Survey!$M138</f>
        <v>AI Security Tooling Gap</v>
      </c>
      <c r="G138" t="str">
        <f>Survey!$N138</f>
        <v>REC-TAG-013-L1</v>
      </c>
      <c r="H138" t="str">
        <f ca="1">IFERROR(_xludf.XLOOKUP(G138,tbl_RecLibrary[Recommendation ID],tbl_RecLibrary[Recommendation Title]),"")</f>
        <v/>
      </c>
      <c r="I138" t="str">
        <f ca="1">IFERROR(_xludf.XLOOKUP(G138,tbl_RecLibrary[Recommendation ID],tbl_RecLibrary[Recommended Action]),"")</f>
        <v/>
      </c>
      <c r="J138" t="str">
        <f ca="1">IFERROR(_xludf.XLOOKUP(G138,tbl_RecLibrary[Recommendation ID],tbl_RecLibrary[Priority]),"")</f>
        <v/>
      </c>
      <c r="K138" t="str">
        <f ca="1">IFERROR(_xludf.XLOOKUP(G138,tbl_RecLibrary[Recommendation ID],tbl_RecLibrary[Roadmap Horizon]),"")</f>
        <v/>
      </c>
    </row>
    <row r="139" spans="1:11" x14ac:dyDescent="0.25">
      <c r="A139" t="str">
        <f>Survey!$A139</f>
        <v>TAG-014</v>
      </c>
      <c r="B139" t="str">
        <f>Survey!$B139</f>
        <v>Technology Architecture and Guidance</v>
      </c>
      <c r="C139" t="str">
        <f>Survey!$D139</f>
        <v>AI Cost Attribution</v>
      </c>
      <c r="D139" t="str">
        <f>Survey!$J139</f>
        <v>AI spend cannot be attributed to specific departments, projects, or use cases</v>
      </c>
      <c r="E139">
        <f>Survey!$K139</f>
        <v>1</v>
      </c>
      <c r="F139" t="str">
        <f>Survey!$M139</f>
        <v>Cost Attribution Gap</v>
      </c>
      <c r="G139" t="str">
        <f>Survey!$N139</f>
        <v>REC-TAG-014-L1</v>
      </c>
      <c r="H139" t="str">
        <f ca="1">IFERROR(_xludf.XLOOKUP(G139,tbl_RecLibrary[Recommendation ID],tbl_RecLibrary[Recommendation Title]),"")</f>
        <v/>
      </c>
      <c r="I139" t="str">
        <f ca="1">IFERROR(_xludf.XLOOKUP(G139,tbl_RecLibrary[Recommendation ID],tbl_RecLibrary[Recommended Action]),"")</f>
        <v/>
      </c>
      <c r="J139" t="str">
        <f ca="1">IFERROR(_xludf.XLOOKUP(G139,tbl_RecLibrary[Recommendation ID],tbl_RecLibrary[Priority]),"")</f>
        <v/>
      </c>
      <c r="K139" t="str">
        <f ca="1">IFERROR(_xludf.XLOOKUP(G139,tbl_RecLibrary[Recommendation ID],tbl_RecLibrary[Roadmap Horizon]),"")</f>
        <v/>
      </c>
    </row>
    <row r="140" spans="1:11" x14ac:dyDescent="0.25">
      <c r="A140" t="str">
        <f>Survey!$A140</f>
        <v>TAG-015</v>
      </c>
      <c r="B140" t="str">
        <f>Survey!$B140</f>
        <v>Technology Architecture and Guidance</v>
      </c>
      <c r="C140" t="str">
        <f>Survey!$D140</f>
        <v>AI Audit Logging</v>
      </c>
      <c r="D140" t="str">
        <f>Survey!$J140</f>
        <v>AI interactions are not consistently logged, or logs are mutable and unreliable for audit</v>
      </c>
      <c r="E140">
        <f>Survey!$K140</f>
        <v>1</v>
      </c>
      <c r="F140" t="str">
        <f>Survey!$M140</f>
        <v>Audit Logging Gap</v>
      </c>
      <c r="G140" t="str">
        <f>Survey!$N140</f>
        <v>REC-TAG-015-L1</v>
      </c>
      <c r="H140" t="str">
        <f ca="1">IFERROR(_xludf.XLOOKUP(G140,tbl_RecLibrary[Recommendation ID],tbl_RecLibrary[Recommendation Title]),"")</f>
        <v/>
      </c>
      <c r="I140" t="str">
        <f ca="1">IFERROR(_xludf.XLOOKUP(G140,tbl_RecLibrary[Recommendation ID],tbl_RecLibrary[Recommended Action]),"")</f>
        <v/>
      </c>
      <c r="J140" t="str">
        <f ca="1">IFERROR(_xludf.XLOOKUP(G140,tbl_RecLibrary[Recommendation ID],tbl_RecLibrary[Priority]),"")</f>
        <v/>
      </c>
      <c r="K140" t="str">
        <f ca="1">IFERROR(_xludf.XLOOKUP(G140,tbl_RecLibrary[Recommendation ID],tbl_RecLibrary[Roadmap Horizon]),"")</f>
        <v/>
      </c>
    </row>
    <row r="141" spans="1:11" x14ac:dyDescent="0.25">
      <c r="A141" t="str">
        <f>Survey!$A141</f>
        <v>TAG-016</v>
      </c>
      <c r="B141" t="str">
        <f>Survey!$B141</f>
        <v>Technology Architecture and Guidance</v>
      </c>
      <c r="C141" t="str">
        <f>Survey!$D141</f>
        <v>Model Provider Interoperability</v>
      </c>
      <c r="D141" t="str">
        <f>Survey!$J141</f>
        <v>The architecture is hard-coupled to a single model provider; switching would require significant rebuild</v>
      </c>
      <c r="E141">
        <f>Survey!$K141</f>
        <v>1</v>
      </c>
      <c r="F141" t="str">
        <f>Survey!$M141</f>
        <v>Vendor Lock-In</v>
      </c>
      <c r="G141" t="str">
        <f>Survey!$N141</f>
        <v>REC-TAG-016-L1</v>
      </c>
      <c r="H141" t="str">
        <f ca="1">IFERROR(_xludf.XLOOKUP(G141,tbl_RecLibrary[Recommendation ID],tbl_RecLibrary[Recommendation Title]),"")</f>
        <v/>
      </c>
      <c r="I141" t="str">
        <f ca="1">IFERROR(_xludf.XLOOKUP(G141,tbl_RecLibrary[Recommendation ID],tbl_RecLibrary[Recommended Action]),"")</f>
        <v/>
      </c>
      <c r="J141" t="str">
        <f ca="1">IFERROR(_xludf.XLOOKUP(G141,tbl_RecLibrary[Recommendation ID],tbl_RecLibrary[Priority]),"")</f>
        <v/>
      </c>
      <c r="K141" t="str">
        <f ca="1">IFERROR(_xludf.XLOOKUP(G141,tbl_RecLibrary[Recommendation ID],tbl_RecLibrary[Roadmap Horizon]),"")</f>
        <v/>
      </c>
    </row>
    <row r="142" spans="1:11" x14ac:dyDescent="0.25">
      <c r="A142" t="str">
        <f>Survey!$A142</f>
        <v>RAC-001</v>
      </c>
      <c r="B142" t="str">
        <f>Survey!$B142</f>
        <v>RACI Matrix</v>
      </c>
      <c r="C142" t="str">
        <f>Survey!$D142</f>
        <v>Individual Model Accountability</v>
      </c>
      <c r="D142" t="str">
        <f>Survey!$J142</f>
        <v>Some AI models have a named accountable owner, but coverage is inconsistent</v>
      </c>
      <c r="E142">
        <f>Survey!$K142</f>
        <v>3</v>
      </c>
      <c r="F142" t="str">
        <f>Survey!$M142</f>
        <v>Partial Capability</v>
      </c>
      <c r="G142" t="str">
        <f>Survey!$N142</f>
        <v>REC-RAC-001-L3</v>
      </c>
      <c r="H142" t="str">
        <f ca="1">IFERROR(_xludf.XLOOKUP(G142,tbl_RecLibrary[Recommendation ID],tbl_RecLibrary[Recommendation Title]),"")</f>
        <v/>
      </c>
      <c r="I142" t="str">
        <f ca="1">IFERROR(_xludf.XLOOKUP(G142,tbl_RecLibrary[Recommendation ID],tbl_RecLibrary[Recommended Action]),"")</f>
        <v/>
      </c>
      <c r="J142" t="str">
        <f ca="1">IFERROR(_xludf.XLOOKUP(G142,tbl_RecLibrary[Recommendation ID],tbl_RecLibrary[Priority]),"")</f>
        <v/>
      </c>
      <c r="K142" t="str">
        <f ca="1">IFERROR(_xludf.XLOOKUP(G142,tbl_RecLibrary[Recommendation ID],tbl_RecLibrary[Roadmap Horizon]),"")</f>
        <v/>
      </c>
    </row>
    <row r="143" spans="1:11" x14ac:dyDescent="0.25">
      <c r="A143" t="str">
        <f>Survey!$A143</f>
        <v>RAC-002</v>
      </c>
      <c r="B143" t="str">
        <f>Survey!$B143</f>
        <v>RACI Matrix</v>
      </c>
      <c r="C143" t="str">
        <f>Survey!$D143</f>
        <v>Council Framework Accountability</v>
      </c>
      <c r="D143" t="str">
        <f>Survey!$J143</f>
        <v>The AI Council has no defined role in the RACI; the framework has no clear owner</v>
      </c>
      <c r="E143">
        <f>Survey!$K143</f>
        <v>1</v>
      </c>
      <c r="F143" t="str">
        <f>Survey!$M143</f>
        <v>Framework Ownership Gap</v>
      </c>
      <c r="G143" t="str">
        <f>Survey!$N143</f>
        <v>REC-RAC-002-L1</v>
      </c>
      <c r="H143" t="str">
        <f ca="1">IFERROR(_xludf.XLOOKUP(G143,tbl_RecLibrary[Recommendation ID],tbl_RecLibrary[Recommendation Title]),"")</f>
        <v/>
      </c>
      <c r="I143" t="str">
        <f ca="1">IFERROR(_xludf.XLOOKUP(G143,tbl_RecLibrary[Recommendation ID],tbl_RecLibrary[Recommended Action]),"")</f>
        <v/>
      </c>
      <c r="J143" t="str">
        <f ca="1">IFERROR(_xludf.XLOOKUP(G143,tbl_RecLibrary[Recommendation ID],tbl_RecLibrary[Priority]),"")</f>
        <v/>
      </c>
      <c r="K143" t="str">
        <f ca="1">IFERROR(_xludf.XLOOKUP(G143,tbl_RecLibrary[Recommendation ID],tbl_RecLibrary[Roadmap Horizon]),"")</f>
        <v/>
      </c>
    </row>
    <row r="144" spans="1:11" x14ac:dyDescent="0.25">
      <c r="A144" t="str">
        <f>Survey!$A144</f>
        <v>RAC-003</v>
      </c>
      <c r="B144" t="str">
        <f>Survey!$B144</f>
        <v>RACI Matrix</v>
      </c>
      <c r="C144" t="str">
        <f>Survey!$D144</f>
        <v>Pre-Production Legal/Privacy Review</v>
      </c>
      <c r="D144" t="str">
        <f>Survey!$J144</f>
        <v>Legal and Privacy are not consulted before AI moves to production</v>
      </c>
      <c r="E144">
        <f>Survey!$K144</f>
        <v>1</v>
      </c>
      <c r="F144" t="str">
        <f>Survey!$M144</f>
        <v>Pre-Production Review Gap</v>
      </c>
      <c r="G144" t="str">
        <f>Survey!$N144</f>
        <v>REC-RAC-003-L1</v>
      </c>
      <c r="H144" t="str">
        <f ca="1">IFERROR(_xludf.XLOOKUP(G144,tbl_RecLibrary[Recommendation ID],tbl_RecLibrary[Recommendation Title]),"")</f>
        <v/>
      </c>
      <c r="I144" t="str">
        <f ca="1">IFERROR(_xludf.XLOOKUP(G144,tbl_RecLibrary[Recommendation ID],tbl_RecLibrary[Recommended Action]),"")</f>
        <v/>
      </c>
      <c r="J144" t="str">
        <f ca="1">IFERROR(_xludf.XLOOKUP(G144,tbl_RecLibrary[Recommendation ID],tbl_RecLibrary[Priority]),"")</f>
        <v/>
      </c>
      <c r="K144" t="str">
        <f ca="1">IFERROR(_xludf.XLOOKUP(G144,tbl_RecLibrary[Recommendation ID],tbl_RecLibrary[Roadmap Horizon]),"")</f>
        <v/>
      </c>
    </row>
    <row r="145" spans="1:11" x14ac:dyDescent="0.25">
      <c r="A145" t="str">
        <f>Survey!$A145</f>
        <v>RAC-004</v>
      </c>
      <c r="B145" t="str">
        <f>Survey!$B145</f>
        <v>RACI Matrix</v>
      </c>
      <c r="C145" t="str">
        <f>Survey!$D145</f>
        <v>Run-Cost Accountability</v>
      </c>
      <c r="D145" t="str">
        <f>Survey!$J145</f>
        <v>Run-cost accountability is unassigned; costs become a surprise to whoever notices first</v>
      </c>
      <c r="E145">
        <f>Survey!$K145</f>
        <v>1</v>
      </c>
      <c r="F145" t="str">
        <f>Survey!$M145</f>
        <v>Run-Cost Ownership Gap</v>
      </c>
      <c r="G145" t="str">
        <f>Survey!$N145</f>
        <v>REC-RAC-004-L1</v>
      </c>
      <c r="H145" t="str">
        <f ca="1">IFERROR(_xludf.XLOOKUP(G145,tbl_RecLibrary[Recommendation ID],tbl_RecLibrary[Recommendation Title]),"")</f>
        <v/>
      </c>
      <c r="I145" t="str">
        <f ca="1">IFERROR(_xludf.XLOOKUP(G145,tbl_RecLibrary[Recommendation ID],tbl_RecLibrary[Recommended Action]),"")</f>
        <v/>
      </c>
      <c r="J145" t="str">
        <f ca="1">IFERROR(_xludf.XLOOKUP(G145,tbl_RecLibrary[Recommendation ID],tbl_RecLibrary[Priority]),"")</f>
        <v/>
      </c>
      <c r="K145" t="str">
        <f ca="1">IFERROR(_xludf.XLOOKUP(G145,tbl_RecLibrary[Recommendation ID],tbl_RecLibrary[Roadmap Horizon]),"")</f>
        <v/>
      </c>
    </row>
    <row r="146" spans="1:11" x14ac:dyDescent="0.25">
      <c r="A146" t="str">
        <f>Survey!$A146</f>
        <v>RAC-005</v>
      </c>
      <c r="B146" t="str">
        <f>Survey!$B146</f>
        <v>RACI Matrix</v>
      </c>
      <c r="C146" t="str">
        <f>Survey!$D146</f>
        <v>Training Data Provenance Responsibility</v>
      </c>
      <c r="D146" t="str">
        <f>Survey!$J146</f>
        <v>No one is clearly responsible for verifying training data lineage or right to use</v>
      </c>
      <c r="E146">
        <f>Survey!$K146</f>
        <v>1</v>
      </c>
      <c r="F146" t="str">
        <f>Survey!$M146</f>
        <v>Data Provenance Responsibility Gap</v>
      </c>
      <c r="G146" t="str">
        <f>Survey!$N146</f>
        <v>REC-RAC-005-L1</v>
      </c>
      <c r="H146" t="str">
        <f ca="1">IFERROR(_xludf.XLOOKUP(G146,tbl_RecLibrary[Recommendation ID],tbl_RecLibrary[Recommendation Title]),"")</f>
        <v/>
      </c>
      <c r="I146" t="str">
        <f ca="1">IFERROR(_xludf.XLOOKUP(G146,tbl_RecLibrary[Recommendation ID],tbl_RecLibrary[Recommended Action]),"")</f>
        <v/>
      </c>
      <c r="J146" t="str">
        <f ca="1">IFERROR(_xludf.XLOOKUP(G146,tbl_RecLibrary[Recommendation ID],tbl_RecLibrary[Priority]),"")</f>
        <v/>
      </c>
      <c r="K146" t="str">
        <f ca="1">IFERROR(_xludf.XLOOKUP(G146,tbl_RecLibrary[Recommendation ID],tbl_RecLibrary[Roadmap Horizon]),"")</f>
        <v/>
      </c>
    </row>
    <row r="147" spans="1:11" x14ac:dyDescent="0.25">
      <c r="A147" t="str">
        <f>Survey!$A147</f>
        <v>RAC-006</v>
      </c>
      <c r="B147" t="str">
        <f>Survey!$B147</f>
        <v>RACI Matrix</v>
      </c>
      <c r="C147" t="str">
        <f>Survey!$D147</f>
        <v>Model Selection Authority</v>
      </c>
      <c r="D147" t="str">
        <f>Survey!$J147</f>
        <v>Model selection happens informally with no documented responsibility</v>
      </c>
      <c r="E147">
        <f>Survey!$K147</f>
        <v>1</v>
      </c>
      <c r="F147" t="str">
        <f>Survey!$M147</f>
        <v>Model Selection Responsibility Gap</v>
      </c>
      <c r="G147" t="str">
        <f>Survey!$N147</f>
        <v>REC-RAC-006-L1</v>
      </c>
      <c r="H147" t="str">
        <f ca="1">IFERROR(_xludf.XLOOKUP(G147,tbl_RecLibrary[Recommendation ID],tbl_RecLibrary[Recommendation Title]),"")</f>
        <v/>
      </c>
      <c r="I147" t="str">
        <f ca="1">IFERROR(_xludf.XLOOKUP(G147,tbl_RecLibrary[Recommendation ID],tbl_RecLibrary[Recommended Action]),"")</f>
        <v/>
      </c>
      <c r="J147" t="str">
        <f ca="1">IFERROR(_xludf.XLOOKUP(G147,tbl_RecLibrary[Recommendation ID],tbl_RecLibrary[Priority]),"")</f>
        <v/>
      </c>
      <c r="K147" t="str">
        <f ca="1">IFERROR(_xludf.XLOOKUP(G147,tbl_RecLibrary[Recommendation ID],tbl_RecLibrary[Roadmap Horizon]),"")</f>
        <v/>
      </c>
    </row>
    <row r="148" spans="1:11" x14ac:dyDescent="0.25">
      <c r="A148" t="str">
        <f>Survey!$A148</f>
        <v>RAC-007</v>
      </c>
      <c r="B148" t="str">
        <f>Survey!$B148</f>
        <v>RACI Matrix</v>
      </c>
      <c r="C148" t="str">
        <f>Survey!$D148</f>
        <v>Prompt and Guardrail Ownership</v>
      </c>
      <c r="D148" t="str">
        <f>Survey!$J148</f>
        <v>No one is clearly responsible for system prompts or safety guardrails in generative AI projects</v>
      </c>
      <c r="E148">
        <f>Survey!$K148</f>
        <v>1</v>
      </c>
      <c r="F148" t="str">
        <f>Survey!$M148</f>
        <v>Prompt Responsibility Gap</v>
      </c>
      <c r="G148" t="str">
        <f>Survey!$N148</f>
        <v>REC-RAC-007-L1</v>
      </c>
      <c r="H148" t="str">
        <f ca="1">IFERROR(_xludf.XLOOKUP(G148,tbl_RecLibrary[Recommendation ID],tbl_RecLibrary[Recommendation Title]),"")</f>
        <v/>
      </c>
      <c r="I148" t="str">
        <f ca="1">IFERROR(_xludf.XLOOKUP(G148,tbl_RecLibrary[Recommendation ID],tbl_RecLibrary[Recommended Action]),"")</f>
        <v/>
      </c>
      <c r="J148" t="str">
        <f ca="1">IFERROR(_xludf.XLOOKUP(G148,tbl_RecLibrary[Recommendation ID],tbl_RecLibrary[Priority]),"")</f>
        <v/>
      </c>
      <c r="K148" t="str">
        <f ca="1">IFERROR(_xludf.XLOOKUP(G148,tbl_RecLibrary[Recommendation ID],tbl_RecLibrary[Roadmap Horizon]),"")</f>
        <v/>
      </c>
    </row>
    <row r="149" spans="1:11" x14ac:dyDescent="0.25">
      <c r="A149" t="str">
        <f>Survey!$A149</f>
        <v>RAC-008</v>
      </c>
      <c r="B149" t="str">
        <f>Survey!$B149</f>
        <v>RACI Matrix</v>
      </c>
      <c r="C149" t="str">
        <f>Survey!$D149</f>
        <v>Go-Live Decision Authority</v>
      </c>
      <c r="D149" t="str">
        <f>Survey!$J149</f>
        <v>Go-live decisions happen ad-hoc, with no defined authority</v>
      </c>
      <c r="E149">
        <f>Survey!$K149</f>
        <v>1</v>
      </c>
      <c r="F149" t="str">
        <f>Survey!$M149</f>
        <v>Go-Live Authority Gap</v>
      </c>
      <c r="G149" t="str">
        <f>Survey!$N149</f>
        <v>REC-RAC-008-L1</v>
      </c>
      <c r="H149" t="str">
        <f ca="1">IFERROR(_xludf.XLOOKUP(G149,tbl_RecLibrary[Recommendation ID],tbl_RecLibrary[Recommendation Title]),"")</f>
        <v/>
      </c>
      <c r="I149" t="str">
        <f ca="1">IFERROR(_xludf.XLOOKUP(G149,tbl_RecLibrary[Recommendation ID],tbl_RecLibrary[Recommended Action]),"")</f>
        <v/>
      </c>
      <c r="J149" t="str">
        <f ca="1">IFERROR(_xludf.XLOOKUP(G149,tbl_RecLibrary[Recommendation ID],tbl_RecLibrary[Priority]),"")</f>
        <v/>
      </c>
      <c r="K149" t="str">
        <f ca="1">IFERROR(_xludf.XLOOKUP(G149,tbl_RecLibrary[Recommendation ID],tbl_RecLibrary[Roadmap Horizon]),"")</f>
        <v/>
      </c>
    </row>
    <row r="150" spans="1:11" x14ac:dyDescent="0.25">
      <c r="A150" t="str">
        <f>Survey!$A150</f>
        <v>RAC-009</v>
      </c>
      <c r="B150" t="str">
        <f>Survey!$B150</f>
        <v>RACI Matrix</v>
      </c>
      <c r="C150" t="str">
        <f>Survey!$D150</f>
        <v>Production Monitoring Responsibility</v>
      </c>
      <c r="D150" t="str">
        <f>Survey!$J150</f>
        <v>No one is clearly responsible for ongoing monitoring; models drift silently</v>
      </c>
      <c r="E150">
        <f>Survey!$K150</f>
        <v>1</v>
      </c>
      <c r="F150" t="str">
        <f>Survey!$M150</f>
        <v>Monitoring Responsibility Gap</v>
      </c>
      <c r="G150" t="str">
        <f>Survey!$N150</f>
        <v>REC-RAC-009-L1</v>
      </c>
      <c r="H150" t="str">
        <f ca="1">IFERROR(_xludf.XLOOKUP(G150,tbl_RecLibrary[Recommendation ID],tbl_RecLibrary[Recommendation Title]),"")</f>
        <v/>
      </c>
      <c r="I150" t="str">
        <f ca="1">IFERROR(_xludf.XLOOKUP(G150,tbl_RecLibrary[Recommendation ID],tbl_RecLibrary[Recommended Action]),"")</f>
        <v/>
      </c>
      <c r="J150" t="str">
        <f ca="1">IFERROR(_xludf.XLOOKUP(G150,tbl_RecLibrary[Recommendation ID],tbl_RecLibrary[Priority]),"")</f>
        <v/>
      </c>
      <c r="K150" t="str">
        <f ca="1">IFERROR(_xludf.XLOOKUP(G150,tbl_RecLibrary[Recommendation ID],tbl_RecLibrary[Roadmap Horizon]),"")</f>
        <v/>
      </c>
    </row>
    <row r="151" spans="1:11" x14ac:dyDescent="0.25">
      <c r="A151" t="str">
        <f>Survey!$A151</f>
        <v>RAC-010</v>
      </c>
      <c r="B151" t="str">
        <f>Survey!$B151</f>
        <v>RACI Matrix</v>
      </c>
      <c r="C151" t="str">
        <f>Survey!$D151</f>
        <v>Incident Remediation Accountability</v>
      </c>
      <c r="D151" t="str">
        <f>Survey!$J151</f>
        <v>Accountability for AI incident remediation is unassigned; response is chaotic</v>
      </c>
      <c r="E151">
        <f>Survey!$K151</f>
        <v>1</v>
      </c>
      <c r="F151" t="str">
        <f>Survey!$M151</f>
        <v>Incident Accountability Gap</v>
      </c>
      <c r="G151" t="str">
        <f>Survey!$N151</f>
        <v>REC-RAC-010-L1</v>
      </c>
      <c r="H151" t="str">
        <f ca="1">IFERROR(_xludf.XLOOKUP(G151,tbl_RecLibrary[Recommendation ID],tbl_RecLibrary[Recommendation Title]),"")</f>
        <v/>
      </c>
      <c r="I151" t="str">
        <f ca="1">IFERROR(_xludf.XLOOKUP(G151,tbl_RecLibrary[Recommendation ID],tbl_RecLibrary[Recommended Action]),"")</f>
        <v/>
      </c>
      <c r="J151" t="str">
        <f ca="1">IFERROR(_xludf.XLOOKUP(G151,tbl_RecLibrary[Recommendation ID],tbl_RecLibrary[Priority]),"")</f>
        <v/>
      </c>
      <c r="K151" t="str">
        <f ca="1">IFERROR(_xludf.XLOOKUP(G151,tbl_RecLibrary[Recommendation ID],tbl_RecLibrary[Roadmap Horizon]),"")</f>
        <v/>
      </c>
    </row>
    <row r="152" spans="1:11" x14ac:dyDescent="0.25">
      <c r="A152" t="str">
        <f>Survey!$A152</f>
        <v>RAC-011</v>
      </c>
      <c r="B152" t="str">
        <f>Survey!$B152</f>
        <v>RACI Matrix</v>
      </c>
      <c r="C152" t="str">
        <f>Survey!$D152</f>
        <v>Human Reviewer Role Definition</v>
      </c>
      <c r="D152" t="str">
        <f>Survey!$J152</f>
        <v>Human reviewers' role is unclear; they may approve outputs without being formally Responsible</v>
      </c>
      <c r="E152">
        <f>Survey!$K152</f>
        <v>1</v>
      </c>
      <c r="F152" t="str">
        <f>Survey!$M152</f>
        <v>HITL Role Gap</v>
      </c>
      <c r="G152" t="str">
        <f>Survey!$N152</f>
        <v>REC-RAC-011-L1</v>
      </c>
      <c r="H152" t="str">
        <f ca="1">IFERROR(_xludf.XLOOKUP(G152,tbl_RecLibrary[Recommendation ID],tbl_RecLibrary[Recommendation Title]),"")</f>
        <v/>
      </c>
      <c r="I152" t="str">
        <f ca="1">IFERROR(_xludf.XLOOKUP(G152,tbl_RecLibrary[Recommendation ID],tbl_RecLibrary[Recommended Action]),"")</f>
        <v/>
      </c>
      <c r="J152" t="str">
        <f ca="1">IFERROR(_xludf.XLOOKUP(G152,tbl_RecLibrary[Recommendation ID],tbl_RecLibrary[Priority]),"")</f>
        <v/>
      </c>
      <c r="K152" t="str">
        <f ca="1">IFERROR(_xludf.XLOOKUP(G152,tbl_RecLibrary[Recommendation ID],tbl_RecLibrary[Roadmap Horizon]),"")</f>
        <v/>
      </c>
    </row>
    <row r="153" spans="1:11" x14ac:dyDescent="0.25">
      <c r="A153" t="str">
        <f>Survey!$A153</f>
        <v>RAC-012</v>
      </c>
      <c r="B153" t="str">
        <f>Survey!$B153</f>
        <v>RACI Matrix</v>
      </c>
      <c r="C153" t="str">
        <f>Survey!$D153</f>
        <v>Decommissioning Decision Authority</v>
      </c>
      <c r="D153" t="str">
        <f>Survey!$J153</f>
        <v>No one is responsible for deciding when AI models are stale; outdated models persist</v>
      </c>
      <c r="E153">
        <f>Survey!$K153</f>
        <v>1</v>
      </c>
      <c r="F153" t="str">
        <f>Survey!$M153</f>
        <v>Decommissioning Authority Gap</v>
      </c>
      <c r="G153" t="str">
        <f>Survey!$N153</f>
        <v>REC-RAC-012-L1</v>
      </c>
      <c r="H153" t="str">
        <f ca="1">IFERROR(_xludf.XLOOKUP(G153,tbl_RecLibrary[Recommendation ID],tbl_RecLibrary[Recommendation Title]),"")</f>
        <v/>
      </c>
      <c r="I153" t="str">
        <f ca="1">IFERROR(_xludf.XLOOKUP(G153,tbl_RecLibrary[Recommendation ID],tbl_RecLibrary[Recommended Action]),"")</f>
        <v/>
      </c>
      <c r="J153" t="str">
        <f ca="1">IFERROR(_xludf.XLOOKUP(G153,tbl_RecLibrary[Recommendation ID],tbl_RecLibrary[Priority]),"")</f>
        <v/>
      </c>
      <c r="K153" t="str">
        <f ca="1">IFERROR(_xludf.XLOOKUP(G153,tbl_RecLibrary[Recommendation ID],tbl_RecLibrary[Roadmap Horizon]),"")</f>
        <v/>
      </c>
    </row>
    <row r="154" spans="1:11" x14ac:dyDescent="0.25">
      <c r="A154" t="str">
        <f>Survey!$A154</f>
        <v>RAC-013</v>
      </c>
      <c r="B154" t="str">
        <f>Survey!$B154</f>
        <v>RACI Matrix</v>
      </c>
      <c r="C154" t="str">
        <f>Survey!$D154</f>
        <v>Executive Communication by Risk Tier</v>
      </c>
      <c r="D154" t="str">
        <f>Survey!$J154</f>
        <v>Executives receive no structured updates on AI deployments; awareness is anecdotal</v>
      </c>
      <c r="E154">
        <f>Survey!$K154</f>
        <v>1</v>
      </c>
      <c r="F154" t="str">
        <f>Survey!$M154</f>
        <v>Executive Communication Gap</v>
      </c>
      <c r="G154" t="str">
        <f>Survey!$N154</f>
        <v>REC-RAC-013-L1</v>
      </c>
      <c r="H154" t="str">
        <f ca="1">IFERROR(_xludf.XLOOKUP(G154,tbl_RecLibrary[Recommendation ID],tbl_RecLibrary[Recommendation Title]),"")</f>
        <v/>
      </c>
      <c r="I154" t="str">
        <f ca="1">IFERROR(_xludf.XLOOKUP(G154,tbl_RecLibrary[Recommendation ID],tbl_RecLibrary[Recommended Action]),"")</f>
        <v/>
      </c>
      <c r="J154" t="str">
        <f ca="1">IFERROR(_xludf.XLOOKUP(G154,tbl_RecLibrary[Recommendation ID],tbl_RecLibrary[Priority]),"")</f>
        <v/>
      </c>
      <c r="K154" t="str">
        <f ca="1">IFERROR(_xludf.XLOOKUP(G154,tbl_RecLibrary[Recommendation ID],tbl_RecLibrary[Roadmap Horizon]),"")</f>
        <v/>
      </c>
    </row>
    <row r="155" spans="1:11" x14ac:dyDescent="0.25">
      <c r="A155" t="str">
        <f>Survey!$A155</f>
        <v>RAC-014</v>
      </c>
      <c r="B155" t="str">
        <f>Survey!$B155</f>
        <v>RACI Matrix</v>
      </c>
      <c r="C155" t="str">
        <f>Survey!$D155</f>
        <v>AI Disclosure to Users</v>
      </c>
      <c r="D155" t="str">
        <f>Survey!$J155</f>
        <v>Responsibility for disclosing AI use to end users is not assigned; disclosure may not happen</v>
      </c>
      <c r="E155">
        <f>Survey!$K155</f>
        <v>1</v>
      </c>
      <c r="F155" t="str">
        <f>Survey!$M155</f>
        <v>Disclosure Responsibility Gap</v>
      </c>
      <c r="G155" t="str">
        <f>Survey!$N155</f>
        <v>REC-RAC-014-L1</v>
      </c>
      <c r="H155" t="str">
        <f ca="1">IFERROR(_xludf.XLOOKUP(G155,tbl_RecLibrary[Recommendation ID],tbl_RecLibrary[Recommendation Title]),"")</f>
        <v/>
      </c>
      <c r="I155" t="str">
        <f ca="1">IFERROR(_xludf.XLOOKUP(G155,tbl_RecLibrary[Recommendation ID],tbl_RecLibrary[Recommended Action]),"")</f>
        <v/>
      </c>
      <c r="J155" t="str">
        <f ca="1">IFERROR(_xludf.XLOOKUP(G155,tbl_RecLibrary[Recommendation ID],tbl_RecLibrary[Priority]),"")</f>
        <v/>
      </c>
      <c r="K155" t="str">
        <f ca="1">IFERROR(_xludf.XLOOKUP(G155,tbl_RecLibrary[Recommendation ID],tbl_RecLibrary[Roadmap Horizon]),"")</f>
        <v/>
      </c>
    </row>
    <row r="156" spans="1:11" x14ac:dyDescent="0.25">
      <c r="A156" t="str">
        <f>Survey!$A156</f>
        <v>RAC-015</v>
      </c>
      <c r="B156" t="str">
        <f>Survey!$B156</f>
        <v>RACI Matrix</v>
      </c>
      <c r="C156" t="str">
        <f>Survey!$D156</f>
        <v>Vendor Model Change Awareness</v>
      </c>
      <c r="D156" t="str">
        <f>Survey!$J156</f>
        <v>Vendor change awareness is automated, integrated with regression testing, supports rapid response to breaking changes, and feeds vendor risk management</v>
      </c>
      <c r="E156">
        <f>Survey!$K156</f>
        <v>5</v>
      </c>
      <c r="F156" t="str">
        <f>Survey!$M156</f>
        <v>Optimized Capability</v>
      </c>
      <c r="G156" t="str">
        <f>Survey!$N156</f>
        <v>REC-RAC-015-L5</v>
      </c>
      <c r="H156" t="str">
        <f ca="1">IFERROR(_xludf.XLOOKUP(G156,tbl_RecLibrary[Recommendation ID],tbl_RecLibrary[Recommendation Title]),"")</f>
        <v/>
      </c>
      <c r="I156" t="str">
        <f ca="1">IFERROR(_xludf.XLOOKUP(G156,tbl_RecLibrary[Recommendation ID],tbl_RecLibrary[Recommended Action]),"")</f>
        <v/>
      </c>
      <c r="J156" t="str">
        <f ca="1">IFERROR(_xludf.XLOOKUP(G156,tbl_RecLibrary[Recommendation ID],tbl_RecLibrary[Priority]),"")</f>
        <v/>
      </c>
      <c r="K156" t="str">
        <f ca="1">IFERROR(_xludf.XLOOKUP(G156,tbl_RecLibrary[Recommendation ID],tbl_RecLibrary[Roadmap Horizon]),"")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B43"/>
  <sheetViews>
    <sheetView zoomScaleNormal="100" workbookViewId="0">
      <selection activeCell="B25" sqref="B25"/>
    </sheetView>
  </sheetViews>
  <sheetFormatPr defaultRowHeight="15" x14ac:dyDescent="0.25"/>
  <cols>
    <col min="1" max="1" width="52" customWidth="1"/>
    <col min="2" max="2" width="20" style="11" customWidth="1"/>
  </cols>
  <sheetData>
    <row r="1" spans="1:2" ht="21" customHeight="1" x14ac:dyDescent="0.35">
      <c r="A1" s="12" t="s">
        <v>5571</v>
      </c>
    </row>
    <row r="3" spans="1:2" ht="18.75" customHeight="1" x14ac:dyDescent="0.25">
      <c r="A3" s="6" t="s">
        <v>5572</v>
      </c>
      <c r="B3" s="13" t="str">
        <f>IFERROR(ROUND(AVERAGE(#REF!),1),"")</f>
        <v/>
      </c>
    </row>
    <row r="4" spans="1:2" x14ac:dyDescent="0.25">
      <c r="A4" s="6" t="s">
        <v>5573</v>
      </c>
      <c r="B4" s="14">
        <f>IFERROR(COUNTA(#REF!)/COUNTA(#REF!),0)</f>
        <v>1</v>
      </c>
    </row>
    <row r="5" spans="1:2" x14ac:dyDescent="0.25">
      <c r="A5" s="6" t="s">
        <v>5574</v>
      </c>
      <c r="B5" s="11" t="str">
        <f>COUNTA(#REF!)&amp;" / "&amp;COUNTA(#REF!)</f>
        <v>1 / 1</v>
      </c>
    </row>
    <row r="6" spans="1:2" x14ac:dyDescent="0.25">
      <c r="A6" s="6" t="s">
        <v>5575</v>
      </c>
      <c r="B6" s="11" t="e">
        <f>COUNTIF(#REF!,"Not sure")</f>
        <v>#REF!</v>
      </c>
    </row>
    <row r="7" spans="1:2" x14ac:dyDescent="0.25">
      <c r="A7" s="6" t="s">
        <v>5576</v>
      </c>
      <c r="B7" s="11" t="e">
        <f>COUNTIF(#REF!,"Not applicable")</f>
        <v>#REF!</v>
      </c>
    </row>
    <row r="9" spans="1:2" ht="15.75" customHeight="1" x14ac:dyDescent="0.25">
      <c r="A9" s="15" t="s">
        <v>5577</v>
      </c>
    </row>
    <row r="10" spans="1:2" x14ac:dyDescent="0.25">
      <c r="A10" s="6" t="s">
        <v>38</v>
      </c>
      <c r="B10" s="11" t="str">
        <f>IFERROR(ROUND(AVERAGEIFS(#REF!,#REF!,A10),1),"")</f>
        <v/>
      </c>
    </row>
    <row r="11" spans="1:2" x14ac:dyDescent="0.25">
      <c r="A11" s="6" t="s">
        <v>141</v>
      </c>
      <c r="B11" s="11" t="str">
        <f>IFERROR(ROUND(AVERAGEIFS(#REF!,#REF!,A11),1),"")</f>
        <v/>
      </c>
    </row>
    <row r="12" spans="1:2" x14ac:dyDescent="0.25">
      <c r="A12" s="6" t="s">
        <v>209</v>
      </c>
      <c r="B12" s="11" t="str">
        <f>IFERROR(ROUND(AVERAGEIFS(#REF!,#REF!,A12),1),"")</f>
        <v/>
      </c>
    </row>
    <row r="13" spans="1:2" x14ac:dyDescent="0.25">
      <c r="A13" s="6" t="s">
        <v>278</v>
      </c>
      <c r="B13" s="11" t="str">
        <f>IFERROR(ROUND(AVERAGEIFS(#REF!,#REF!,A13),1),"")</f>
        <v/>
      </c>
    </row>
    <row r="14" spans="1:2" x14ac:dyDescent="0.25">
      <c r="A14" s="6" t="s">
        <v>348</v>
      </c>
      <c r="B14" s="11" t="str">
        <f>IFERROR(ROUND(AVERAGEIFS(#REF!,#REF!,A14),1),"")</f>
        <v/>
      </c>
    </row>
    <row r="15" spans="1:2" x14ac:dyDescent="0.25">
      <c r="A15" s="6" t="s">
        <v>414</v>
      </c>
      <c r="B15" s="11" t="str">
        <f>IFERROR(ROUND(AVERAGEIFS(#REF!,#REF!,A15),1),"")</f>
        <v/>
      </c>
    </row>
    <row r="16" spans="1:2" x14ac:dyDescent="0.25">
      <c r="A16" s="6" t="s">
        <v>476</v>
      </c>
      <c r="B16" s="11" t="str">
        <f>IFERROR(ROUND(AVERAGEIFS(#REF!,#REF!,A16),1),"")</f>
        <v/>
      </c>
    </row>
    <row r="17" spans="1:2" x14ac:dyDescent="0.25">
      <c r="A17" s="6" t="s">
        <v>537</v>
      </c>
      <c r="B17" s="11" t="str">
        <f>IFERROR(ROUND(AVERAGEIFS(#REF!,#REF!,A17),1),"")</f>
        <v/>
      </c>
    </row>
    <row r="18" spans="1:2" x14ac:dyDescent="0.25">
      <c r="A18" s="6" t="s">
        <v>607</v>
      </c>
      <c r="B18" s="11" t="str">
        <f>IFERROR(ROUND(AVERAGEIFS(#REF!,#REF!,A18),1),"")</f>
        <v/>
      </c>
    </row>
    <row r="19" spans="1:2" x14ac:dyDescent="0.25">
      <c r="A19" s="6" t="s">
        <v>676</v>
      </c>
      <c r="B19" s="11" t="str">
        <f>IFERROR(ROUND(AVERAGEIFS(#REF!,#REF!,A19),1),"")</f>
        <v/>
      </c>
    </row>
    <row r="40" spans="1:2" x14ac:dyDescent="0.25">
      <c r="A40" s="6" t="s">
        <v>5578</v>
      </c>
      <c r="B40" s="11" t="e">
        <f>COUNTIFS(#REF!,"&lt;&gt;",#REF!,"&lt;=2")</f>
        <v>#REF!</v>
      </c>
    </row>
    <row r="41" spans="1:2" x14ac:dyDescent="0.25">
      <c r="A41" s="6" t="s">
        <v>5579</v>
      </c>
      <c r="B41" s="11" t="e">
        <f>COUNTIFS(#REF!,"&lt;&gt;",#REF!,3)</f>
        <v>#REF!</v>
      </c>
    </row>
    <row r="42" spans="1:2" x14ac:dyDescent="0.25">
      <c r="A42" s="6" t="s">
        <v>5580</v>
      </c>
      <c r="B42" s="11" t="e">
        <f>COUNTIFS(#REF!,"&lt;&gt;",#REF!,"&gt;=4")</f>
        <v>#REF!</v>
      </c>
    </row>
    <row r="43" spans="1:2" x14ac:dyDescent="0.25">
      <c r="A43" s="6" t="s">
        <v>5581</v>
      </c>
      <c r="B43" s="11" t="e">
        <f>COUNTIFS(#REF!,"&lt;&gt;",#REF!,"")</f>
        <v>#REF!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zoomScaleNormal="100" workbookViewId="0">
      <selection activeCell="B6" sqref="B6"/>
    </sheetView>
  </sheetViews>
  <sheetFormatPr defaultRowHeight="15" x14ac:dyDescent="0.25"/>
  <cols>
    <col min="1" max="1" width="28" customWidth="1"/>
    <col min="2" max="2" width="26" customWidth="1"/>
  </cols>
  <sheetData>
    <row r="1" spans="1:2" x14ac:dyDescent="0.25">
      <c r="A1" s="16" t="s">
        <v>31</v>
      </c>
      <c r="B1" s="16" t="s">
        <v>5582</v>
      </c>
    </row>
    <row r="2" spans="1:2" x14ac:dyDescent="0.25">
      <c r="A2" s="7" t="s">
        <v>748</v>
      </c>
      <c r="B2" t="e">
        <f>COUNTIF(#REF!,"Governance Gap")</f>
        <v>#REF!</v>
      </c>
    </row>
    <row r="3" spans="1:2" x14ac:dyDescent="0.25">
      <c r="A3" s="7" t="s">
        <v>755</v>
      </c>
      <c r="B3" t="e">
        <f>COUNTIF(#REF!,"Partial Capability")</f>
        <v>#REF!</v>
      </c>
    </row>
    <row r="4" spans="1:2" x14ac:dyDescent="0.25">
      <c r="A4" s="7" t="s">
        <v>758</v>
      </c>
      <c r="B4" t="e">
        <f>COUNTIF(#REF!,"Mature Capability")</f>
        <v>#REF!</v>
      </c>
    </row>
    <row r="5" spans="1:2" x14ac:dyDescent="0.25">
      <c r="A5" s="7" t="s">
        <v>763</v>
      </c>
      <c r="B5" t="e">
        <f>COUNTIF(#REF!,"Optimized Capability")</f>
        <v>#REF!</v>
      </c>
    </row>
    <row r="6" spans="1:2" x14ac:dyDescent="0.25">
      <c r="A6" s="7" t="s">
        <v>768</v>
      </c>
      <c r="B6" t="e">
        <f>COUNTIF(#REF!,"Awareness Gap")</f>
        <v>#REF!</v>
      </c>
    </row>
    <row r="7" spans="1:2" x14ac:dyDescent="0.25">
      <c r="A7" s="7" t="s">
        <v>772</v>
      </c>
      <c r="B7" t="e">
        <f>COUNTIF(#REF!,"Review Required")</f>
        <v>#REF!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zoomScaleNormal="100" workbookViewId="0"/>
  </sheetViews>
  <sheetFormatPr defaultRowHeight="15" x14ac:dyDescent="0.25"/>
  <cols>
    <col min="1" max="1" width="10" customWidth="1"/>
    <col min="2" max="2" width="70" customWidth="1"/>
    <col min="3" max="3" width="20" customWidth="1"/>
    <col min="4" max="4" width="80" customWidth="1"/>
    <col min="5" max="5" width="20" customWidth="1"/>
  </cols>
  <sheetData>
    <row r="1" spans="1:5" x14ac:dyDescent="0.25">
      <c r="A1" s="10" t="s">
        <v>5583</v>
      </c>
      <c r="B1" s="10" t="s">
        <v>5584</v>
      </c>
      <c r="C1" s="10" t="s">
        <v>5585</v>
      </c>
      <c r="D1" s="10" t="s">
        <v>5586</v>
      </c>
      <c r="E1" s="10" t="s">
        <v>5587</v>
      </c>
    </row>
    <row r="2" spans="1:5" x14ac:dyDescent="0.25">
      <c r="A2" t="s">
        <v>5588</v>
      </c>
      <c r="B2" t="s">
        <v>5589</v>
      </c>
      <c r="C2" t="s">
        <v>5590</v>
      </c>
      <c r="D2" t="str">
        <f>TEXT(Dashboard!B4,"0%")</f>
        <v>100%</v>
      </c>
      <c r="E2" t="s">
        <v>5591</v>
      </c>
    </row>
    <row r="3" spans="1:5" x14ac:dyDescent="0.25">
      <c r="A3" t="s">
        <v>5592</v>
      </c>
      <c r="B3" t="s">
        <v>5593</v>
      </c>
      <c r="C3" t="s">
        <v>5594</v>
      </c>
      <c r="D3">
        <f>COUNTA(#REF!)</f>
        <v>1</v>
      </c>
      <c r="E3" t="s">
        <v>5591</v>
      </c>
    </row>
    <row r="4" spans="1:5" x14ac:dyDescent="0.25">
      <c r="A4" t="s">
        <v>5595</v>
      </c>
      <c r="B4" t="s">
        <v>5596</v>
      </c>
      <c r="C4" t="s">
        <v>5597</v>
      </c>
      <c r="D4" t="s">
        <v>5598</v>
      </c>
      <c r="E4" t="s">
        <v>5591</v>
      </c>
    </row>
    <row r="5" spans="1:5" x14ac:dyDescent="0.25">
      <c r="A5" t="s">
        <v>5599</v>
      </c>
      <c r="B5" t="s">
        <v>5600</v>
      </c>
      <c r="C5" t="s">
        <v>5597</v>
      </c>
      <c r="D5" t="s">
        <v>5601</v>
      </c>
      <c r="E5" t="s">
        <v>5591</v>
      </c>
    </row>
    <row r="6" spans="1:5" x14ac:dyDescent="0.25">
      <c r="A6" t="s">
        <v>5602</v>
      </c>
      <c r="B6" t="s">
        <v>5603</v>
      </c>
      <c r="C6" t="s">
        <v>5604</v>
      </c>
      <c r="D6" t="s">
        <v>5605</v>
      </c>
      <c r="E6" t="s">
        <v>5591</v>
      </c>
    </row>
    <row r="7" spans="1:5" x14ac:dyDescent="0.25">
      <c r="A7" t="s">
        <v>5606</v>
      </c>
      <c r="B7" t="s">
        <v>5607</v>
      </c>
      <c r="C7" t="s">
        <v>5608</v>
      </c>
      <c r="D7" t="str">
        <f>IFERROR(ROUND(AVERAGEIFS(#REF!,#REF!,"AI Council Governance and Framework Charter"),0),"")</f>
        <v/>
      </c>
      <c r="E7" t="s">
        <v>5609</v>
      </c>
    </row>
    <row r="8" spans="1:5" x14ac:dyDescent="0.25">
      <c r="A8" t="s">
        <v>5610</v>
      </c>
      <c r="B8" t="s">
        <v>5611</v>
      </c>
      <c r="C8" t="s">
        <v>5612</v>
      </c>
      <c r="D8" t="str">
        <f>IFERROR(ROUND(AVERAGEIFS(#REF!,#REF!,"AI Strategy and Roadmap"),0),"")</f>
        <v/>
      </c>
      <c r="E8" t="s">
        <v>5609</v>
      </c>
    </row>
    <row r="9" spans="1:5" x14ac:dyDescent="0.25">
      <c r="A9" t="s">
        <v>5613</v>
      </c>
      <c r="B9" t="s">
        <v>5614</v>
      </c>
      <c r="C9" t="s">
        <v>5597</v>
      </c>
      <c r="D9" t="str">
        <f>IFERROR(ROUND(AVERAGEIFS(#REF!,#REF!,"Responsible AI Guidelines"),0),"")</f>
        <v/>
      </c>
      <c r="E9" t="s">
        <v>5609</v>
      </c>
    </row>
    <row r="10" spans="1:5" x14ac:dyDescent="0.25">
      <c r="A10" t="s">
        <v>5615</v>
      </c>
      <c r="B10" t="s">
        <v>5616</v>
      </c>
      <c r="C10" t="s">
        <v>5617</v>
      </c>
      <c r="D10" t="str">
        <f>IFERROR(ROUND(AVERAGEIFS(#REF!,#REF!,"Performance Measurement Framework"),0),"")</f>
        <v/>
      </c>
      <c r="E10" t="s">
        <v>5609</v>
      </c>
    </row>
    <row r="11" spans="1:5" x14ac:dyDescent="0.25">
      <c r="A11" t="s">
        <v>5618</v>
      </c>
      <c r="B11" t="s">
        <v>5619</v>
      </c>
      <c r="C11" t="s">
        <v>5620</v>
      </c>
      <c r="D11" t="s">
        <v>5621</v>
      </c>
      <c r="E11" t="s">
        <v>5591</v>
      </c>
    </row>
    <row r="12" spans="1:5" x14ac:dyDescent="0.25">
      <c r="A12" t="s">
        <v>5622</v>
      </c>
      <c r="B12" t="s">
        <v>5623</v>
      </c>
      <c r="C12" t="s">
        <v>5624</v>
      </c>
      <c r="D12" t="s">
        <v>5625</v>
      </c>
      <c r="E12" t="s">
        <v>5591</v>
      </c>
    </row>
    <row r="13" spans="1:5" x14ac:dyDescent="0.25">
      <c r="A13" t="s">
        <v>5626</v>
      </c>
      <c r="B13" t="s">
        <v>5627</v>
      </c>
      <c r="C13" t="s">
        <v>5628</v>
      </c>
      <c r="D13" t="s">
        <v>5629</v>
      </c>
      <c r="E13" t="s">
        <v>5591</v>
      </c>
    </row>
    <row r="14" spans="1:5" x14ac:dyDescent="0.25">
      <c r="A14" t="s">
        <v>5630</v>
      </c>
      <c r="B14" t="s">
        <v>5631</v>
      </c>
      <c r="C14" t="s">
        <v>760</v>
      </c>
      <c r="D14" t="s">
        <v>5632</v>
      </c>
      <c r="E14" t="s">
        <v>5591</v>
      </c>
    </row>
    <row r="15" spans="1:5" x14ac:dyDescent="0.25">
      <c r="A15" t="s">
        <v>5633</v>
      </c>
      <c r="B15" t="s">
        <v>5634</v>
      </c>
      <c r="C15" t="s">
        <v>5635</v>
      </c>
      <c r="D15" t="s">
        <v>5636</v>
      </c>
      <c r="E15" t="s">
        <v>5591</v>
      </c>
    </row>
    <row r="16" spans="1:5" x14ac:dyDescent="0.25">
      <c r="A16" t="s">
        <v>5637</v>
      </c>
      <c r="B16" t="s">
        <v>5638</v>
      </c>
      <c r="C16" t="s">
        <v>5639</v>
      </c>
      <c r="D16" t="s">
        <v>5640</v>
      </c>
      <c r="E16" t="s">
        <v>5591</v>
      </c>
    </row>
    <row r="18" spans="1:1" x14ac:dyDescent="0.25">
      <c r="A18" s="17" t="s">
        <v>5641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zoomScaleNormal="100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28" customWidth="1"/>
    <col min="2" max="2" width="90" customWidth="1"/>
  </cols>
  <sheetData>
    <row r="1" spans="1:2" x14ac:dyDescent="0.25">
      <c r="A1" s="10" t="s">
        <v>5642</v>
      </c>
      <c r="B1" s="10" t="s">
        <v>5643</v>
      </c>
    </row>
    <row r="2" spans="1:2" ht="30" customHeight="1" x14ac:dyDescent="0.25">
      <c r="A2" s="6" t="s">
        <v>5644</v>
      </c>
      <c r="B2" s="7" t="s">
        <v>5645</v>
      </c>
    </row>
    <row r="3" spans="1:2" ht="30" customHeight="1" x14ac:dyDescent="0.25">
      <c r="A3" s="6" t="s">
        <v>748</v>
      </c>
      <c r="B3" s="7" t="s">
        <v>5646</v>
      </c>
    </row>
    <row r="4" spans="1:2" ht="30" customHeight="1" x14ac:dyDescent="0.25">
      <c r="A4" s="6" t="s">
        <v>758</v>
      </c>
      <c r="B4" s="7" t="s">
        <v>5647</v>
      </c>
    </row>
    <row r="5" spans="1:2" ht="30" customHeight="1" x14ac:dyDescent="0.25">
      <c r="A5" s="6" t="s">
        <v>763</v>
      </c>
      <c r="B5" s="7" t="s">
        <v>5648</v>
      </c>
    </row>
    <row r="6" spans="1:2" ht="30" customHeight="1" x14ac:dyDescent="0.25">
      <c r="A6" s="6" t="s">
        <v>755</v>
      </c>
      <c r="B6" s="7" t="s">
        <v>5649</v>
      </c>
    </row>
    <row r="7" spans="1:2" ht="30" customHeight="1" x14ac:dyDescent="0.25">
      <c r="A7" s="6" t="s">
        <v>5650</v>
      </c>
      <c r="B7" s="7" t="s">
        <v>5651</v>
      </c>
    </row>
    <row r="8" spans="1:2" ht="30" customHeight="1" x14ac:dyDescent="0.25">
      <c r="A8" s="6" t="s">
        <v>5652</v>
      </c>
      <c r="B8" s="7" t="s">
        <v>5653</v>
      </c>
    </row>
    <row r="9" spans="1:2" ht="30" customHeight="1" x14ac:dyDescent="0.25">
      <c r="A9" s="6" t="s">
        <v>5654</v>
      </c>
      <c r="B9" s="7" t="s">
        <v>5655</v>
      </c>
    </row>
    <row r="10" spans="1:2" ht="30" customHeight="1" x14ac:dyDescent="0.25">
      <c r="A10" s="6" t="s">
        <v>5656</v>
      </c>
      <c r="B10" s="7" t="s">
        <v>5657</v>
      </c>
    </row>
    <row r="11" spans="1:2" ht="30" customHeight="1" x14ac:dyDescent="0.25">
      <c r="A11" s="6" t="s">
        <v>5658</v>
      </c>
      <c r="B11" s="7" t="s">
        <v>5659</v>
      </c>
    </row>
    <row r="12" spans="1:2" ht="30" customHeight="1" x14ac:dyDescent="0.25">
      <c r="A12" s="6" t="s">
        <v>5660</v>
      </c>
      <c r="B12" s="7" t="s">
        <v>5661</v>
      </c>
    </row>
    <row r="13" spans="1:2" ht="30" customHeight="1" x14ac:dyDescent="0.25">
      <c r="A13" s="6" t="s">
        <v>5662</v>
      </c>
      <c r="B13" s="7" t="s">
        <v>5663</v>
      </c>
    </row>
    <row r="14" spans="1:2" ht="30" customHeight="1" x14ac:dyDescent="0.25">
      <c r="A14" s="6" t="s">
        <v>5664</v>
      </c>
      <c r="B14" s="7" t="s">
        <v>5665</v>
      </c>
    </row>
    <row r="15" spans="1:2" ht="30" customHeight="1" x14ac:dyDescent="0.25">
      <c r="A15" s="6" t="s">
        <v>5666</v>
      </c>
      <c r="B15" s="7" t="s">
        <v>5667</v>
      </c>
    </row>
    <row r="16" spans="1:2" ht="30" customHeight="1" x14ac:dyDescent="0.25">
      <c r="A16" s="6" t="s">
        <v>5668</v>
      </c>
      <c r="B16" s="7" t="s">
        <v>5669</v>
      </c>
    </row>
    <row r="17" spans="1:2" ht="30" customHeight="1" x14ac:dyDescent="0.25">
      <c r="A17" s="6" t="s">
        <v>5670</v>
      </c>
      <c r="B17" s="7" t="s">
        <v>5671</v>
      </c>
    </row>
    <row r="18" spans="1:2" ht="30" customHeight="1" x14ac:dyDescent="0.25">
      <c r="A18" s="6" t="s">
        <v>5672</v>
      </c>
      <c r="B18" s="7" t="s">
        <v>5673</v>
      </c>
    </row>
    <row r="19" spans="1:2" ht="30" customHeight="1" x14ac:dyDescent="0.25">
      <c r="A19" s="6" t="s">
        <v>5674</v>
      </c>
      <c r="B19" s="7" t="s">
        <v>5675</v>
      </c>
    </row>
    <row r="20" spans="1:2" ht="30" customHeight="1" x14ac:dyDescent="0.25">
      <c r="A20" s="6" t="s">
        <v>5676</v>
      </c>
      <c r="B20" s="7" t="s">
        <v>5677</v>
      </c>
    </row>
    <row r="21" spans="1:2" ht="30" customHeight="1" x14ac:dyDescent="0.25">
      <c r="A21" s="6" t="s">
        <v>5678</v>
      </c>
      <c r="B21" s="7" t="s">
        <v>5679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"/>
  <sheetViews>
    <sheetView zoomScaleNormal="100" workbookViewId="0">
      <selection activeCell="A10" sqref="A10"/>
    </sheetView>
  </sheetViews>
  <sheetFormatPr defaultRowHeight="15" x14ac:dyDescent="0.25"/>
  <cols>
    <col min="1" max="1" width="27.85546875" customWidth="1"/>
  </cols>
  <sheetData>
    <row r="1" spans="1:1" x14ac:dyDescent="0.25">
      <c r="A1" s="18" t="s">
        <v>5680</v>
      </c>
    </row>
    <row r="2" spans="1:1" x14ac:dyDescent="0.25">
      <c r="A2" s="19" t="s">
        <v>41</v>
      </c>
    </row>
    <row r="3" spans="1:1" x14ac:dyDescent="0.25">
      <c r="A3" s="20" t="s">
        <v>42</v>
      </c>
    </row>
    <row r="4" spans="1:1" x14ac:dyDescent="0.25">
      <c r="A4" s="20" t="s">
        <v>89</v>
      </c>
    </row>
    <row r="5" spans="1:1" x14ac:dyDescent="0.25">
      <c r="A5" s="20" t="s">
        <v>69</v>
      </c>
    </row>
    <row r="6" spans="1:1" x14ac:dyDescent="0.25">
      <c r="A6" s="20" t="s">
        <v>76</v>
      </c>
    </row>
    <row r="7" spans="1:1" x14ac:dyDescent="0.25">
      <c r="A7" s="20" t="s">
        <v>130</v>
      </c>
    </row>
    <row r="8" spans="1:1" x14ac:dyDescent="0.25">
      <c r="A8" s="21" t="s">
        <v>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6"/>
  <sheetViews>
    <sheetView zoomScaleNormal="100" workbookViewId="0">
      <selection activeCell="F1" sqref="F1"/>
    </sheetView>
  </sheetViews>
  <sheetFormatPr defaultRowHeight="15" x14ac:dyDescent="0.25"/>
  <cols>
    <col min="1" max="1" width="11.5703125" customWidth="1"/>
    <col min="2" max="2" width="27.85546875" customWidth="1"/>
    <col min="3" max="3" width="44" customWidth="1"/>
    <col min="4" max="4" width="47.140625" customWidth="1"/>
    <col min="5" max="5" width="15.42578125" customWidth="1"/>
    <col min="6" max="6" width="18" customWidth="1"/>
    <col min="7" max="7" width="164.7109375" customWidth="1"/>
  </cols>
  <sheetData>
    <row r="1" spans="1:7" s="22" customFormat="1" x14ac:dyDescent="0.25">
      <c r="A1" s="23" t="s">
        <v>19</v>
      </c>
      <c r="B1" s="24" t="s">
        <v>5681</v>
      </c>
      <c r="C1" s="24" t="s">
        <v>20</v>
      </c>
      <c r="D1" s="24" t="s">
        <v>21</v>
      </c>
      <c r="E1" s="24" t="s">
        <v>5682</v>
      </c>
      <c r="F1" s="24" t="s">
        <v>5683</v>
      </c>
      <c r="G1" s="24" t="s">
        <v>27</v>
      </c>
    </row>
    <row r="2" spans="1:7" x14ac:dyDescent="0.25">
      <c r="A2" s="25" t="s">
        <v>37</v>
      </c>
      <c r="B2" s="26" t="s">
        <v>41</v>
      </c>
      <c r="C2" s="26" t="s">
        <v>38</v>
      </c>
      <c r="D2" s="26" t="s">
        <v>39</v>
      </c>
      <c r="E2" s="26"/>
      <c r="F2" s="26"/>
      <c r="G2" s="26" t="s">
        <v>44</v>
      </c>
    </row>
    <row r="3" spans="1:7" x14ac:dyDescent="0.25">
      <c r="A3" s="27" t="s">
        <v>48</v>
      </c>
      <c r="B3" s="28" t="s">
        <v>42</v>
      </c>
      <c r="C3" s="28" t="s">
        <v>38</v>
      </c>
      <c r="D3" s="28" t="s">
        <v>39</v>
      </c>
      <c r="E3" s="28"/>
      <c r="F3" s="28"/>
      <c r="G3" s="28" t="s">
        <v>50</v>
      </c>
    </row>
    <row r="4" spans="1:7" x14ac:dyDescent="0.25">
      <c r="A4" s="25" t="s">
        <v>52</v>
      </c>
      <c r="B4" s="26" t="s">
        <v>42</v>
      </c>
      <c r="C4" s="26" t="s">
        <v>38</v>
      </c>
      <c r="D4" s="26" t="s">
        <v>39</v>
      </c>
      <c r="E4" s="26"/>
      <c r="F4" s="26"/>
      <c r="G4" s="26" t="s">
        <v>54</v>
      </c>
    </row>
    <row r="5" spans="1:7" x14ac:dyDescent="0.25">
      <c r="A5" s="27" t="s">
        <v>57</v>
      </c>
      <c r="B5" s="28" t="s">
        <v>42</v>
      </c>
      <c r="C5" s="28" t="s">
        <v>38</v>
      </c>
      <c r="D5" s="28" t="s">
        <v>39</v>
      </c>
      <c r="E5" s="28"/>
      <c r="F5" s="28"/>
      <c r="G5" s="28" t="s">
        <v>59</v>
      </c>
    </row>
    <row r="6" spans="1:7" x14ac:dyDescent="0.25">
      <c r="A6" s="25" t="s">
        <v>62</v>
      </c>
      <c r="B6" s="26" t="s">
        <v>42</v>
      </c>
      <c r="C6" s="26" t="s">
        <v>38</v>
      </c>
      <c r="D6" s="26" t="s">
        <v>39</v>
      </c>
      <c r="E6" s="26"/>
      <c r="F6" s="26"/>
      <c r="G6" s="26" t="s">
        <v>64</v>
      </c>
    </row>
    <row r="7" spans="1:7" x14ac:dyDescent="0.25">
      <c r="A7" s="27" t="s">
        <v>66</v>
      </c>
      <c r="B7" s="28" t="s">
        <v>42</v>
      </c>
      <c r="C7" s="28" t="s">
        <v>38</v>
      </c>
      <c r="D7" s="28" t="s">
        <v>67</v>
      </c>
      <c r="E7" s="28"/>
      <c r="F7" s="28"/>
      <c r="G7" s="28" t="s">
        <v>70</v>
      </c>
    </row>
    <row r="8" spans="1:7" x14ac:dyDescent="0.25">
      <c r="A8" s="25" t="s">
        <v>74</v>
      </c>
      <c r="B8" s="26" t="s">
        <v>42</v>
      </c>
      <c r="C8" s="26" t="s">
        <v>38</v>
      </c>
      <c r="D8" s="26" t="s">
        <v>67</v>
      </c>
      <c r="E8" s="26"/>
      <c r="F8" s="26"/>
      <c r="G8" s="26" t="s">
        <v>77</v>
      </c>
    </row>
    <row r="9" spans="1:7" x14ac:dyDescent="0.25">
      <c r="A9" s="27" t="s">
        <v>81</v>
      </c>
      <c r="B9" s="28" t="s">
        <v>42</v>
      </c>
      <c r="C9" s="28" t="s">
        <v>38</v>
      </c>
      <c r="D9" s="28" t="s">
        <v>67</v>
      </c>
      <c r="E9" s="28"/>
      <c r="F9" s="28"/>
      <c r="G9" s="28" t="s">
        <v>83</v>
      </c>
    </row>
    <row r="10" spans="1:7" x14ac:dyDescent="0.25">
      <c r="A10" s="25" t="s">
        <v>87</v>
      </c>
      <c r="B10" s="26" t="s">
        <v>89</v>
      </c>
      <c r="C10" s="26" t="s">
        <v>38</v>
      </c>
      <c r="D10" s="26" t="s">
        <v>67</v>
      </c>
      <c r="E10" s="26"/>
      <c r="F10" s="26"/>
      <c r="G10" s="26" t="s">
        <v>90</v>
      </c>
    </row>
    <row r="11" spans="1:7" x14ac:dyDescent="0.25">
      <c r="A11" s="27" t="s">
        <v>93</v>
      </c>
      <c r="B11" s="28" t="s">
        <v>42</v>
      </c>
      <c r="C11" s="28" t="s">
        <v>38</v>
      </c>
      <c r="D11" s="28" t="s">
        <v>67</v>
      </c>
      <c r="E11" s="28"/>
      <c r="F11" s="28"/>
      <c r="G11" s="28" t="s">
        <v>95</v>
      </c>
    </row>
    <row r="12" spans="1:7" x14ac:dyDescent="0.25">
      <c r="A12" s="25" t="s">
        <v>98</v>
      </c>
      <c r="B12" s="26" t="s">
        <v>42</v>
      </c>
      <c r="C12" s="26" t="s">
        <v>38</v>
      </c>
      <c r="D12" s="26" t="s">
        <v>99</v>
      </c>
      <c r="E12" s="26"/>
      <c r="F12" s="26"/>
      <c r="G12" s="26" t="s">
        <v>101</v>
      </c>
    </row>
    <row r="13" spans="1:7" x14ac:dyDescent="0.25">
      <c r="A13" s="27" t="s">
        <v>103</v>
      </c>
      <c r="B13" s="28" t="s">
        <v>42</v>
      </c>
      <c r="C13" s="28" t="s">
        <v>38</v>
      </c>
      <c r="D13" s="28" t="s">
        <v>99</v>
      </c>
      <c r="E13" s="28"/>
      <c r="F13" s="28"/>
      <c r="G13" s="28" t="s">
        <v>105</v>
      </c>
    </row>
    <row r="14" spans="1:7" x14ac:dyDescent="0.25">
      <c r="A14" s="25" t="s">
        <v>108</v>
      </c>
      <c r="B14" s="26" t="s">
        <v>89</v>
      </c>
      <c r="C14" s="26" t="s">
        <v>38</v>
      </c>
      <c r="D14" s="26" t="s">
        <v>99</v>
      </c>
      <c r="E14" s="26"/>
      <c r="F14" s="26"/>
      <c r="G14" s="26" t="s">
        <v>110</v>
      </c>
    </row>
    <row r="15" spans="1:7" x14ac:dyDescent="0.25">
      <c r="A15" s="27" t="s">
        <v>113</v>
      </c>
      <c r="B15" s="28" t="s">
        <v>42</v>
      </c>
      <c r="C15" s="28" t="s">
        <v>38</v>
      </c>
      <c r="D15" s="28" t="s">
        <v>99</v>
      </c>
      <c r="E15" s="28"/>
      <c r="F15" s="28"/>
      <c r="G15" s="28" t="s">
        <v>115</v>
      </c>
    </row>
    <row r="16" spans="1:7" x14ac:dyDescent="0.25">
      <c r="A16" s="25" t="s">
        <v>117</v>
      </c>
      <c r="B16" s="26" t="s">
        <v>41</v>
      </c>
      <c r="C16" s="26" t="s">
        <v>38</v>
      </c>
      <c r="D16" s="26" t="s">
        <v>99</v>
      </c>
      <c r="E16" s="26"/>
      <c r="F16" s="26"/>
      <c r="G16" s="26" t="s">
        <v>119</v>
      </c>
    </row>
    <row r="17" spans="1:7" x14ac:dyDescent="0.25">
      <c r="A17" s="27" t="s">
        <v>122</v>
      </c>
      <c r="B17" s="28" t="s">
        <v>41</v>
      </c>
      <c r="C17" s="28" t="s">
        <v>38</v>
      </c>
      <c r="D17" s="28" t="s">
        <v>123</v>
      </c>
      <c r="E17" s="28"/>
      <c r="F17" s="28"/>
      <c r="G17" s="28" t="s">
        <v>125</v>
      </c>
    </row>
    <row r="18" spans="1:7" x14ac:dyDescent="0.25">
      <c r="A18" s="25" t="s">
        <v>128</v>
      </c>
      <c r="B18" s="26" t="s">
        <v>41</v>
      </c>
      <c r="C18" s="26" t="s">
        <v>38</v>
      </c>
      <c r="D18" s="26" t="s">
        <v>123</v>
      </c>
      <c r="E18" s="26"/>
      <c r="F18" s="26"/>
      <c r="G18" s="26" t="s">
        <v>131</v>
      </c>
    </row>
    <row r="19" spans="1:7" x14ac:dyDescent="0.25">
      <c r="A19" s="27" t="s">
        <v>134</v>
      </c>
      <c r="B19" s="28" t="s">
        <v>42</v>
      </c>
      <c r="C19" s="28" t="s">
        <v>38</v>
      </c>
      <c r="D19" s="28" t="s">
        <v>123</v>
      </c>
      <c r="E19" s="28"/>
      <c r="F19" s="28"/>
      <c r="G19" s="28" t="s">
        <v>137</v>
      </c>
    </row>
    <row r="20" spans="1:7" x14ac:dyDescent="0.25">
      <c r="A20" s="25" t="s">
        <v>140</v>
      </c>
      <c r="B20" s="26" t="s">
        <v>41</v>
      </c>
      <c r="C20" s="26" t="s">
        <v>141</v>
      </c>
      <c r="D20" s="26" t="s">
        <v>142</v>
      </c>
      <c r="E20" s="26"/>
      <c r="F20" s="26"/>
      <c r="G20" s="26" t="s">
        <v>144</v>
      </c>
    </row>
    <row r="21" spans="1:7" x14ac:dyDescent="0.25">
      <c r="A21" s="27" t="s">
        <v>147</v>
      </c>
      <c r="B21" s="28" t="s">
        <v>69</v>
      </c>
      <c r="C21" s="28" t="s">
        <v>141</v>
      </c>
      <c r="D21" s="28" t="s">
        <v>142</v>
      </c>
      <c r="E21" s="28"/>
      <c r="F21" s="28"/>
      <c r="G21" s="28" t="s">
        <v>149</v>
      </c>
    </row>
    <row r="22" spans="1:7" x14ac:dyDescent="0.25">
      <c r="A22" s="25" t="s">
        <v>151</v>
      </c>
      <c r="B22" s="26" t="s">
        <v>41</v>
      </c>
      <c r="C22" s="26" t="s">
        <v>141</v>
      </c>
      <c r="D22" s="26" t="s">
        <v>142</v>
      </c>
      <c r="E22" s="26"/>
      <c r="F22" s="26"/>
      <c r="G22" s="26" t="s">
        <v>153</v>
      </c>
    </row>
    <row r="23" spans="1:7" x14ac:dyDescent="0.25">
      <c r="A23" s="27" t="s">
        <v>155</v>
      </c>
      <c r="B23" s="28" t="s">
        <v>41</v>
      </c>
      <c r="C23" s="28" t="s">
        <v>141</v>
      </c>
      <c r="D23" s="28" t="s">
        <v>142</v>
      </c>
      <c r="E23" s="28"/>
      <c r="F23" s="28"/>
      <c r="G23" s="28" t="s">
        <v>157</v>
      </c>
    </row>
    <row r="24" spans="1:7" x14ac:dyDescent="0.25">
      <c r="A24" s="25" t="s">
        <v>159</v>
      </c>
      <c r="B24" s="26" t="s">
        <v>76</v>
      </c>
      <c r="C24" s="26" t="s">
        <v>141</v>
      </c>
      <c r="D24" s="26" t="s">
        <v>160</v>
      </c>
      <c r="E24" s="26"/>
      <c r="F24" s="26"/>
      <c r="G24" s="26" t="s">
        <v>162</v>
      </c>
    </row>
    <row r="25" spans="1:7" x14ac:dyDescent="0.25">
      <c r="A25" s="27" t="s">
        <v>165</v>
      </c>
      <c r="B25" s="28" t="s">
        <v>41</v>
      </c>
      <c r="C25" s="28" t="s">
        <v>141</v>
      </c>
      <c r="D25" s="28" t="s">
        <v>160</v>
      </c>
      <c r="E25" s="28"/>
      <c r="F25" s="28"/>
      <c r="G25" s="28" t="s">
        <v>167</v>
      </c>
    </row>
    <row r="26" spans="1:7" x14ac:dyDescent="0.25">
      <c r="A26" s="25" t="s">
        <v>169</v>
      </c>
      <c r="B26" s="26" t="s">
        <v>69</v>
      </c>
      <c r="C26" s="26" t="s">
        <v>141</v>
      </c>
      <c r="D26" s="26" t="s">
        <v>160</v>
      </c>
      <c r="E26" s="26"/>
      <c r="F26" s="26"/>
      <c r="G26" s="26" t="s">
        <v>171</v>
      </c>
    </row>
    <row r="27" spans="1:7" x14ac:dyDescent="0.25">
      <c r="A27" s="27" t="s">
        <v>173</v>
      </c>
      <c r="B27" s="28" t="s">
        <v>41</v>
      </c>
      <c r="C27" s="28" t="s">
        <v>141</v>
      </c>
      <c r="D27" s="28" t="s">
        <v>160</v>
      </c>
      <c r="E27" s="28"/>
      <c r="F27" s="28"/>
      <c r="G27" s="28" t="s">
        <v>175</v>
      </c>
    </row>
    <row r="28" spans="1:7" x14ac:dyDescent="0.25">
      <c r="A28" s="25" t="s">
        <v>177</v>
      </c>
      <c r="B28" s="26" t="s">
        <v>41</v>
      </c>
      <c r="C28" s="26" t="s">
        <v>141</v>
      </c>
      <c r="D28" s="26" t="s">
        <v>178</v>
      </c>
      <c r="E28" s="26"/>
      <c r="F28" s="26"/>
      <c r="G28" s="26" t="s">
        <v>180</v>
      </c>
    </row>
    <row r="29" spans="1:7" x14ac:dyDescent="0.25">
      <c r="A29" s="27" t="s">
        <v>182</v>
      </c>
      <c r="B29" s="28" t="s">
        <v>69</v>
      </c>
      <c r="C29" s="28" t="s">
        <v>141</v>
      </c>
      <c r="D29" s="28" t="s">
        <v>178</v>
      </c>
      <c r="E29" s="28"/>
      <c r="F29" s="28"/>
      <c r="G29" s="28" t="s">
        <v>184</v>
      </c>
    </row>
    <row r="30" spans="1:7" x14ac:dyDescent="0.25">
      <c r="A30" s="25" t="s">
        <v>186</v>
      </c>
      <c r="B30" s="26" t="s">
        <v>130</v>
      </c>
      <c r="C30" s="26" t="s">
        <v>141</v>
      </c>
      <c r="D30" s="26" t="s">
        <v>178</v>
      </c>
      <c r="E30" s="26"/>
      <c r="F30" s="26"/>
      <c r="G30" s="26" t="s">
        <v>188</v>
      </c>
    </row>
    <row r="31" spans="1:7" x14ac:dyDescent="0.25">
      <c r="A31" s="27" t="s">
        <v>190</v>
      </c>
      <c r="B31" s="28" t="s">
        <v>136</v>
      </c>
      <c r="C31" s="28" t="s">
        <v>141</v>
      </c>
      <c r="D31" s="28" t="s">
        <v>178</v>
      </c>
      <c r="E31" s="28"/>
      <c r="F31" s="28"/>
      <c r="G31" s="28" t="s">
        <v>192</v>
      </c>
    </row>
    <row r="32" spans="1:7" x14ac:dyDescent="0.25">
      <c r="A32" s="25" t="s">
        <v>194</v>
      </c>
      <c r="B32" s="26" t="s">
        <v>41</v>
      </c>
      <c r="C32" s="26" t="s">
        <v>141</v>
      </c>
      <c r="D32" s="26" t="s">
        <v>195</v>
      </c>
      <c r="E32" s="26"/>
      <c r="F32" s="26"/>
      <c r="G32" s="26" t="s">
        <v>197</v>
      </c>
    </row>
    <row r="33" spans="1:7" x14ac:dyDescent="0.25">
      <c r="A33" s="27" t="s">
        <v>200</v>
      </c>
      <c r="B33" s="28" t="s">
        <v>41</v>
      </c>
      <c r="C33" s="28" t="s">
        <v>141</v>
      </c>
      <c r="D33" s="28" t="s">
        <v>195</v>
      </c>
      <c r="E33" s="28"/>
      <c r="F33" s="28"/>
      <c r="G33" s="28" t="s">
        <v>202</v>
      </c>
    </row>
    <row r="34" spans="1:7" x14ac:dyDescent="0.25">
      <c r="A34" s="25" t="s">
        <v>204</v>
      </c>
      <c r="B34" s="26" t="s">
        <v>130</v>
      </c>
      <c r="C34" s="26" t="s">
        <v>141</v>
      </c>
      <c r="D34" s="26" t="s">
        <v>195</v>
      </c>
      <c r="E34" s="26"/>
      <c r="F34" s="26"/>
      <c r="G34" s="26" t="s">
        <v>206</v>
      </c>
    </row>
    <row r="35" spans="1:7" x14ac:dyDescent="0.25">
      <c r="A35" s="27" t="s">
        <v>208</v>
      </c>
      <c r="B35" s="28" t="s">
        <v>76</v>
      </c>
      <c r="C35" s="28" t="s">
        <v>209</v>
      </c>
      <c r="D35" s="28" t="s">
        <v>210</v>
      </c>
      <c r="E35" s="28"/>
      <c r="F35" s="28"/>
      <c r="G35" s="28" t="s">
        <v>212</v>
      </c>
    </row>
    <row r="36" spans="1:7" x14ac:dyDescent="0.25">
      <c r="A36" s="25" t="s">
        <v>214</v>
      </c>
      <c r="B36" s="26" t="s">
        <v>76</v>
      </c>
      <c r="C36" s="26" t="s">
        <v>209</v>
      </c>
      <c r="D36" s="26" t="s">
        <v>210</v>
      </c>
      <c r="E36" s="26"/>
      <c r="F36" s="26"/>
      <c r="G36" s="26" t="s">
        <v>216</v>
      </c>
    </row>
    <row r="37" spans="1:7" x14ac:dyDescent="0.25">
      <c r="A37" s="27" t="s">
        <v>218</v>
      </c>
      <c r="B37" s="28" t="s">
        <v>76</v>
      </c>
      <c r="C37" s="28" t="s">
        <v>209</v>
      </c>
      <c r="D37" s="28" t="s">
        <v>210</v>
      </c>
      <c r="E37" s="28"/>
      <c r="F37" s="28"/>
      <c r="G37" s="28" t="s">
        <v>220</v>
      </c>
    </row>
    <row r="38" spans="1:7" x14ac:dyDescent="0.25">
      <c r="A38" s="25" t="s">
        <v>222</v>
      </c>
      <c r="B38" s="26" t="s">
        <v>89</v>
      </c>
      <c r="C38" s="26" t="s">
        <v>209</v>
      </c>
      <c r="D38" s="26" t="s">
        <v>210</v>
      </c>
      <c r="E38" s="26"/>
      <c r="F38" s="26"/>
      <c r="G38" s="26" t="s">
        <v>224</v>
      </c>
    </row>
    <row r="39" spans="1:7" x14ac:dyDescent="0.25">
      <c r="A39" s="27" t="s">
        <v>226</v>
      </c>
      <c r="B39" s="28" t="s">
        <v>89</v>
      </c>
      <c r="C39" s="28" t="s">
        <v>209</v>
      </c>
      <c r="D39" s="28" t="s">
        <v>227</v>
      </c>
      <c r="E39" s="28"/>
      <c r="F39" s="28"/>
      <c r="G39" s="28" t="s">
        <v>229</v>
      </c>
    </row>
    <row r="40" spans="1:7" x14ac:dyDescent="0.25">
      <c r="A40" s="25" t="s">
        <v>231</v>
      </c>
      <c r="B40" s="26" t="s">
        <v>89</v>
      </c>
      <c r="C40" s="26" t="s">
        <v>209</v>
      </c>
      <c r="D40" s="26" t="s">
        <v>227</v>
      </c>
      <c r="E40" s="26"/>
      <c r="F40" s="26"/>
      <c r="G40" s="26" t="s">
        <v>233</v>
      </c>
    </row>
    <row r="41" spans="1:7" x14ac:dyDescent="0.25">
      <c r="A41" s="27" t="s">
        <v>235</v>
      </c>
      <c r="B41" s="28" t="s">
        <v>42</v>
      </c>
      <c r="C41" s="28" t="s">
        <v>209</v>
      </c>
      <c r="D41" s="28" t="s">
        <v>227</v>
      </c>
      <c r="E41" s="28"/>
      <c r="F41" s="28"/>
      <c r="G41" s="28" t="s">
        <v>237</v>
      </c>
    </row>
    <row r="42" spans="1:7" x14ac:dyDescent="0.25">
      <c r="A42" s="25" t="s">
        <v>239</v>
      </c>
      <c r="B42" s="26" t="s">
        <v>42</v>
      </c>
      <c r="C42" s="26" t="s">
        <v>209</v>
      </c>
      <c r="D42" s="26" t="s">
        <v>227</v>
      </c>
      <c r="E42" s="26"/>
      <c r="F42" s="26"/>
      <c r="G42" s="26" t="s">
        <v>241</v>
      </c>
    </row>
    <row r="43" spans="1:7" x14ac:dyDescent="0.25">
      <c r="A43" s="27" t="s">
        <v>243</v>
      </c>
      <c r="B43" s="28" t="s">
        <v>89</v>
      </c>
      <c r="C43" s="28" t="s">
        <v>209</v>
      </c>
      <c r="D43" s="28" t="s">
        <v>244</v>
      </c>
      <c r="E43" s="28"/>
      <c r="F43" s="28"/>
      <c r="G43" s="28" t="s">
        <v>246</v>
      </c>
    </row>
    <row r="44" spans="1:7" x14ac:dyDescent="0.25">
      <c r="A44" s="25" t="s">
        <v>248</v>
      </c>
      <c r="B44" s="26" t="s">
        <v>76</v>
      </c>
      <c r="C44" s="26" t="s">
        <v>209</v>
      </c>
      <c r="D44" s="26" t="s">
        <v>244</v>
      </c>
      <c r="E44" s="26"/>
      <c r="F44" s="26"/>
      <c r="G44" s="26" t="s">
        <v>250</v>
      </c>
    </row>
    <row r="45" spans="1:7" x14ac:dyDescent="0.25">
      <c r="A45" s="27" t="s">
        <v>252</v>
      </c>
      <c r="B45" s="28" t="s">
        <v>89</v>
      </c>
      <c r="C45" s="28" t="s">
        <v>209</v>
      </c>
      <c r="D45" s="28" t="s">
        <v>244</v>
      </c>
      <c r="E45" s="28"/>
      <c r="F45" s="28"/>
      <c r="G45" s="28" t="s">
        <v>254</v>
      </c>
    </row>
    <row r="46" spans="1:7" x14ac:dyDescent="0.25">
      <c r="A46" s="25" t="s">
        <v>256</v>
      </c>
      <c r="B46" s="26" t="s">
        <v>89</v>
      </c>
      <c r="C46" s="26" t="s">
        <v>209</v>
      </c>
      <c r="D46" s="26" t="s">
        <v>244</v>
      </c>
      <c r="E46" s="26"/>
      <c r="F46" s="26"/>
      <c r="G46" s="26" t="s">
        <v>258</v>
      </c>
    </row>
    <row r="47" spans="1:7" x14ac:dyDescent="0.25">
      <c r="A47" s="27" t="s">
        <v>260</v>
      </c>
      <c r="B47" s="28" t="s">
        <v>42</v>
      </c>
      <c r="C47" s="28" t="s">
        <v>209</v>
      </c>
      <c r="D47" s="28" t="s">
        <v>261</v>
      </c>
      <c r="E47" s="28"/>
      <c r="F47" s="28"/>
      <c r="G47" s="28" t="s">
        <v>263</v>
      </c>
    </row>
    <row r="48" spans="1:7" x14ac:dyDescent="0.25">
      <c r="A48" s="25" t="s">
        <v>265</v>
      </c>
      <c r="B48" s="26" t="s">
        <v>76</v>
      </c>
      <c r="C48" s="26" t="s">
        <v>209</v>
      </c>
      <c r="D48" s="26" t="s">
        <v>261</v>
      </c>
      <c r="E48" s="26"/>
      <c r="F48" s="26"/>
      <c r="G48" s="26" t="s">
        <v>267</v>
      </c>
    </row>
    <row r="49" spans="1:7" x14ac:dyDescent="0.25">
      <c r="A49" s="27" t="s">
        <v>269</v>
      </c>
      <c r="B49" s="28" t="s">
        <v>42</v>
      </c>
      <c r="C49" s="28" t="s">
        <v>209</v>
      </c>
      <c r="D49" s="28" t="s">
        <v>261</v>
      </c>
      <c r="E49" s="28"/>
      <c r="F49" s="28"/>
      <c r="G49" s="28" t="s">
        <v>271</v>
      </c>
    </row>
    <row r="50" spans="1:7" x14ac:dyDescent="0.25">
      <c r="A50" s="25" t="s">
        <v>273</v>
      </c>
      <c r="B50" s="26" t="s">
        <v>69</v>
      </c>
      <c r="C50" s="26" t="s">
        <v>209</v>
      </c>
      <c r="D50" s="26" t="s">
        <v>261</v>
      </c>
      <c r="E50" s="26"/>
      <c r="F50" s="26"/>
      <c r="G50" s="26" t="s">
        <v>275</v>
      </c>
    </row>
    <row r="51" spans="1:7" x14ac:dyDescent="0.25">
      <c r="A51" s="27" t="s">
        <v>277</v>
      </c>
      <c r="B51" s="28" t="s">
        <v>130</v>
      </c>
      <c r="C51" s="28" t="s">
        <v>278</v>
      </c>
      <c r="D51" s="28" t="s">
        <v>279</v>
      </c>
      <c r="E51" s="28"/>
      <c r="F51" s="28"/>
      <c r="G51" s="28" t="s">
        <v>281</v>
      </c>
    </row>
    <row r="52" spans="1:7" x14ac:dyDescent="0.25">
      <c r="A52" s="25" t="s">
        <v>283</v>
      </c>
      <c r="B52" s="26" t="s">
        <v>130</v>
      </c>
      <c r="C52" s="26" t="s">
        <v>278</v>
      </c>
      <c r="D52" s="26" t="s">
        <v>279</v>
      </c>
      <c r="E52" s="26"/>
      <c r="F52" s="26"/>
      <c r="G52" s="26" t="s">
        <v>285</v>
      </c>
    </row>
    <row r="53" spans="1:7" x14ac:dyDescent="0.25">
      <c r="A53" s="27" t="s">
        <v>287</v>
      </c>
      <c r="B53" s="28" t="s">
        <v>130</v>
      </c>
      <c r="C53" s="28" t="s">
        <v>278</v>
      </c>
      <c r="D53" s="28" t="s">
        <v>279</v>
      </c>
      <c r="E53" s="28"/>
      <c r="F53" s="28"/>
      <c r="G53" s="28" t="s">
        <v>289</v>
      </c>
    </row>
    <row r="54" spans="1:7" x14ac:dyDescent="0.25">
      <c r="A54" s="25" t="s">
        <v>291</v>
      </c>
      <c r="B54" s="26" t="s">
        <v>130</v>
      </c>
      <c r="C54" s="26" t="s">
        <v>278</v>
      </c>
      <c r="D54" s="26" t="s">
        <v>279</v>
      </c>
      <c r="E54" s="26"/>
      <c r="F54" s="26"/>
      <c r="G54" s="26" t="s">
        <v>293</v>
      </c>
    </row>
    <row r="55" spans="1:7" x14ac:dyDescent="0.25">
      <c r="A55" s="27" t="s">
        <v>295</v>
      </c>
      <c r="B55" s="28" t="s">
        <v>76</v>
      </c>
      <c r="C55" s="28" t="s">
        <v>278</v>
      </c>
      <c r="D55" s="28" t="s">
        <v>296</v>
      </c>
      <c r="E55" s="28"/>
      <c r="F55" s="28"/>
      <c r="G55" s="28" t="s">
        <v>298</v>
      </c>
    </row>
    <row r="56" spans="1:7" x14ac:dyDescent="0.25">
      <c r="A56" s="25" t="s">
        <v>300</v>
      </c>
      <c r="B56" s="26" t="s">
        <v>89</v>
      </c>
      <c r="C56" s="26" t="s">
        <v>278</v>
      </c>
      <c r="D56" s="26" t="s">
        <v>296</v>
      </c>
      <c r="E56" s="26"/>
      <c r="F56" s="26"/>
      <c r="G56" s="26" t="s">
        <v>302</v>
      </c>
    </row>
    <row r="57" spans="1:7" x14ac:dyDescent="0.25">
      <c r="A57" s="27" t="s">
        <v>304</v>
      </c>
      <c r="B57" s="28" t="s">
        <v>76</v>
      </c>
      <c r="C57" s="28" t="s">
        <v>278</v>
      </c>
      <c r="D57" s="28" t="s">
        <v>296</v>
      </c>
      <c r="E57" s="28"/>
      <c r="F57" s="28"/>
      <c r="G57" s="28" t="s">
        <v>306</v>
      </c>
    </row>
    <row r="58" spans="1:7" x14ac:dyDescent="0.25">
      <c r="A58" s="25" t="s">
        <v>308</v>
      </c>
      <c r="B58" s="26" t="s">
        <v>76</v>
      </c>
      <c r="C58" s="26" t="s">
        <v>278</v>
      </c>
      <c r="D58" s="26" t="s">
        <v>296</v>
      </c>
      <c r="E58" s="26"/>
      <c r="F58" s="26"/>
      <c r="G58" s="26" t="s">
        <v>310</v>
      </c>
    </row>
    <row r="59" spans="1:7" x14ac:dyDescent="0.25">
      <c r="A59" s="27" t="s">
        <v>312</v>
      </c>
      <c r="B59" s="28" t="s">
        <v>69</v>
      </c>
      <c r="C59" s="28" t="s">
        <v>278</v>
      </c>
      <c r="D59" s="28" t="s">
        <v>313</v>
      </c>
      <c r="E59" s="28"/>
      <c r="F59" s="28"/>
      <c r="G59" s="28" t="s">
        <v>315</v>
      </c>
    </row>
    <row r="60" spans="1:7" x14ac:dyDescent="0.25">
      <c r="A60" s="25" t="s">
        <v>317</v>
      </c>
      <c r="B60" s="26" t="s">
        <v>69</v>
      </c>
      <c r="C60" s="26" t="s">
        <v>278</v>
      </c>
      <c r="D60" s="26" t="s">
        <v>313</v>
      </c>
      <c r="E60" s="26"/>
      <c r="F60" s="26"/>
      <c r="G60" s="26" t="s">
        <v>319</v>
      </c>
    </row>
    <row r="61" spans="1:7" x14ac:dyDescent="0.25">
      <c r="A61" s="27" t="s">
        <v>321</v>
      </c>
      <c r="B61" s="28" t="s">
        <v>69</v>
      </c>
      <c r="C61" s="28" t="s">
        <v>278</v>
      </c>
      <c r="D61" s="28" t="s">
        <v>313</v>
      </c>
      <c r="E61" s="28"/>
      <c r="F61" s="28"/>
      <c r="G61" s="28" t="s">
        <v>323</v>
      </c>
    </row>
    <row r="62" spans="1:7" x14ac:dyDescent="0.25">
      <c r="A62" s="25" t="s">
        <v>325</v>
      </c>
      <c r="B62" s="26" t="s">
        <v>69</v>
      </c>
      <c r="C62" s="26" t="s">
        <v>278</v>
      </c>
      <c r="D62" s="26" t="s">
        <v>313</v>
      </c>
      <c r="E62" s="26"/>
      <c r="F62" s="26"/>
      <c r="G62" s="26" t="s">
        <v>327</v>
      </c>
    </row>
    <row r="63" spans="1:7" x14ac:dyDescent="0.25">
      <c r="A63" s="27" t="s">
        <v>329</v>
      </c>
      <c r="B63" s="28" t="s">
        <v>42</v>
      </c>
      <c r="C63" s="28" t="s">
        <v>278</v>
      </c>
      <c r="D63" s="28" t="s">
        <v>330</v>
      </c>
      <c r="E63" s="28"/>
      <c r="F63" s="28"/>
      <c r="G63" s="28" t="s">
        <v>332</v>
      </c>
    </row>
    <row r="64" spans="1:7" x14ac:dyDescent="0.25">
      <c r="A64" s="25" t="s">
        <v>334</v>
      </c>
      <c r="B64" s="26" t="s">
        <v>42</v>
      </c>
      <c r="C64" s="26" t="s">
        <v>278</v>
      </c>
      <c r="D64" s="26" t="s">
        <v>330</v>
      </c>
      <c r="E64" s="26"/>
      <c r="F64" s="26"/>
      <c r="G64" s="26" t="s">
        <v>336</v>
      </c>
    </row>
    <row r="65" spans="1:7" x14ac:dyDescent="0.25">
      <c r="A65" s="27" t="s">
        <v>338</v>
      </c>
      <c r="B65" s="28" t="s">
        <v>42</v>
      </c>
      <c r="C65" s="28" t="s">
        <v>278</v>
      </c>
      <c r="D65" s="28" t="s">
        <v>330</v>
      </c>
      <c r="E65" s="28"/>
      <c r="F65" s="28"/>
      <c r="G65" s="28" t="s">
        <v>340</v>
      </c>
    </row>
    <row r="66" spans="1:7" x14ac:dyDescent="0.25">
      <c r="A66" s="25" t="s">
        <v>343</v>
      </c>
      <c r="B66" s="26" t="s">
        <v>42</v>
      </c>
      <c r="C66" s="26" t="s">
        <v>278</v>
      </c>
      <c r="D66" s="26" t="s">
        <v>330</v>
      </c>
      <c r="E66" s="26"/>
      <c r="F66" s="26"/>
      <c r="G66" s="26" t="s">
        <v>345</v>
      </c>
    </row>
    <row r="67" spans="1:7" x14ac:dyDescent="0.25">
      <c r="A67" s="27" t="s">
        <v>347</v>
      </c>
      <c r="B67" s="28" t="s">
        <v>41</v>
      </c>
      <c r="C67" s="28" t="s">
        <v>348</v>
      </c>
      <c r="D67" s="28" t="s">
        <v>349</v>
      </c>
      <c r="E67" s="28"/>
      <c r="F67" s="28"/>
      <c r="G67" s="28" t="s">
        <v>351</v>
      </c>
    </row>
    <row r="68" spans="1:7" x14ac:dyDescent="0.25">
      <c r="A68" s="25" t="s">
        <v>353</v>
      </c>
      <c r="B68" s="26" t="s">
        <v>130</v>
      </c>
      <c r="C68" s="26" t="s">
        <v>348</v>
      </c>
      <c r="D68" s="26" t="s">
        <v>349</v>
      </c>
      <c r="E68" s="26"/>
      <c r="F68" s="26"/>
      <c r="G68" s="26" t="s">
        <v>355</v>
      </c>
    </row>
    <row r="69" spans="1:7" x14ac:dyDescent="0.25">
      <c r="A69" s="27" t="s">
        <v>357</v>
      </c>
      <c r="B69" s="28" t="s">
        <v>69</v>
      </c>
      <c r="C69" s="28" t="s">
        <v>348</v>
      </c>
      <c r="D69" s="28" t="s">
        <v>349</v>
      </c>
      <c r="E69" s="28"/>
      <c r="F69" s="28"/>
      <c r="G69" s="28" t="s">
        <v>359</v>
      </c>
    </row>
    <row r="70" spans="1:7" x14ac:dyDescent="0.25">
      <c r="A70" s="25" t="s">
        <v>361</v>
      </c>
      <c r="B70" s="26" t="s">
        <v>41</v>
      </c>
      <c r="C70" s="26" t="s">
        <v>348</v>
      </c>
      <c r="D70" s="26" t="s">
        <v>349</v>
      </c>
      <c r="E70" s="26"/>
      <c r="F70" s="26"/>
      <c r="G70" s="26" t="s">
        <v>363</v>
      </c>
    </row>
    <row r="71" spans="1:7" x14ac:dyDescent="0.25">
      <c r="A71" s="27" t="s">
        <v>365</v>
      </c>
      <c r="B71" s="28" t="s">
        <v>130</v>
      </c>
      <c r="C71" s="28" t="s">
        <v>348</v>
      </c>
      <c r="D71" s="28" t="s">
        <v>366</v>
      </c>
      <c r="E71" s="28"/>
      <c r="F71" s="28"/>
      <c r="G71" s="28" t="s">
        <v>368</v>
      </c>
    </row>
    <row r="72" spans="1:7" x14ac:dyDescent="0.25">
      <c r="A72" s="25" t="s">
        <v>370</v>
      </c>
      <c r="B72" s="26" t="s">
        <v>89</v>
      </c>
      <c r="C72" s="26" t="s">
        <v>348</v>
      </c>
      <c r="D72" s="26" t="s">
        <v>366</v>
      </c>
      <c r="E72" s="26"/>
      <c r="F72" s="26"/>
      <c r="G72" s="26" t="s">
        <v>372</v>
      </c>
    </row>
    <row r="73" spans="1:7" x14ac:dyDescent="0.25">
      <c r="A73" s="27" t="s">
        <v>374</v>
      </c>
      <c r="B73" s="28" t="s">
        <v>89</v>
      </c>
      <c r="C73" s="28" t="s">
        <v>348</v>
      </c>
      <c r="D73" s="28" t="s">
        <v>366</v>
      </c>
      <c r="E73" s="28"/>
      <c r="F73" s="28"/>
      <c r="G73" s="28" t="s">
        <v>376</v>
      </c>
    </row>
    <row r="74" spans="1:7" x14ac:dyDescent="0.25">
      <c r="A74" s="25" t="s">
        <v>378</v>
      </c>
      <c r="B74" s="26" t="s">
        <v>42</v>
      </c>
      <c r="C74" s="26" t="s">
        <v>348</v>
      </c>
      <c r="D74" s="26" t="s">
        <v>366</v>
      </c>
      <c r="E74" s="26"/>
      <c r="F74" s="26"/>
      <c r="G74" s="26" t="s">
        <v>381</v>
      </c>
    </row>
    <row r="75" spans="1:7" x14ac:dyDescent="0.25">
      <c r="A75" s="27" t="s">
        <v>383</v>
      </c>
      <c r="B75" s="28" t="s">
        <v>76</v>
      </c>
      <c r="C75" s="28" t="s">
        <v>348</v>
      </c>
      <c r="D75" s="28" t="s">
        <v>384</v>
      </c>
      <c r="E75" s="28"/>
      <c r="F75" s="28"/>
      <c r="G75" s="28" t="s">
        <v>386</v>
      </c>
    </row>
    <row r="76" spans="1:7" x14ac:dyDescent="0.25">
      <c r="A76" s="25" t="s">
        <v>388</v>
      </c>
      <c r="B76" s="26" t="s">
        <v>69</v>
      </c>
      <c r="C76" s="26" t="s">
        <v>348</v>
      </c>
      <c r="D76" s="26" t="s">
        <v>384</v>
      </c>
      <c r="E76" s="26"/>
      <c r="F76" s="26"/>
      <c r="G76" s="26" t="s">
        <v>390</v>
      </c>
    </row>
    <row r="77" spans="1:7" x14ac:dyDescent="0.25">
      <c r="A77" s="27" t="s">
        <v>392</v>
      </c>
      <c r="B77" s="28" t="s">
        <v>69</v>
      </c>
      <c r="C77" s="28" t="s">
        <v>348</v>
      </c>
      <c r="D77" s="28" t="s">
        <v>384</v>
      </c>
      <c r="E77" s="28"/>
      <c r="F77" s="28"/>
      <c r="G77" s="28" t="s">
        <v>394</v>
      </c>
    </row>
    <row r="78" spans="1:7" x14ac:dyDescent="0.25">
      <c r="A78" s="25" t="s">
        <v>396</v>
      </c>
      <c r="B78" s="26" t="s">
        <v>89</v>
      </c>
      <c r="C78" s="26" t="s">
        <v>348</v>
      </c>
      <c r="D78" s="26" t="s">
        <v>384</v>
      </c>
      <c r="E78" s="26"/>
      <c r="F78" s="26"/>
      <c r="G78" s="26" t="s">
        <v>398</v>
      </c>
    </row>
    <row r="79" spans="1:7" x14ac:dyDescent="0.25">
      <c r="A79" s="27" t="s">
        <v>400</v>
      </c>
      <c r="B79" s="28" t="s">
        <v>41</v>
      </c>
      <c r="C79" s="28" t="s">
        <v>348</v>
      </c>
      <c r="D79" s="28" t="s">
        <v>401</v>
      </c>
      <c r="E79" s="28"/>
      <c r="F79" s="28"/>
      <c r="G79" s="28" t="s">
        <v>403</v>
      </c>
    </row>
    <row r="80" spans="1:7" x14ac:dyDescent="0.25">
      <c r="A80" s="25" t="s">
        <v>405</v>
      </c>
      <c r="B80" s="26" t="s">
        <v>41</v>
      </c>
      <c r="C80" s="26" t="s">
        <v>348</v>
      </c>
      <c r="D80" s="26" t="s">
        <v>401</v>
      </c>
      <c r="E80" s="26"/>
      <c r="F80" s="26"/>
      <c r="G80" s="26" t="s">
        <v>407</v>
      </c>
    </row>
    <row r="81" spans="1:7" x14ac:dyDescent="0.25">
      <c r="A81" s="27" t="s">
        <v>409</v>
      </c>
      <c r="B81" s="28" t="s">
        <v>42</v>
      </c>
      <c r="C81" s="28" t="s">
        <v>348</v>
      </c>
      <c r="D81" s="28" t="s">
        <v>401</v>
      </c>
      <c r="E81" s="28"/>
      <c r="F81" s="28"/>
      <c r="G81" s="28" t="s">
        <v>411</v>
      </c>
    </row>
    <row r="82" spans="1:7" x14ac:dyDescent="0.25">
      <c r="A82" s="25" t="s">
        <v>413</v>
      </c>
      <c r="B82" s="26" t="s">
        <v>130</v>
      </c>
      <c r="C82" s="26" t="s">
        <v>414</v>
      </c>
      <c r="D82" s="26" t="s">
        <v>415</v>
      </c>
      <c r="E82" s="26"/>
      <c r="F82" s="26"/>
      <c r="G82" s="26" t="s">
        <v>417</v>
      </c>
    </row>
    <row r="83" spans="1:7" x14ac:dyDescent="0.25">
      <c r="A83" s="27" t="s">
        <v>419</v>
      </c>
      <c r="B83" s="28" t="s">
        <v>130</v>
      </c>
      <c r="C83" s="28" t="s">
        <v>414</v>
      </c>
      <c r="D83" s="28" t="s">
        <v>415</v>
      </c>
      <c r="E83" s="28"/>
      <c r="F83" s="28"/>
      <c r="G83" s="28" t="s">
        <v>421</v>
      </c>
    </row>
    <row r="84" spans="1:7" x14ac:dyDescent="0.25">
      <c r="A84" s="25" t="s">
        <v>423</v>
      </c>
      <c r="B84" s="26" t="s">
        <v>69</v>
      </c>
      <c r="C84" s="26" t="s">
        <v>414</v>
      </c>
      <c r="D84" s="26" t="s">
        <v>415</v>
      </c>
      <c r="E84" s="26"/>
      <c r="F84" s="26"/>
      <c r="G84" s="26" t="s">
        <v>425</v>
      </c>
    </row>
    <row r="85" spans="1:7" x14ac:dyDescent="0.25">
      <c r="A85" s="27" t="s">
        <v>427</v>
      </c>
      <c r="B85" s="28" t="s">
        <v>130</v>
      </c>
      <c r="C85" s="28" t="s">
        <v>414</v>
      </c>
      <c r="D85" s="28" t="s">
        <v>415</v>
      </c>
      <c r="E85" s="28"/>
      <c r="F85" s="28"/>
      <c r="G85" s="28" t="s">
        <v>429</v>
      </c>
    </row>
    <row r="86" spans="1:7" x14ac:dyDescent="0.25">
      <c r="A86" s="25" t="s">
        <v>431</v>
      </c>
      <c r="B86" s="26" t="s">
        <v>41</v>
      </c>
      <c r="C86" s="26" t="s">
        <v>414</v>
      </c>
      <c r="D86" s="26" t="s">
        <v>432</v>
      </c>
      <c r="E86" s="26"/>
      <c r="F86" s="26"/>
      <c r="G86" s="26" t="s">
        <v>434</v>
      </c>
    </row>
    <row r="87" spans="1:7" x14ac:dyDescent="0.25">
      <c r="A87" s="27" t="s">
        <v>436</v>
      </c>
      <c r="B87" s="28" t="s">
        <v>41</v>
      </c>
      <c r="C87" s="28" t="s">
        <v>414</v>
      </c>
      <c r="D87" s="28" t="s">
        <v>432</v>
      </c>
      <c r="E87" s="28"/>
      <c r="F87" s="28"/>
      <c r="G87" s="28" t="s">
        <v>438</v>
      </c>
    </row>
    <row r="88" spans="1:7" x14ac:dyDescent="0.25">
      <c r="A88" s="25" t="s">
        <v>440</v>
      </c>
      <c r="B88" s="26" t="s">
        <v>41</v>
      </c>
      <c r="C88" s="26" t="s">
        <v>414</v>
      </c>
      <c r="D88" s="26" t="s">
        <v>432</v>
      </c>
      <c r="E88" s="26"/>
      <c r="F88" s="26"/>
      <c r="G88" s="26" t="s">
        <v>442</v>
      </c>
    </row>
    <row r="89" spans="1:7" x14ac:dyDescent="0.25">
      <c r="A89" s="27" t="s">
        <v>444</v>
      </c>
      <c r="B89" s="28" t="s">
        <v>41</v>
      </c>
      <c r="C89" s="28" t="s">
        <v>414</v>
      </c>
      <c r="D89" s="28" t="s">
        <v>432</v>
      </c>
      <c r="E89" s="28"/>
      <c r="F89" s="28"/>
      <c r="G89" s="28" t="s">
        <v>446</v>
      </c>
    </row>
    <row r="90" spans="1:7" x14ac:dyDescent="0.25">
      <c r="A90" s="25" t="s">
        <v>448</v>
      </c>
      <c r="B90" s="26" t="s">
        <v>42</v>
      </c>
      <c r="C90" s="26" t="s">
        <v>414</v>
      </c>
      <c r="D90" s="26" t="s">
        <v>449</v>
      </c>
      <c r="E90" s="26"/>
      <c r="F90" s="26"/>
      <c r="G90" s="26" t="s">
        <v>451</v>
      </c>
    </row>
    <row r="91" spans="1:7" x14ac:dyDescent="0.25">
      <c r="A91" s="27" t="s">
        <v>453</v>
      </c>
      <c r="B91" s="28" t="s">
        <v>42</v>
      </c>
      <c r="C91" s="28" t="s">
        <v>414</v>
      </c>
      <c r="D91" s="28" t="s">
        <v>449</v>
      </c>
      <c r="E91" s="28"/>
      <c r="F91" s="28"/>
      <c r="G91" s="28" t="s">
        <v>455</v>
      </c>
    </row>
    <row r="92" spans="1:7" x14ac:dyDescent="0.25">
      <c r="A92" s="25" t="s">
        <v>457</v>
      </c>
      <c r="B92" s="26" t="s">
        <v>42</v>
      </c>
      <c r="C92" s="26" t="s">
        <v>414</v>
      </c>
      <c r="D92" s="26" t="s">
        <v>449</v>
      </c>
      <c r="E92" s="26"/>
      <c r="F92" s="26"/>
      <c r="G92" s="26" t="s">
        <v>459</v>
      </c>
    </row>
    <row r="93" spans="1:7" x14ac:dyDescent="0.25">
      <c r="A93" s="27" t="s">
        <v>461</v>
      </c>
      <c r="B93" s="28" t="s">
        <v>130</v>
      </c>
      <c r="C93" s="28" t="s">
        <v>414</v>
      </c>
      <c r="D93" s="28" t="s">
        <v>462</v>
      </c>
      <c r="E93" s="28"/>
      <c r="F93" s="28"/>
      <c r="G93" s="28" t="s">
        <v>464</v>
      </c>
    </row>
    <row r="94" spans="1:7" x14ac:dyDescent="0.25">
      <c r="A94" s="25" t="s">
        <v>466</v>
      </c>
      <c r="B94" s="26" t="s">
        <v>130</v>
      </c>
      <c r="C94" s="26" t="s">
        <v>414</v>
      </c>
      <c r="D94" s="26" t="s">
        <v>462</v>
      </c>
      <c r="E94" s="26"/>
      <c r="F94" s="26"/>
      <c r="G94" s="26" t="s">
        <v>468</v>
      </c>
    </row>
    <row r="95" spans="1:7" x14ac:dyDescent="0.25">
      <c r="A95" s="27" t="s">
        <v>470</v>
      </c>
      <c r="B95" s="28" t="s">
        <v>130</v>
      </c>
      <c r="C95" s="28" t="s">
        <v>414</v>
      </c>
      <c r="D95" s="28" t="s">
        <v>462</v>
      </c>
      <c r="E95" s="28"/>
      <c r="F95" s="28"/>
      <c r="G95" s="28" t="s">
        <v>472</v>
      </c>
    </row>
    <row r="96" spans="1:7" x14ac:dyDescent="0.25">
      <c r="A96" s="25" t="s">
        <v>475</v>
      </c>
      <c r="B96" s="26" t="s">
        <v>42</v>
      </c>
      <c r="C96" s="26" t="s">
        <v>476</v>
      </c>
      <c r="D96" s="26" t="s">
        <v>477</v>
      </c>
      <c r="E96" s="26"/>
      <c r="F96" s="26"/>
      <c r="G96" s="26" t="s">
        <v>479</v>
      </c>
    </row>
    <row r="97" spans="1:7" x14ac:dyDescent="0.25">
      <c r="A97" s="27" t="s">
        <v>481</v>
      </c>
      <c r="B97" s="28" t="s">
        <v>42</v>
      </c>
      <c r="C97" s="28" t="s">
        <v>476</v>
      </c>
      <c r="D97" s="28" t="s">
        <v>477</v>
      </c>
      <c r="E97" s="28"/>
      <c r="F97" s="28"/>
      <c r="G97" s="28" t="s">
        <v>483</v>
      </c>
    </row>
    <row r="98" spans="1:7" x14ac:dyDescent="0.25">
      <c r="A98" s="25" t="s">
        <v>485</v>
      </c>
      <c r="B98" s="26" t="s">
        <v>42</v>
      </c>
      <c r="C98" s="26" t="s">
        <v>476</v>
      </c>
      <c r="D98" s="26" t="s">
        <v>477</v>
      </c>
      <c r="E98" s="26"/>
      <c r="F98" s="26"/>
      <c r="G98" s="26" t="s">
        <v>487</v>
      </c>
    </row>
    <row r="99" spans="1:7" x14ac:dyDescent="0.25">
      <c r="A99" s="27" t="s">
        <v>489</v>
      </c>
      <c r="B99" s="28" t="s">
        <v>42</v>
      </c>
      <c r="C99" s="28" t="s">
        <v>476</v>
      </c>
      <c r="D99" s="28" t="s">
        <v>477</v>
      </c>
      <c r="E99" s="28"/>
      <c r="F99" s="28"/>
      <c r="G99" s="28" t="s">
        <v>491</v>
      </c>
    </row>
    <row r="100" spans="1:7" x14ac:dyDescent="0.25">
      <c r="A100" s="25" t="s">
        <v>493</v>
      </c>
      <c r="B100" s="26" t="s">
        <v>42</v>
      </c>
      <c r="C100" s="26" t="s">
        <v>476</v>
      </c>
      <c r="D100" s="26" t="s">
        <v>477</v>
      </c>
      <c r="E100" s="26"/>
      <c r="F100" s="26"/>
      <c r="G100" s="26" t="s">
        <v>495</v>
      </c>
    </row>
    <row r="101" spans="1:7" x14ac:dyDescent="0.25">
      <c r="A101" s="27" t="s">
        <v>497</v>
      </c>
      <c r="B101" s="28" t="s">
        <v>136</v>
      </c>
      <c r="C101" s="28" t="s">
        <v>476</v>
      </c>
      <c r="D101" s="28" t="s">
        <v>498</v>
      </c>
      <c r="E101" s="28"/>
      <c r="F101" s="28"/>
      <c r="G101" s="28" t="s">
        <v>500</v>
      </c>
    </row>
    <row r="102" spans="1:7" x14ac:dyDescent="0.25">
      <c r="A102" s="25" t="s">
        <v>503</v>
      </c>
      <c r="B102" s="26" t="s">
        <v>136</v>
      </c>
      <c r="C102" s="26" t="s">
        <v>476</v>
      </c>
      <c r="D102" s="26" t="s">
        <v>498</v>
      </c>
      <c r="E102" s="26"/>
      <c r="F102" s="26"/>
      <c r="G102" s="26" t="s">
        <v>505</v>
      </c>
    </row>
    <row r="103" spans="1:7" x14ac:dyDescent="0.25">
      <c r="A103" s="27" t="s">
        <v>507</v>
      </c>
      <c r="B103" s="28" t="s">
        <v>136</v>
      </c>
      <c r="C103" s="28" t="s">
        <v>476</v>
      </c>
      <c r="D103" s="28" t="s">
        <v>498</v>
      </c>
      <c r="E103" s="28"/>
      <c r="F103" s="28"/>
      <c r="G103" s="28" t="s">
        <v>509</v>
      </c>
    </row>
    <row r="104" spans="1:7" x14ac:dyDescent="0.25">
      <c r="A104" s="25" t="s">
        <v>511</v>
      </c>
      <c r="B104" s="26" t="s">
        <v>136</v>
      </c>
      <c r="C104" s="26" t="s">
        <v>476</v>
      </c>
      <c r="D104" s="26" t="s">
        <v>498</v>
      </c>
      <c r="E104" s="26"/>
      <c r="F104" s="26"/>
      <c r="G104" s="26" t="s">
        <v>513</v>
      </c>
    </row>
    <row r="105" spans="1:7" x14ac:dyDescent="0.25">
      <c r="A105" s="27" t="s">
        <v>515</v>
      </c>
      <c r="B105" s="28" t="s">
        <v>130</v>
      </c>
      <c r="C105" s="28" t="s">
        <v>476</v>
      </c>
      <c r="D105" s="28" t="s">
        <v>498</v>
      </c>
      <c r="E105" s="28"/>
      <c r="F105" s="28"/>
      <c r="G105" s="28" t="s">
        <v>517</v>
      </c>
    </row>
    <row r="106" spans="1:7" x14ac:dyDescent="0.25">
      <c r="A106" s="25" t="s">
        <v>519</v>
      </c>
      <c r="B106" s="26" t="s">
        <v>130</v>
      </c>
      <c r="C106" s="26" t="s">
        <v>476</v>
      </c>
      <c r="D106" s="26" t="s">
        <v>520</v>
      </c>
      <c r="E106" s="26"/>
      <c r="F106" s="26"/>
      <c r="G106" s="26" t="s">
        <v>522</v>
      </c>
    </row>
    <row r="107" spans="1:7" x14ac:dyDescent="0.25">
      <c r="A107" s="27" t="s">
        <v>524</v>
      </c>
      <c r="B107" s="28" t="s">
        <v>130</v>
      </c>
      <c r="C107" s="28" t="s">
        <v>476</v>
      </c>
      <c r="D107" s="28" t="s">
        <v>520</v>
      </c>
      <c r="E107" s="28"/>
      <c r="F107" s="28"/>
      <c r="G107" s="28" t="s">
        <v>526</v>
      </c>
    </row>
    <row r="108" spans="1:7" x14ac:dyDescent="0.25">
      <c r="A108" s="25" t="s">
        <v>528</v>
      </c>
      <c r="B108" s="26" t="s">
        <v>130</v>
      </c>
      <c r="C108" s="26" t="s">
        <v>476</v>
      </c>
      <c r="D108" s="26" t="s">
        <v>520</v>
      </c>
      <c r="E108" s="26"/>
      <c r="F108" s="26"/>
      <c r="G108" s="26" t="s">
        <v>530</v>
      </c>
    </row>
    <row r="109" spans="1:7" x14ac:dyDescent="0.25">
      <c r="A109" s="27" t="s">
        <v>532</v>
      </c>
      <c r="B109" s="28" t="s">
        <v>136</v>
      </c>
      <c r="C109" s="28" t="s">
        <v>476</v>
      </c>
      <c r="D109" s="28" t="s">
        <v>520</v>
      </c>
      <c r="E109" s="28"/>
      <c r="F109" s="28"/>
      <c r="G109" s="28" t="s">
        <v>534</v>
      </c>
    </row>
    <row r="110" spans="1:7" x14ac:dyDescent="0.25">
      <c r="A110" s="25" t="s">
        <v>536</v>
      </c>
      <c r="B110" s="26" t="s">
        <v>41</v>
      </c>
      <c r="C110" s="26" t="s">
        <v>537</v>
      </c>
      <c r="D110" s="26" t="s">
        <v>538</v>
      </c>
      <c r="E110" s="26"/>
      <c r="F110" s="26"/>
      <c r="G110" s="26" t="s">
        <v>540</v>
      </c>
    </row>
    <row r="111" spans="1:7" x14ac:dyDescent="0.25">
      <c r="A111" s="27" t="s">
        <v>542</v>
      </c>
      <c r="B111" s="28" t="s">
        <v>130</v>
      </c>
      <c r="C111" s="28" t="s">
        <v>537</v>
      </c>
      <c r="D111" s="28" t="s">
        <v>538</v>
      </c>
      <c r="E111" s="28"/>
      <c r="F111" s="28"/>
      <c r="G111" s="28" t="s">
        <v>544</v>
      </c>
    </row>
    <row r="112" spans="1:7" x14ac:dyDescent="0.25">
      <c r="A112" s="25" t="s">
        <v>546</v>
      </c>
      <c r="B112" s="26" t="s">
        <v>130</v>
      </c>
      <c r="C112" s="26" t="s">
        <v>537</v>
      </c>
      <c r="D112" s="26" t="s">
        <v>538</v>
      </c>
      <c r="E112" s="26"/>
      <c r="F112" s="26"/>
      <c r="G112" s="26" t="s">
        <v>548</v>
      </c>
    </row>
    <row r="113" spans="1:7" x14ac:dyDescent="0.25">
      <c r="A113" s="27" t="s">
        <v>550</v>
      </c>
      <c r="B113" s="28" t="s">
        <v>41</v>
      </c>
      <c r="C113" s="28" t="s">
        <v>537</v>
      </c>
      <c r="D113" s="28" t="s">
        <v>538</v>
      </c>
      <c r="E113" s="28"/>
      <c r="F113" s="28"/>
      <c r="G113" s="28" t="s">
        <v>552</v>
      </c>
    </row>
    <row r="114" spans="1:7" x14ac:dyDescent="0.25">
      <c r="A114" s="25" t="s">
        <v>554</v>
      </c>
      <c r="B114" s="26" t="s">
        <v>130</v>
      </c>
      <c r="C114" s="26" t="s">
        <v>537</v>
      </c>
      <c r="D114" s="26" t="s">
        <v>555</v>
      </c>
      <c r="E114" s="26"/>
      <c r="F114" s="26"/>
      <c r="G114" s="26" t="s">
        <v>557</v>
      </c>
    </row>
    <row r="115" spans="1:7" x14ac:dyDescent="0.25">
      <c r="A115" s="27" t="s">
        <v>559</v>
      </c>
      <c r="B115" s="28" t="s">
        <v>41</v>
      </c>
      <c r="C115" s="28" t="s">
        <v>537</v>
      </c>
      <c r="D115" s="28" t="s">
        <v>555</v>
      </c>
      <c r="E115" s="28"/>
      <c r="F115" s="28"/>
      <c r="G115" s="28" t="s">
        <v>561</v>
      </c>
    </row>
    <row r="116" spans="1:7" x14ac:dyDescent="0.25">
      <c r="A116" s="25" t="s">
        <v>564</v>
      </c>
      <c r="B116" s="26" t="s">
        <v>130</v>
      </c>
      <c r="C116" s="26" t="s">
        <v>537</v>
      </c>
      <c r="D116" s="26" t="s">
        <v>555</v>
      </c>
      <c r="E116" s="26"/>
      <c r="F116" s="26"/>
      <c r="G116" s="26" t="s">
        <v>566</v>
      </c>
    </row>
    <row r="117" spans="1:7" x14ac:dyDescent="0.25">
      <c r="A117" s="27" t="s">
        <v>568</v>
      </c>
      <c r="B117" s="28" t="s">
        <v>130</v>
      </c>
      <c r="C117" s="28" t="s">
        <v>537</v>
      </c>
      <c r="D117" s="28" t="s">
        <v>555</v>
      </c>
      <c r="E117" s="28"/>
      <c r="F117" s="28"/>
      <c r="G117" s="28" t="s">
        <v>570</v>
      </c>
    </row>
    <row r="118" spans="1:7" x14ac:dyDescent="0.25">
      <c r="A118" s="25" t="s">
        <v>572</v>
      </c>
      <c r="B118" s="26" t="s">
        <v>130</v>
      </c>
      <c r="C118" s="26" t="s">
        <v>537</v>
      </c>
      <c r="D118" s="26" t="s">
        <v>573</v>
      </c>
      <c r="E118" s="26"/>
      <c r="F118" s="26"/>
      <c r="G118" s="26" t="s">
        <v>575</v>
      </c>
    </row>
    <row r="119" spans="1:7" x14ac:dyDescent="0.25">
      <c r="A119" s="27" t="s">
        <v>577</v>
      </c>
      <c r="B119" s="28" t="s">
        <v>130</v>
      </c>
      <c r="C119" s="28" t="s">
        <v>537</v>
      </c>
      <c r="D119" s="28" t="s">
        <v>573</v>
      </c>
      <c r="E119" s="28"/>
      <c r="F119" s="28"/>
      <c r="G119" s="28" t="s">
        <v>579</v>
      </c>
    </row>
    <row r="120" spans="1:7" x14ac:dyDescent="0.25">
      <c r="A120" s="25" t="s">
        <v>581</v>
      </c>
      <c r="B120" s="26" t="s">
        <v>130</v>
      </c>
      <c r="C120" s="26" t="s">
        <v>537</v>
      </c>
      <c r="D120" s="26" t="s">
        <v>573</v>
      </c>
      <c r="E120" s="26"/>
      <c r="F120" s="26"/>
      <c r="G120" s="26" t="s">
        <v>583</v>
      </c>
    </row>
    <row r="121" spans="1:7" x14ac:dyDescent="0.25">
      <c r="A121" s="27" t="s">
        <v>585</v>
      </c>
      <c r="B121" s="28" t="s">
        <v>136</v>
      </c>
      <c r="C121" s="28" t="s">
        <v>537</v>
      </c>
      <c r="D121" s="28" t="s">
        <v>573</v>
      </c>
      <c r="E121" s="28"/>
      <c r="F121" s="28"/>
      <c r="G121" s="28" t="s">
        <v>587</v>
      </c>
    </row>
    <row r="122" spans="1:7" x14ac:dyDescent="0.25">
      <c r="A122" s="25" t="s">
        <v>589</v>
      </c>
      <c r="B122" s="26" t="s">
        <v>130</v>
      </c>
      <c r="C122" s="26" t="s">
        <v>537</v>
      </c>
      <c r="D122" s="26" t="s">
        <v>590</v>
      </c>
      <c r="E122" s="26"/>
      <c r="F122" s="26"/>
      <c r="G122" s="26" t="s">
        <v>592</v>
      </c>
    </row>
    <row r="123" spans="1:7" x14ac:dyDescent="0.25">
      <c r="A123" s="27" t="s">
        <v>594</v>
      </c>
      <c r="B123" s="28" t="s">
        <v>41</v>
      </c>
      <c r="C123" s="28" t="s">
        <v>537</v>
      </c>
      <c r="D123" s="28" t="s">
        <v>590</v>
      </c>
      <c r="E123" s="28"/>
      <c r="F123" s="28"/>
      <c r="G123" s="28" t="s">
        <v>596</v>
      </c>
    </row>
    <row r="124" spans="1:7" x14ac:dyDescent="0.25">
      <c r="A124" s="25" t="s">
        <v>598</v>
      </c>
      <c r="B124" s="26" t="s">
        <v>42</v>
      </c>
      <c r="C124" s="26" t="s">
        <v>537</v>
      </c>
      <c r="D124" s="26" t="s">
        <v>590</v>
      </c>
      <c r="E124" s="26"/>
      <c r="F124" s="26"/>
      <c r="G124" s="26" t="s">
        <v>600</v>
      </c>
    </row>
    <row r="125" spans="1:7" x14ac:dyDescent="0.25">
      <c r="A125" s="27" t="s">
        <v>602</v>
      </c>
      <c r="B125" s="28" t="s">
        <v>130</v>
      </c>
      <c r="C125" s="28" t="s">
        <v>537</v>
      </c>
      <c r="D125" s="28" t="s">
        <v>590</v>
      </c>
      <c r="E125" s="28"/>
      <c r="F125" s="28"/>
      <c r="G125" s="28" t="s">
        <v>604</v>
      </c>
    </row>
    <row r="126" spans="1:7" x14ac:dyDescent="0.25">
      <c r="A126" s="25" t="s">
        <v>606</v>
      </c>
      <c r="B126" s="26" t="s">
        <v>69</v>
      </c>
      <c r="C126" s="26" t="s">
        <v>607</v>
      </c>
      <c r="D126" s="26" t="s">
        <v>608</v>
      </c>
      <c r="E126" s="26"/>
      <c r="F126" s="26"/>
      <c r="G126" s="26" t="s">
        <v>610</v>
      </c>
    </row>
    <row r="127" spans="1:7" x14ac:dyDescent="0.25">
      <c r="A127" s="27" t="s">
        <v>612</v>
      </c>
      <c r="B127" s="28" t="s">
        <v>69</v>
      </c>
      <c r="C127" s="28" t="s">
        <v>607</v>
      </c>
      <c r="D127" s="28" t="s">
        <v>608</v>
      </c>
      <c r="E127" s="28"/>
      <c r="F127" s="28"/>
      <c r="G127" s="28" t="s">
        <v>614</v>
      </c>
    </row>
    <row r="128" spans="1:7" x14ac:dyDescent="0.25">
      <c r="A128" s="25" t="s">
        <v>616</v>
      </c>
      <c r="B128" s="26" t="s">
        <v>69</v>
      </c>
      <c r="C128" s="26" t="s">
        <v>607</v>
      </c>
      <c r="D128" s="26" t="s">
        <v>608</v>
      </c>
      <c r="E128" s="26"/>
      <c r="F128" s="26"/>
      <c r="G128" s="26" t="s">
        <v>618</v>
      </c>
    </row>
    <row r="129" spans="1:7" x14ac:dyDescent="0.25">
      <c r="A129" s="27" t="s">
        <v>620</v>
      </c>
      <c r="B129" s="28" t="s">
        <v>69</v>
      </c>
      <c r="C129" s="28" t="s">
        <v>607</v>
      </c>
      <c r="D129" s="28" t="s">
        <v>608</v>
      </c>
      <c r="E129" s="28"/>
      <c r="F129" s="28"/>
      <c r="G129" s="28" t="s">
        <v>622</v>
      </c>
    </row>
    <row r="130" spans="1:7" x14ac:dyDescent="0.25">
      <c r="A130" s="25" t="s">
        <v>624</v>
      </c>
      <c r="B130" s="26" t="s">
        <v>89</v>
      </c>
      <c r="C130" s="26" t="s">
        <v>607</v>
      </c>
      <c r="D130" s="26" t="s">
        <v>625</v>
      </c>
      <c r="E130" s="26"/>
      <c r="F130" s="26"/>
      <c r="G130" s="26" t="s">
        <v>627</v>
      </c>
    </row>
    <row r="131" spans="1:7" x14ac:dyDescent="0.25">
      <c r="A131" s="27" t="s">
        <v>629</v>
      </c>
      <c r="B131" s="28" t="s">
        <v>69</v>
      </c>
      <c r="C131" s="28" t="s">
        <v>607</v>
      </c>
      <c r="D131" s="28" t="s">
        <v>625</v>
      </c>
      <c r="E131" s="28"/>
      <c r="F131" s="28"/>
      <c r="G131" s="28" t="s">
        <v>631</v>
      </c>
    </row>
    <row r="132" spans="1:7" x14ac:dyDescent="0.25">
      <c r="A132" s="25" t="s">
        <v>633</v>
      </c>
      <c r="B132" s="26" t="s">
        <v>69</v>
      </c>
      <c r="C132" s="26" t="s">
        <v>607</v>
      </c>
      <c r="D132" s="26" t="s">
        <v>625</v>
      </c>
      <c r="E132" s="26"/>
      <c r="F132" s="26"/>
      <c r="G132" s="26" t="s">
        <v>635</v>
      </c>
    </row>
    <row r="133" spans="1:7" x14ac:dyDescent="0.25">
      <c r="A133" s="27" t="s">
        <v>637</v>
      </c>
      <c r="B133" s="28" t="s">
        <v>89</v>
      </c>
      <c r="C133" s="28" t="s">
        <v>607</v>
      </c>
      <c r="D133" s="28" t="s">
        <v>625</v>
      </c>
      <c r="E133" s="28"/>
      <c r="F133" s="28"/>
      <c r="G133" s="28" t="s">
        <v>639</v>
      </c>
    </row>
    <row r="134" spans="1:7" x14ac:dyDescent="0.25">
      <c r="A134" s="25" t="s">
        <v>641</v>
      </c>
      <c r="B134" s="26" t="s">
        <v>76</v>
      </c>
      <c r="C134" s="26" t="s">
        <v>607</v>
      </c>
      <c r="D134" s="26" t="s">
        <v>642</v>
      </c>
      <c r="E134" s="26"/>
      <c r="F134" s="26"/>
      <c r="G134" s="26" t="s">
        <v>644</v>
      </c>
    </row>
    <row r="135" spans="1:7" x14ac:dyDescent="0.25">
      <c r="A135" s="27" t="s">
        <v>646</v>
      </c>
      <c r="B135" s="28" t="s">
        <v>76</v>
      </c>
      <c r="C135" s="28" t="s">
        <v>607</v>
      </c>
      <c r="D135" s="28" t="s">
        <v>642</v>
      </c>
      <c r="E135" s="28"/>
      <c r="F135" s="28"/>
      <c r="G135" s="28" t="s">
        <v>648</v>
      </c>
    </row>
    <row r="136" spans="1:7" x14ac:dyDescent="0.25">
      <c r="A136" s="25" t="s">
        <v>650</v>
      </c>
      <c r="B136" s="26" t="s">
        <v>76</v>
      </c>
      <c r="C136" s="26" t="s">
        <v>607</v>
      </c>
      <c r="D136" s="26" t="s">
        <v>642</v>
      </c>
      <c r="E136" s="26"/>
      <c r="F136" s="26"/>
      <c r="G136" s="26" t="s">
        <v>652</v>
      </c>
    </row>
    <row r="137" spans="1:7" x14ac:dyDescent="0.25">
      <c r="A137" s="27" t="s">
        <v>654</v>
      </c>
      <c r="B137" s="28" t="s">
        <v>89</v>
      </c>
      <c r="C137" s="28" t="s">
        <v>607</v>
      </c>
      <c r="D137" s="28" t="s">
        <v>642</v>
      </c>
      <c r="E137" s="28"/>
      <c r="F137" s="28"/>
      <c r="G137" s="28" t="s">
        <v>656</v>
      </c>
    </row>
    <row r="138" spans="1:7" x14ac:dyDescent="0.25">
      <c r="A138" s="25" t="s">
        <v>658</v>
      </c>
      <c r="B138" s="26" t="s">
        <v>89</v>
      </c>
      <c r="C138" s="26" t="s">
        <v>607</v>
      </c>
      <c r="D138" s="26" t="s">
        <v>659</v>
      </c>
      <c r="E138" s="26"/>
      <c r="F138" s="26"/>
      <c r="G138" s="26" t="s">
        <v>661</v>
      </c>
    </row>
    <row r="139" spans="1:7" x14ac:dyDescent="0.25">
      <c r="A139" s="27" t="s">
        <v>663</v>
      </c>
      <c r="B139" s="28" t="s">
        <v>69</v>
      </c>
      <c r="C139" s="28" t="s">
        <v>607</v>
      </c>
      <c r="D139" s="28" t="s">
        <v>659</v>
      </c>
      <c r="E139" s="28"/>
      <c r="F139" s="28"/>
      <c r="G139" s="28" t="s">
        <v>665</v>
      </c>
    </row>
    <row r="140" spans="1:7" x14ac:dyDescent="0.25">
      <c r="A140" s="25" t="s">
        <v>667</v>
      </c>
      <c r="B140" s="26" t="s">
        <v>42</v>
      </c>
      <c r="C140" s="26" t="s">
        <v>607</v>
      </c>
      <c r="D140" s="26" t="s">
        <v>659</v>
      </c>
      <c r="E140" s="26"/>
      <c r="F140" s="26"/>
      <c r="G140" s="26" t="s">
        <v>669</v>
      </c>
    </row>
    <row r="141" spans="1:7" x14ac:dyDescent="0.25">
      <c r="A141" s="27" t="s">
        <v>671</v>
      </c>
      <c r="B141" s="28" t="s">
        <v>69</v>
      </c>
      <c r="C141" s="28" t="s">
        <v>607</v>
      </c>
      <c r="D141" s="28" t="s">
        <v>659</v>
      </c>
      <c r="E141" s="28"/>
      <c r="F141" s="28"/>
      <c r="G141" s="28" t="s">
        <v>673</v>
      </c>
    </row>
    <row r="142" spans="1:7" x14ac:dyDescent="0.25">
      <c r="A142" s="25" t="s">
        <v>675</v>
      </c>
      <c r="B142" s="26" t="s">
        <v>42</v>
      </c>
      <c r="C142" s="26" t="s">
        <v>676</v>
      </c>
      <c r="D142" s="26" t="s">
        <v>677</v>
      </c>
      <c r="E142" s="26"/>
      <c r="F142" s="26"/>
      <c r="G142" s="26" t="s">
        <v>679</v>
      </c>
    </row>
    <row r="143" spans="1:7" x14ac:dyDescent="0.25">
      <c r="A143" s="27" t="s">
        <v>681</v>
      </c>
      <c r="B143" s="28" t="s">
        <v>42</v>
      </c>
      <c r="C143" s="28" t="s">
        <v>676</v>
      </c>
      <c r="D143" s="28" t="s">
        <v>677</v>
      </c>
      <c r="E143" s="28"/>
      <c r="F143" s="28"/>
      <c r="G143" s="28" t="s">
        <v>683</v>
      </c>
    </row>
    <row r="144" spans="1:7" x14ac:dyDescent="0.25">
      <c r="A144" s="25" t="s">
        <v>685</v>
      </c>
      <c r="B144" s="26" t="s">
        <v>42</v>
      </c>
      <c r="C144" s="26" t="s">
        <v>676</v>
      </c>
      <c r="D144" s="26" t="s">
        <v>677</v>
      </c>
      <c r="E144" s="26"/>
      <c r="F144" s="26"/>
      <c r="G144" s="26" t="s">
        <v>687</v>
      </c>
    </row>
    <row r="145" spans="1:7" x14ac:dyDescent="0.25">
      <c r="A145" s="27" t="s">
        <v>689</v>
      </c>
      <c r="B145" s="28" t="s">
        <v>130</v>
      </c>
      <c r="C145" s="28" t="s">
        <v>676</v>
      </c>
      <c r="D145" s="28" t="s">
        <v>677</v>
      </c>
      <c r="E145" s="28"/>
      <c r="F145" s="28"/>
      <c r="G145" s="28" t="s">
        <v>691</v>
      </c>
    </row>
    <row r="146" spans="1:7" x14ac:dyDescent="0.25">
      <c r="A146" s="25" t="s">
        <v>693</v>
      </c>
      <c r="B146" s="26" t="s">
        <v>76</v>
      </c>
      <c r="C146" s="26" t="s">
        <v>676</v>
      </c>
      <c r="D146" s="26" t="s">
        <v>694</v>
      </c>
      <c r="E146" s="26"/>
      <c r="F146" s="26"/>
      <c r="G146" s="26" t="s">
        <v>696</v>
      </c>
    </row>
    <row r="147" spans="1:7" x14ac:dyDescent="0.25">
      <c r="A147" s="27" t="s">
        <v>698</v>
      </c>
      <c r="B147" s="28" t="s">
        <v>69</v>
      </c>
      <c r="C147" s="28" t="s">
        <v>676</v>
      </c>
      <c r="D147" s="28" t="s">
        <v>694</v>
      </c>
      <c r="E147" s="28"/>
      <c r="F147" s="28"/>
      <c r="G147" s="28" t="s">
        <v>700</v>
      </c>
    </row>
    <row r="148" spans="1:7" x14ac:dyDescent="0.25">
      <c r="A148" s="25" t="s">
        <v>702</v>
      </c>
      <c r="B148" s="26" t="s">
        <v>89</v>
      </c>
      <c r="C148" s="26" t="s">
        <v>676</v>
      </c>
      <c r="D148" s="26" t="s">
        <v>694</v>
      </c>
      <c r="E148" s="26"/>
      <c r="F148" s="26"/>
      <c r="G148" s="26" t="s">
        <v>704</v>
      </c>
    </row>
    <row r="149" spans="1:7" x14ac:dyDescent="0.25">
      <c r="A149" s="27" t="s">
        <v>706</v>
      </c>
      <c r="B149" s="28" t="s">
        <v>42</v>
      </c>
      <c r="C149" s="28" t="s">
        <v>676</v>
      </c>
      <c r="D149" s="28" t="s">
        <v>694</v>
      </c>
      <c r="E149" s="28"/>
      <c r="F149" s="28"/>
      <c r="G149" s="28" t="s">
        <v>708</v>
      </c>
    </row>
    <row r="150" spans="1:7" x14ac:dyDescent="0.25">
      <c r="A150" s="25" t="s">
        <v>710</v>
      </c>
      <c r="B150" s="26" t="s">
        <v>89</v>
      </c>
      <c r="C150" s="26" t="s">
        <v>676</v>
      </c>
      <c r="D150" s="26" t="s">
        <v>711</v>
      </c>
      <c r="E150" s="26"/>
      <c r="F150" s="26"/>
      <c r="G150" s="26" t="s">
        <v>713</v>
      </c>
    </row>
    <row r="151" spans="1:7" x14ac:dyDescent="0.25">
      <c r="A151" s="27" t="s">
        <v>715</v>
      </c>
      <c r="B151" s="28" t="s">
        <v>42</v>
      </c>
      <c r="C151" s="28" t="s">
        <v>676</v>
      </c>
      <c r="D151" s="28" t="s">
        <v>711</v>
      </c>
      <c r="E151" s="28"/>
      <c r="F151" s="28"/>
      <c r="G151" s="28" t="s">
        <v>717</v>
      </c>
    </row>
    <row r="152" spans="1:7" x14ac:dyDescent="0.25">
      <c r="A152" s="25" t="s">
        <v>719</v>
      </c>
      <c r="B152" s="26" t="s">
        <v>130</v>
      </c>
      <c r="C152" s="26" t="s">
        <v>676</v>
      </c>
      <c r="D152" s="26" t="s">
        <v>711</v>
      </c>
      <c r="E152" s="26"/>
      <c r="F152" s="26"/>
      <c r="G152" s="26" t="s">
        <v>721</v>
      </c>
    </row>
    <row r="153" spans="1:7" x14ac:dyDescent="0.25">
      <c r="A153" s="27" t="s">
        <v>723</v>
      </c>
      <c r="B153" s="28" t="s">
        <v>89</v>
      </c>
      <c r="C153" s="28" t="s">
        <v>676</v>
      </c>
      <c r="D153" s="28" t="s">
        <v>711</v>
      </c>
      <c r="E153" s="28"/>
      <c r="F153" s="28"/>
      <c r="G153" s="28" t="s">
        <v>725</v>
      </c>
    </row>
    <row r="154" spans="1:7" x14ac:dyDescent="0.25">
      <c r="A154" s="25" t="s">
        <v>727</v>
      </c>
      <c r="B154" s="26" t="s">
        <v>42</v>
      </c>
      <c r="C154" s="26" t="s">
        <v>676</v>
      </c>
      <c r="D154" s="26" t="s">
        <v>728</v>
      </c>
      <c r="E154" s="26"/>
      <c r="F154" s="26"/>
      <c r="G154" s="26" t="s">
        <v>730</v>
      </c>
    </row>
    <row r="155" spans="1:7" x14ac:dyDescent="0.25">
      <c r="A155" s="27" t="s">
        <v>732</v>
      </c>
      <c r="B155" s="28" t="s">
        <v>42</v>
      </c>
      <c r="C155" s="28" t="s">
        <v>676</v>
      </c>
      <c r="D155" s="28" t="s">
        <v>728</v>
      </c>
      <c r="E155" s="28"/>
      <c r="F155" s="28"/>
      <c r="G155" s="28" t="s">
        <v>734</v>
      </c>
    </row>
    <row r="156" spans="1:7" x14ac:dyDescent="0.25">
      <c r="A156" s="25" t="s">
        <v>736</v>
      </c>
      <c r="B156" s="26" t="s">
        <v>69</v>
      </c>
      <c r="C156" s="26" t="s">
        <v>676</v>
      </c>
      <c r="D156" s="26" t="s">
        <v>728</v>
      </c>
      <c r="E156" s="26"/>
      <c r="F156" s="26"/>
      <c r="G156" s="26" t="s">
        <v>738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56"/>
  <sheetViews>
    <sheetView zoomScaleNormal="100" workbookViewId="0">
      <selection activeCell="A2" sqref="A2"/>
    </sheetView>
  </sheetViews>
  <sheetFormatPr defaultRowHeight="15" x14ac:dyDescent="0.25"/>
  <cols>
    <col min="1" max="1" width="11.42578125" customWidth="1"/>
    <col min="2" max="2" width="118.85546875" customWidth="1"/>
    <col min="3" max="3" width="128.28515625" customWidth="1"/>
    <col min="4" max="4" width="129.42578125" customWidth="1"/>
    <col min="5" max="5" width="169.28515625" customWidth="1"/>
    <col min="6" max="6" width="183.85546875" customWidth="1"/>
    <col min="7" max="7" width="11" customWidth="1"/>
    <col min="8" max="8" width="14" customWidth="1"/>
  </cols>
  <sheetData>
    <row r="1" spans="1:8" x14ac:dyDescent="0.25">
      <c r="A1" s="29" t="s">
        <v>19</v>
      </c>
      <c r="B1" s="30" t="s">
        <v>5684</v>
      </c>
      <c r="C1" s="30" t="s">
        <v>5685</v>
      </c>
      <c r="D1" s="30" t="s">
        <v>5686</v>
      </c>
      <c r="E1" s="30" t="s">
        <v>5687</v>
      </c>
      <c r="F1" s="30" t="s">
        <v>5688</v>
      </c>
      <c r="G1" s="30" t="s">
        <v>5689</v>
      </c>
      <c r="H1" s="30" t="s">
        <v>5690</v>
      </c>
    </row>
    <row r="2" spans="1:8" x14ac:dyDescent="0.25">
      <c r="A2" s="31" t="s">
        <v>37</v>
      </c>
      <c r="B2" t="s">
        <v>745</v>
      </c>
      <c r="C2" t="s">
        <v>751</v>
      </c>
      <c r="D2" t="s">
        <v>753</v>
      </c>
      <c r="E2" t="s">
        <v>45</v>
      </c>
      <c r="F2" t="s">
        <v>761</v>
      </c>
      <c r="G2" t="s">
        <v>765</v>
      </c>
      <c r="H2" t="s">
        <v>770</v>
      </c>
    </row>
    <row r="3" spans="1:8" x14ac:dyDescent="0.25">
      <c r="A3" s="31" t="s">
        <v>48</v>
      </c>
      <c r="B3" t="s">
        <v>774</v>
      </c>
      <c r="C3" t="s">
        <v>777</v>
      </c>
      <c r="D3" t="s">
        <v>780</v>
      </c>
      <c r="E3" t="s">
        <v>51</v>
      </c>
      <c r="F3" t="s">
        <v>785</v>
      </c>
      <c r="G3" t="s">
        <v>765</v>
      </c>
      <c r="H3" t="s">
        <v>770</v>
      </c>
    </row>
    <row r="4" spans="1:8" x14ac:dyDescent="0.25">
      <c r="A4" s="31" t="s">
        <v>52</v>
      </c>
      <c r="B4" t="s">
        <v>792</v>
      </c>
      <c r="C4" t="s">
        <v>796</v>
      </c>
      <c r="D4" t="s">
        <v>55</v>
      </c>
      <c r="E4" t="s">
        <v>801</v>
      </c>
      <c r="F4" t="s">
        <v>804</v>
      </c>
      <c r="G4" t="s">
        <v>765</v>
      </c>
      <c r="H4" t="s">
        <v>770</v>
      </c>
    </row>
    <row r="5" spans="1:8" x14ac:dyDescent="0.25">
      <c r="A5" s="31" t="s">
        <v>57</v>
      </c>
      <c r="B5" t="s">
        <v>811</v>
      </c>
      <c r="C5" t="s">
        <v>814</v>
      </c>
      <c r="D5" t="s">
        <v>60</v>
      </c>
      <c r="E5" t="s">
        <v>819</v>
      </c>
      <c r="F5" t="s">
        <v>822</v>
      </c>
      <c r="G5" t="s">
        <v>765</v>
      </c>
      <c r="H5" t="s">
        <v>770</v>
      </c>
    </row>
    <row r="6" spans="1:8" x14ac:dyDescent="0.25">
      <c r="A6" s="31" t="s">
        <v>62</v>
      </c>
      <c r="B6" t="s">
        <v>829</v>
      </c>
      <c r="C6" t="s">
        <v>65</v>
      </c>
      <c r="D6" t="s">
        <v>835</v>
      </c>
      <c r="E6" t="s">
        <v>838</v>
      </c>
      <c r="F6" t="s">
        <v>841</v>
      </c>
      <c r="G6" t="s">
        <v>765</v>
      </c>
      <c r="H6" t="s">
        <v>770</v>
      </c>
    </row>
    <row r="7" spans="1:8" x14ac:dyDescent="0.25">
      <c r="A7" s="31" t="s">
        <v>66</v>
      </c>
      <c r="B7" t="s">
        <v>848</v>
      </c>
      <c r="C7" t="s">
        <v>852</v>
      </c>
      <c r="D7" t="s">
        <v>855</v>
      </c>
      <c r="E7" t="s">
        <v>71</v>
      </c>
      <c r="F7" t="s">
        <v>860</v>
      </c>
      <c r="G7" t="s">
        <v>765</v>
      </c>
      <c r="H7" t="s">
        <v>770</v>
      </c>
    </row>
    <row r="8" spans="1:8" x14ac:dyDescent="0.25">
      <c r="A8" s="31" t="s">
        <v>74</v>
      </c>
      <c r="B8" t="s">
        <v>867</v>
      </c>
      <c r="C8" t="s">
        <v>78</v>
      </c>
      <c r="D8" t="s">
        <v>873</v>
      </c>
      <c r="E8" t="s">
        <v>876</v>
      </c>
      <c r="F8" t="s">
        <v>879</v>
      </c>
      <c r="G8" t="s">
        <v>765</v>
      </c>
      <c r="H8" t="s">
        <v>770</v>
      </c>
    </row>
    <row r="9" spans="1:8" x14ac:dyDescent="0.25">
      <c r="A9" s="31" t="s">
        <v>81</v>
      </c>
      <c r="B9" t="s">
        <v>886</v>
      </c>
      <c r="C9" t="s">
        <v>890</v>
      </c>
      <c r="D9" t="s">
        <v>893</v>
      </c>
      <c r="E9" t="s">
        <v>896</v>
      </c>
      <c r="F9" t="s">
        <v>84</v>
      </c>
      <c r="G9" t="s">
        <v>765</v>
      </c>
      <c r="H9" t="s">
        <v>770</v>
      </c>
    </row>
    <row r="10" spans="1:8" x14ac:dyDescent="0.25">
      <c r="A10" s="31" t="s">
        <v>87</v>
      </c>
      <c r="B10" t="s">
        <v>905</v>
      </c>
      <c r="C10" t="s">
        <v>91</v>
      </c>
      <c r="D10" t="s">
        <v>911</v>
      </c>
      <c r="E10" t="s">
        <v>914</v>
      </c>
      <c r="F10" t="s">
        <v>917</v>
      </c>
      <c r="G10" t="s">
        <v>765</v>
      </c>
      <c r="H10" t="s">
        <v>770</v>
      </c>
    </row>
    <row r="11" spans="1:8" x14ac:dyDescent="0.25">
      <c r="A11" s="31" t="s">
        <v>93</v>
      </c>
      <c r="B11" t="s">
        <v>924</v>
      </c>
      <c r="C11" t="s">
        <v>928</v>
      </c>
      <c r="D11" t="s">
        <v>96</v>
      </c>
      <c r="E11" t="s">
        <v>933</v>
      </c>
      <c r="F11" t="s">
        <v>936</v>
      </c>
      <c r="G11" t="s">
        <v>765</v>
      </c>
      <c r="H11" t="s">
        <v>770</v>
      </c>
    </row>
    <row r="12" spans="1:8" x14ac:dyDescent="0.25">
      <c r="A12" s="31" t="s">
        <v>98</v>
      </c>
      <c r="B12" t="s">
        <v>943</v>
      </c>
      <c r="C12" t="s">
        <v>947</v>
      </c>
      <c r="D12" t="s">
        <v>102</v>
      </c>
      <c r="E12" t="s">
        <v>952</v>
      </c>
      <c r="F12" t="s">
        <v>955</v>
      </c>
      <c r="G12" t="s">
        <v>765</v>
      </c>
      <c r="H12" t="s">
        <v>770</v>
      </c>
    </row>
    <row r="13" spans="1:8" x14ac:dyDescent="0.25">
      <c r="A13" s="31" t="s">
        <v>103</v>
      </c>
      <c r="B13" t="s">
        <v>962</v>
      </c>
      <c r="C13" t="s">
        <v>966</v>
      </c>
      <c r="D13" t="s">
        <v>106</v>
      </c>
      <c r="E13" t="s">
        <v>971</v>
      </c>
      <c r="F13" t="s">
        <v>974</v>
      </c>
      <c r="G13" t="s">
        <v>765</v>
      </c>
      <c r="H13" t="s">
        <v>770</v>
      </c>
    </row>
    <row r="14" spans="1:8" x14ac:dyDescent="0.25">
      <c r="A14" s="31" t="s">
        <v>108</v>
      </c>
      <c r="B14" t="s">
        <v>981</v>
      </c>
      <c r="C14" t="s">
        <v>985</v>
      </c>
      <c r="D14" t="s">
        <v>988</v>
      </c>
      <c r="E14" t="s">
        <v>111</v>
      </c>
      <c r="F14" t="s">
        <v>993</v>
      </c>
      <c r="G14" t="s">
        <v>765</v>
      </c>
      <c r="H14" t="s">
        <v>770</v>
      </c>
    </row>
    <row r="15" spans="1:8" x14ac:dyDescent="0.25">
      <c r="A15" s="31" t="s">
        <v>113</v>
      </c>
      <c r="B15" t="s">
        <v>1000</v>
      </c>
      <c r="C15" t="s">
        <v>1004</v>
      </c>
      <c r="D15" t="s">
        <v>116</v>
      </c>
      <c r="E15" t="s">
        <v>1009</v>
      </c>
      <c r="F15" t="s">
        <v>1012</v>
      </c>
      <c r="G15" t="s">
        <v>765</v>
      </c>
      <c r="H15" t="s">
        <v>770</v>
      </c>
    </row>
    <row r="16" spans="1:8" x14ac:dyDescent="0.25">
      <c r="A16" s="31" t="s">
        <v>117</v>
      </c>
      <c r="B16" t="s">
        <v>1019</v>
      </c>
      <c r="C16" t="s">
        <v>1023</v>
      </c>
      <c r="D16" t="s">
        <v>1026</v>
      </c>
      <c r="E16" t="s">
        <v>120</v>
      </c>
      <c r="F16" t="s">
        <v>1031</v>
      </c>
      <c r="G16" t="s">
        <v>765</v>
      </c>
      <c r="H16" t="s">
        <v>770</v>
      </c>
    </row>
    <row r="17" spans="1:8" x14ac:dyDescent="0.25">
      <c r="A17" s="31" t="s">
        <v>122</v>
      </c>
      <c r="B17" t="s">
        <v>1038</v>
      </c>
      <c r="C17" t="s">
        <v>1042</v>
      </c>
      <c r="D17" t="s">
        <v>126</v>
      </c>
      <c r="E17" t="s">
        <v>1047</v>
      </c>
      <c r="F17" t="s">
        <v>1050</v>
      </c>
      <c r="G17" t="s">
        <v>765</v>
      </c>
      <c r="H17" t="s">
        <v>770</v>
      </c>
    </row>
    <row r="18" spans="1:8" x14ac:dyDescent="0.25">
      <c r="A18" s="31" t="s">
        <v>128</v>
      </c>
      <c r="B18" t="s">
        <v>1057</v>
      </c>
      <c r="C18" t="s">
        <v>1061</v>
      </c>
      <c r="D18" t="s">
        <v>132</v>
      </c>
      <c r="E18" t="s">
        <v>1066</v>
      </c>
      <c r="F18" t="s">
        <v>1069</v>
      </c>
      <c r="G18" t="s">
        <v>765</v>
      </c>
      <c r="H18" t="s">
        <v>770</v>
      </c>
    </row>
    <row r="19" spans="1:8" x14ac:dyDescent="0.25">
      <c r="A19" s="31" t="s">
        <v>134</v>
      </c>
      <c r="B19" t="s">
        <v>1076</v>
      </c>
      <c r="C19" t="s">
        <v>1080</v>
      </c>
      <c r="D19" t="s">
        <v>1083</v>
      </c>
      <c r="E19" t="s">
        <v>138</v>
      </c>
      <c r="F19" t="s">
        <v>1088</v>
      </c>
      <c r="G19" t="s">
        <v>765</v>
      </c>
      <c r="H19" t="s">
        <v>770</v>
      </c>
    </row>
    <row r="20" spans="1:8" x14ac:dyDescent="0.25">
      <c r="A20" s="31" t="s">
        <v>140</v>
      </c>
      <c r="B20" t="s">
        <v>1095</v>
      </c>
      <c r="C20" t="s">
        <v>1099</v>
      </c>
      <c r="D20" t="s">
        <v>1102</v>
      </c>
      <c r="E20" t="s">
        <v>145</v>
      </c>
      <c r="F20" t="s">
        <v>1107</v>
      </c>
      <c r="G20" t="s">
        <v>765</v>
      </c>
      <c r="H20" t="s">
        <v>770</v>
      </c>
    </row>
    <row r="21" spans="1:8" x14ac:dyDescent="0.25">
      <c r="A21" s="31" t="s">
        <v>147</v>
      </c>
      <c r="B21" t="s">
        <v>1114</v>
      </c>
      <c r="C21" t="s">
        <v>1118</v>
      </c>
      <c r="D21" t="s">
        <v>1121</v>
      </c>
      <c r="E21" t="s">
        <v>150</v>
      </c>
      <c r="F21" t="s">
        <v>1126</v>
      </c>
      <c r="G21" t="s">
        <v>765</v>
      </c>
      <c r="H21" t="s">
        <v>770</v>
      </c>
    </row>
    <row r="22" spans="1:8" x14ac:dyDescent="0.25">
      <c r="A22" s="31" t="s">
        <v>151</v>
      </c>
      <c r="B22" t="s">
        <v>1133</v>
      </c>
      <c r="C22" t="s">
        <v>1137</v>
      </c>
      <c r="D22" t="s">
        <v>154</v>
      </c>
      <c r="E22" t="s">
        <v>1142</v>
      </c>
      <c r="F22" t="s">
        <v>1145</v>
      </c>
      <c r="G22" t="s">
        <v>765</v>
      </c>
      <c r="H22" t="s">
        <v>770</v>
      </c>
    </row>
    <row r="23" spans="1:8" x14ac:dyDescent="0.25">
      <c r="A23" s="31" t="s">
        <v>155</v>
      </c>
      <c r="B23" t="s">
        <v>1152</v>
      </c>
      <c r="C23" t="s">
        <v>158</v>
      </c>
      <c r="D23" t="s">
        <v>1158</v>
      </c>
      <c r="E23" t="s">
        <v>1161</v>
      </c>
      <c r="F23" t="s">
        <v>1164</v>
      </c>
      <c r="G23" t="s">
        <v>765</v>
      </c>
      <c r="H23" t="s">
        <v>770</v>
      </c>
    </row>
    <row r="24" spans="1:8" x14ac:dyDescent="0.25">
      <c r="A24" s="31" t="s">
        <v>159</v>
      </c>
      <c r="B24" t="s">
        <v>1171</v>
      </c>
      <c r="C24" t="s">
        <v>163</v>
      </c>
      <c r="D24" t="s">
        <v>1177</v>
      </c>
      <c r="E24" t="s">
        <v>1180</v>
      </c>
      <c r="F24" t="s">
        <v>1183</v>
      </c>
      <c r="G24" t="s">
        <v>765</v>
      </c>
      <c r="H24" t="s">
        <v>770</v>
      </c>
    </row>
    <row r="25" spans="1:8" x14ac:dyDescent="0.25">
      <c r="A25" s="31" t="s">
        <v>165</v>
      </c>
      <c r="B25" t="s">
        <v>1190</v>
      </c>
      <c r="C25" t="s">
        <v>168</v>
      </c>
      <c r="D25" t="s">
        <v>1196</v>
      </c>
      <c r="E25" t="s">
        <v>1199</v>
      </c>
      <c r="F25" t="s">
        <v>1202</v>
      </c>
      <c r="G25" t="s">
        <v>765</v>
      </c>
      <c r="H25" t="s">
        <v>770</v>
      </c>
    </row>
    <row r="26" spans="1:8" x14ac:dyDescent="0.25">
      <c r="A26" s="31" t="s">
        <v>169</v>
      </c>
      <c r="B26" t="s">
        <v>1209</v>
      </c>
      <c r="C26" t="s">
        <v>172</v>
      </c>
      <c r="D26" t="s">
        <v>1215</v>
      </c>
      <c r="E26" t="s">
        <v>1218</v>
      </c>
      <c r="F26" t="s">
        <v>1221</v>
      </c>
      <c r="G26" t="s">
        <v>765</v>
      </c>
      <c r="H26" t="s">
        <v>770</v>
      </c>
    </row>
    <row r="27" spans="1:8" x14ac:dyDescent="0.25">
      <c r="A27" s="31" t="s">
        <v>173</v>
      </c>
      <c r="B27" t="s">
        <v>1228</v>
      </c>
      <c r="C27" t="s">
        <v>1232</v>
      </c>
      <c r="D27" t="s">
        <v>176</v>
      </c>
      <c r="E27" t="s">
        <v>1237</v>
      </c>
      <c r="F27" t="s">
        <v>1240</v>
      </c>
      <c r="G27" t="s">
        <v>765</v>
      </c>
      <c r="H27" t="s">
        <v>770</v>
      </c>
    </row>
    <row r="28" spans="1:8" x14ac:dyDescent="0.25">
      <c r="A28" s="31" t="s">
        <v>177</v>
      </c>
      <c r="B28" t="s">
        <v>1247</v>
      </c>
      <c r="C28" t="s">
        <v>181</v>
      </c>
      <c r="D28" t="s">
        <v>1253</v>
      </c>
      <c r="E28" t="s">
        <v>1256</v>
      </c>
      <c r="F28" t="s">
        <v>1259</v>
      </c>
      <c r="G28" t="s">
        <v>765</v>
      </c>
      <c r="H28" t="s">
        <v>770</v>
      </c>
    </row>
    <row r="29" spans="1:8" x14ac:dyDescent="0.25">
      <c r="A29" s="31" t="s">
        <v>182</v>
      </c>
      <c r="B29" t="s">
        <v>1266</v>
      </c>
      <c r="C29" t="s">
        <v>1270</v>
      </c>
      <c r="D29" t="s">
        <v>1273</v>
      </c>
      <c r="E29" t="s">
        <v>1276</v>
      </c>
      <c r="F29" t="s">
        <v>185</v>
      </c>
      <c r="G29" t="s">
        <v>765</v>
      </c>
      <c r="H29" t="s">
        <v>770</v>
      </c>
    </row>
    <row r="30" spans="1:8" x14ac:dyDescent="0.25">
      <c r="A30" s="31" t="s">
        <v>186</v>
      </c>
      <c r="B30" t="s">
        <v>1285</v>
      </c>
      <c r="C30" t="s">
        <v>1289</v>
      </c>
      <c r="D30" t="s">
        <v>189</v>
      </c>
      <c r="E30" t="s">
        <v>1294</v>
      </c>
      <c r="F30" t="s">
        <v>1297</v>
      </c>
      <c r="G30" t="s">
        <v>765</v>
      </c>
      <c r="H30" t="s">
        <v>770</v>
      </c>
    </row>
    <row r="31" spans="1:8" x14ac:dyDescent="0.25">
      <c r="A31" s="31" t="s">
        <v>190</v>
      </c>
      <c r="B31" t="s">
        <v>1304</v>
      </c>
      <c r="C31" t="s">
        <v>1308</v>
      </c>
      <c r="D31" t="s">
        <v>1311</v>
      </c>
      <c r="E31" t="s">
        <v>193</v>
      </c>
      <c r="F31" t="s">
        <v>1316</v>
      </c>
      <c r="G31" t="s">
        <v>765</v>
      </c>
      <c r="H31" t="s">
        <v>770</v>
      </c>
    </row>
    <row r="32" spans="1:8" x14ac:dyDescent="0.25">
      <c r="A32" s="31" t="s">
        <v>194</v>
      </c>
      <c r="B32" t="s">
        <v>1323</v>
      </c>
      <c r="C32" t="s">
        <v>1327</v>
      </c>
      <c r="D32" t="s">
        <v>198</v>
      </c>
      <c r="E32" t="s">
        <v>1332</v>
      </c>
      <c r="F32" t="s">
        <v>1335</v>
      </c>
      <c r="G32" t="s">
        <v>765</v>
      </c>
      <c r="H32" t="s">
        <v>770</v>
      </c>
    </row>
    <row r="33" spans="1:8" x14ac:dyDescent="0.25">
      <c r="A33" s="31" t="s">
        <v>200</v>
      </c>
      <c r="B33" t="s">
        <v>1342</v>
      </c>
      <c r="C33" t="s">
        <v>1346</v>
      </c>
      <c r="D33" t="s">
        <v>1349</v>
      </c>
      <c r="E33" t="s">
        <v>203</v>
      </c>
      <c r="F33" t="s">
        <v>1354</v>
      </c>
      <c r="G33" t="s">
        <v>765</v>
      </c>
      <c r="H33" t="s">
        <v>770</v>
      </c>
    </row>
    <row r="34" spans="1:8" x14ac:dyDescent="0.25">
      <c r="A34" s="31" t="s">
        <v>204</v>
      </c>
      <c r="B34" t="s">
        <v>1361</v>
      </c>
      <c r="C34" t="s">
        <v>1365</v>
      </c>
      <c r="D34" t="s">
        <v>1368</v>
      </c>
      <c r="E34" t="s">
        <v>207</v>
      </c>
      <c r="F34" t="s">
        <v>1373</v>
      </c>
      <c r="G34" t="s">
        <v>765</v>
      </c>
      <c r="H34" t="s">
        <v>770</v>
      </c>
    </row>
    <row r="35" spans="1:8" x14ac:dyDescent="0.25">
      <c r="A35" s="31" t="s">
        <v>208</v>
      </c>
      <c r="B35" t="s">
        <v>1380</v>
      </c>
      <c r="C35" t="s">
        <v>1384</v>
      </c>
      <c r="D35" t="s">
        <v>213</v>
      </c>
      <c r="E35" t="s">
        <v>1389</v>
      </c>
      <c r="F35" t="s">
        <v>1392</v>
      </c>
      <c r="G35" t="s">
        <v>765</v>
      </c>
      <c r="H35" t="s">
        <v>770</v>
      </c>
    </row>
    <row r="36" spans="1:8" x14ac:dyDescent="0.25">
      <c r="A36" s="31" t="s">
        <v>214</v>
      </c>
      <c r="B36" t="s">
        <v>1399</v>
      </c>
      <c r="C36" t="s">
        <v>1403</v>
      </c>
      <c r="D36" t="s">
        <v>1406</v>
      </c>
      <c r="E36" t="s">
        <v>217</v>
      </c>
      <c r="F36" t="s">
        <v>1411</v>
      </c>
      <c r="G36" t="s">
        <v>765</v>
      </c>
      <c r="H36" t="s">
        <v>770</v>
      </c>
    </row>
    <row r="37" spans="1:8" x14ac:dyDescent="0.25">
      <c r="A37" s="31" t="s">
        <v>218</v>
      </c>
      <c r="B37" t="s">
        <v>1418</v>
      </c>
      <c r="C37" t="s">
        <v>1422</v>
      </c>
      <c r="D37" t="s">
        <v>1425</v>
      </c>
      <c r="E37" t="s">
        <v>221</v>
      </c>
      <c r="F37" t="s">
        <v>1430</v>
      </c>
      <c r="G37" t="s">
        <v>765</v>
      </c>
      <c r="H37" t="s">
        <v>770</v>
      </c>
    </row>
    <row r="38" spans="1:8" x14ac:dyDescent="0.25">
      <c r="A38" s="31" t="s">
        <v>222</v>
      </c>
      <c r="B38" t="s">
        <v>1437</v>
      </c>
      <c r="C38" t="s">
        <v>1441</v>
      </c>
      <c r="D38" t="s">
        <v>225</v>
      </c>
      <c r="E38" t="s">
        <v>1446</v>
      </c>
      <c r="F38" t="s">
        <v>1449</v>
      </c>
      <c r="G38" t="s">
        <v>765</v>
      </c>
      <c r="H38" t="s">
        <v>770</v>
      </c>
    </row>
    <row r="39" spans="1:8" x14ac:dyDescent="0.25">
      <c r="A39" s="31" t="s">
        <v>226</v>
      </c>
      <c r="B39" t="s">
        <v>1456</v>
      </c>
      <c r="C39" t="s">
        <v>1460</v>
      </c>
      <c r="D39" t="s">
        <v>230</v>
      </c>
      <c r="E39" t="s">
        <v>1465</v>
      </c>
      <c r="F39" t="s">
        <v>1468</v>
      </c>
      <c r="G39" t="s">
        <v>765</v>
      </c>
      <c r="H39" t="s">
        <v>770</v>
      </c>
    </row>
    <row r="40" spans="1:8" x14ac:dyDescent="0.25">
      <c r="A40" s="31" t="s">
        <v>231</v>
      </c>
      <c r="B40" t="s">
        <v>1475</v>
      </c>
      <c r="C40" t="s">
        <v>1479</v>
      </c>
      <c r="D40" t="s">
        <v>1482</v>
      </c>
      <c r="E40" t="s">
        <v>234</v>
      </c>
      <c r="F40" t="s">
        <v>1487</v>
      </c>
      <c r="G40" t="s">
        <v>765</v>
      </c>
      <c r="H40" t="s">
        <v>770</v>
      </c>
    </row>
    <row r="41" spans="1:8" x14ac:dyDescent="0.25">
      <c r="A41" s="31" t="s">
        <v>235</v>
      </c>
      <c r="B41" t="s">
        <v>1494</v>
      </c>
      <c r="C41" t="s">
        <v>1498</v>
      </c>
      <c r="D41" t="s">
        <v>238</v>
      </c>
      <c r="E41" t="s">
        <v>1503</v>
      </c>
      <c r="F41" t="s">
        <v>1506</v>
      </c>
      <c r="G41" t="s">
        <v>765</v>
      </c>
      <c r="H41" t="s">
        <v>770</v>
      </c>
    </row>
    <row r="42" spans="1:8" x14ac:dyDescent="0.25">
      <c r="A42" s="31" t="s">
        <v>239</v>
      </c>
      <c r="B42" t="s">
        <v>1513</v>
      </c>
      <c r="C42" t="s">
        <v>1517</v>
      </c>
      <c r="D42" t="s">
        <v>242</v>
      </c>
      <c r="E42" t="s">
        <v>1521</v>
      </c>
      <c r="F42" t="s">
        <v>1524</v>
      </c>
      <c r="G42" t="s">
        <v>765</v>
      </c>
      <c r="H42" t="s">
        <v>770</v>
      </c>
    </row>
    <row r="43" spans="1:8" x14ac:dyDescent="0.25">
      <c r="A43" s="31" t="s">
        <v>243</v>
      </c>
      <c r="B43" t="s">
        <v>1531</v>
      </c>
      <c r="C43" t="s">
        <v>1535</v>
      </c>
      <c r="D43" t="s">
        <v>247</v>
      </c>
      <c r="E43" t="s">
        <v>1540</v>
      </c>
      <c r="F43" t="s">
        <v>1543</v>
      </c>
      <c r="G43" t="s">
        <v>765</v>
      </c>
      <c r="H43" t="s">
        <v>770</v>
      </c>
    </row>
    <row r="44" spans="1:8" x14ac:dyDescent="0.25">
      <c r="A44" s="31" t="s">
        <v>248</v>
      </c>
      <c r="B44" t="s">
        <v>1550</v>
      </c>
      <c r="C44" t="s">
        <v>251</v>
      </c>
      <c r="D44" t="s">
        <v>1556</v>
      </c>
      <c r="E44" t="s">
        <v>1559</v>
      </c>
      <c r="F44" t="s">
        <v>1562</v>
      </c>
      <c r="G44" t="s">
        <v>765</v>
      </c>
      <c r="H44" t="s">
        <v>770</v>
      </c>
    </row>
    <row r="45" spans="1:8" x14ac:dyDescent="0.25">
      <c r="A45" s="31" t="s">
        <v>252</v>
      </c>
      <c r="B45" t="s">
        <v>1569</v>
      </c>
      <c r="C45" t="s">
        <v>1573</v>
      </c>
      <c r="D45" t="s">
        <v>1576</v>
      </c>
      <c r="E45" t="s">
        <v>255</v>
      </c>
      <c r="F45" t="s">
        <v>1581</v>
      </c>
      <c r="G45" t="s">
        <v>765</v>
      </c>
      <c r="H45" t="s">
        <v>770</v>
      </c>
    </row>
    <row r="46" spans="1:8" x14ac:dyDescent="0.25">
      <c r="A46" s="31" t="s">
        <v>256</v>
      </c>
      <c r="B46" t="s">
        <v>1588</v>
      </c>
      <c r="C46" t="s">
        <v>1592</v>
      </c>
      <c r="D46" t="s">
        <v>1595</v>
      </c>
      <c r="E46" t="s">
        <v>259</v>
      </c>
      <c r="F46" t="s">
        <v>1600</v>
      </c>
      <c r="G46" t="s">
        <v>765</v>
      </c>
      <c r="H46" t="s">
        <v>770</v>
      </c>
    </row>
    <row r="47" spans="1:8" x14ac:dyDescent="0.25">
      <c r="A47" s="31" t="s">
        <v>260</v>
      </c>
      <c r="B47" t="s">
        <v>1607</v>
      </c>
      <c r="C47" t="s">
        <v>1611</v>
      </c>
      <c r="D47" t="s">
        <v>264</v>
      </c>
      <c r="E47" t="s">
        <v>1616</v>
      </c>
      <c r="F47" t="s">
        <v>1619</v>
      </c>
      <c r="G47" t="s">
        <v>765</v>
      </c>
      <c r="H47" t="s">
        <v>770</v>
      </c>
    </row>
    <row r="48" spans="1:8" x14ac:dyDescent="0.25">
      <c r="A48" s="31" t="s">
        <v>265</v>
      </c>
      <c r="B48" t="s">
        <v>1626</v>
      </c>
      <c r="C48" t="s">
        <v>1630</v>
      </c>
      <c r="D48" t="s">
        <v>268</v>
      </c>
      <c r="E48" t="s">
        <v>1635</v>
      </c>
      <c r="F48" t="s">
        <v>1638</v>
      </c>
      <c r="G48" t="s">
        <v>765</v>
      </c>
      <c r="H48" t="s">
        <v>770</v>
      </c>
    </row>
    <row r="49" spans="1:8" x14ac:dyDescent="0.25">
      <c r="A49" s="31" t="s">
        <v>269</v>
      </c>
      <c r="B49" t="s">
        <v>1645</v>
      </c>
      <c r="C49" t="s">
        <v>272</v>
      </c>
      <c r="D49" t="s">
        <v>1651</v>
      </c>
      <c r="E49" t="s">
        <v>1654</v>
      </c>
      <c r="F49" t="s">
        <v>1657</v>
      </c>
      <c r="G49" t="s">
        <v>765</v>
      </c>
      <c r="H49" t="s">
        <v>770</v>
      </c>
    </row>
    <row r="50" spans="1:8" x14ac:dyDescent="0.25">
      <c r="A50" s="31" t="s">
        <v>273</v>
      </c>
      <c r="B50" t="s">
        <v>1664</v>
      </c>
      <c r="C50" t="s">
        <v>1668</v>
      </c>
      <c r="D50" t="s">
        <v>1671</v>
      </c>
      <c r="E50" t="s">
        <v>276</v>
      </c>
      <c r="F50" t="s">
        <v>1676</v>
      </c>
      <c r="G50" t="s">
        <v>765</v>
      </c>
      <c r="H50" t="s">
        <v>770</v>
      </c>
    </row>
    <row r="51" spans="1:8" x14ac:dyDescent="0.25">
      <c r="A51" s="31" t="s">
        <v>277</v>
      </c>
      <c r="B51" t="s">
        <v>1683</v>
      </c>
      <c r="C51" t="s">
        <v>1687</v>
      </c>
      <c r="D51" t="s">
        <v>1690</v>
      </c>
      <c r="E51" t="s">
        <v>282</v>
      </c>
      <c r="F51" t="s">
        <v>1695</v>
      </c>
      <c r="G51" t="s">
        <v>765</v>
      </c>
      <c r="H51" t="s">
        <v>770</v>
      </c>
    </row>
    <row r="52" spans="1:8" x14ac:dyDescent="0.25">
      <c r="A52" s="31" t="s">
        <v>283</v>
      </c>
      <c r="B52" t="s">
        <v>1702</v>
      </c>
      <c r="C52" t="s">
        <v>1706</v>
      </c>
      <c r="D52" t="s">
        <v>286</v>
      </c>
      <c r="E52" t="s">
        <v>1711</v>
      </c>
      <c r="F52" t="s">
        <v>1714</v>
      </c>
      <c r="G52" t="s">
        <v>765</v>
      </c>
      <c r="H52" t="s">
        <v>770</v>
      </c>
    </row>
    <row r="53" spans="1:8" x14ac:dyDescent="0.25">
      <c r="A53" s="31" t="s">
        <v>287</v>
      </c>
      <c r="B53" t="s">
        <v>1721</v>
      </c>
      <c r="C53" t="s">
        <v>1725</v>
      </c>
      <c r="D53" t="s">
        <v>290</v>
      </c>
      <c r="E53" t="s">
        <v>1730</v>
      </c>
      <c r="F53" t="s">
        <v>1733</v>
      </c>
      <c r="G53" t="s">
        <v>765</v>
      </c>
      <c r="H53" t="s">
        <v>770</v>
      </c>
    </row>
    <row r="54" spans="1:8" x14ac:dyDescent="0.25">
      <c r="A54" s="31" t="s">
        <v>291</v>
      </c>
      <c r="B54" t="s">
        <v>1740</v>
      </c>
      <c r="C54" t="s">
        <v>1744</v>
      </c>
      <c r="D54" t="s">
        <v>294</v>
      </c>
      <c r="E54" t="s">
        <v>1749</v>
      </c>
      <c r="F54" t="s">
        <v>1752</v>
      </c>
      <c r="G54" t="s">
        <v>765</v>
      </c>
      <c r="H54" t="s">
        <v>770</v>
      </c>
    </row>
    <row r="55" spans="1:8" x14ac:dyDescent="0.25">
      <c r="A55" s="31" t="s">
        <v>295</v>
      </c>
      <c r="B55" t="s">
        <v>1759</v>
      </c>
      <c r="C55" t="s">
        <v>299</v>
      </c>
      <c r="D55" t="s">
        <v>1765</v>
      </c>
      <c r="E55" t="s">
        <v>1768</v>
      </c>
      <c r="F55" t="s">
        <v>1771</v>
      </c>
      <c r="G55" t="s">
        <v>765</v>
      </c>
      <c r="H55" t="s">
        <v>770</v>
      </c>
    </row>
    <row r="56" spans="1:8" x14ac:dyDescent="0.25">
      <c r="A56" s="31" t="s">
        <v>300</v>
      </c>
      <c r="B56" t="s">
        <v>1778</v>
      </c>
      <c r="C56" t="s">
        <v>303</v>
      </c>
      <c r="D56" t="s">
        <v>1784</v>
      </c>
      <c r="E56" t="s">
        <v>1787</v>
      </c>
      <c r="F56" t="s">
        <v>1790</v>
      </c>
      <c r="G56" t="s">
        <v>765</v>
      </c>
      <c r="H56" t="s">
        <v>770</v>
      </c>
    </row>
    <row r="57" spans="1:8" x14ac:dyDescent="0.25">
      <c r="A57" s="31" t="s">
        <v>304</v>
      </c>
      <c r="B57" t="s">
        <v>1797</v>
      </c>
      <c r="C57" t="s">
        <v>307</v>
      </c>
      <c r="D57" t="s">
        <v>1803</v>
      </c>
      <c r="E57" t="s">
        <v>1806</v>
      </c>
      <c r="F57" t="s">
        <v>1809</v>
      </c>
      <c r="G57" t="s">
        <v>765</v>
      </c>
      <c r="H57" t="s">
        <v>770</v>
      </c>
    </row>
    <row r="58" spans="1:8" x14ac:dyDescent="0.25">
      <c r="A58" s="31" t="s">
        <v>308</v>
      </c>
      <c r="B58" t="s">
        <v>1816</v>
      </c>
      <c r="C58" t="s">
        <v>311</v>
      </c>
      <c r="D58" t="s">
        <v>1822</v>
      </c>
      <c r="E58" t="s">
        <v>1825</v>
      </c>
      <c r="F58" t="s">
        <v>1828</v>
      </c>
      <c r="G58" t="s">
        <v>765</v>
      </c>
      <c r="H58" t="s">
        <v>770</v>
      </c>
    </row>
    <row r="59" spans="1:8" x14ac:dyDescent="0.25">
      <c r="A59" s="31" t="s">
        <v>312</v>
      </c>
      <c r="B59" t="s">
        <v>1835</v>
      </c>
      <c r="C59" t="s">
        <v>316</v>
      </c>
      <c r="D59" t="s">
        <v>1841</v>
      </c>
      <c r="E59" t="s">
        <v>1844</v>
      </c>
      <c r="F59" t="s">
        <v>1847</v>
      </c>
      <c r="G59" t="s">
        <v>765</v>
      </c>
      <c r="H59" t="s">
        <v>770</v>
      </c>
    </row>
    <row r="60" spans="1:8" x14ac:dyDescent="0.25">
      <c r="A60" s="31" t="s">
        <v>317</v>
      </c>
      <c r="B60" t="s">
        <v>1854</v>
      </c>
      <c r="C60" t="s">
        <v>1858</v>
      </c>
      <c r="D60" t="s">
        <v>320</v>
      </c>
      <c r="E60" t="s">
        <v>1863</v>
      </c>
      <c r="F60" t="s">
        <v>1866</v>
      </c>
      <c r="G60" t="s">
        <v>765</v>
      </c>
      <c r="H60" t="s">
        <v>770</v>
      </c>
    </row>
    <row r="61" spans="1:8" x14ac:dyDescent="0.25">
      <c r="A61" s="31" t="s">
        <v>321</v>
      </c>
      <c r="B61" t="s">
        <v>1873</v>
      </c>
      <c r="C61" t="s">
        <v>1877</v>
      </c>
      <c r="D61" t="s">
        <v>324</v>
      </c>
      <c r="E61" t="s">
        <v>1882</v>
      </c>
      <c r="F61" t="s">
        <v>1885</v>
      </c>
      <c r="G61" t="s">
        <v>765</v>
      </c>
      <c r="H61" t="s">
        <v>770</v>
      </c>
    </row>
    <row r="62" spans="1:8" x14ac:dyDescent="0.25">
      <c r="A62" s="31" t="s">
        <v>325</v>
      </c>
      <c r="B62" t="s">
        <v>1892</v>
      </c>
      <c r="C62" t="s">
        <v>1896</v>
      </c>
      <c r="D62" t="s">
        <v>1898</v>
      </c>
      <c r="E62" t="s">
        <v>328</v>
      </c>
      <c r="F62" t="s">
        <v>1903</v>
      </c>
      <c r="G62" t="s">
        <v>765</v>
      </c>
      <c r="H62" t="s">
        <v>770</v>
      </c>
    </row>
    <row r="63" spans="1:8" x14ac:dyDescent="0.25">
      <c r="A63" s="31" t="s">
        <v>329</v>
      </c>
      <c r="B63" t="s">
        <v>1910</v>
      </c>
      <c r="C63" t="s">
        <v>333</v>
      </c>
      <c r="D63" t="s">
        <v>1916</v>
      </c>
      <c r="E63" t="s">
        <v>1919</v>
      </c>
      <c r="F63" t="s">
        <v>1922</v>
      </c>
      <c r="G63" t="s">
        <v>765</v>
      </c>
      <c r="H63" t="s">
        <v>770</v>
      </c>
    </row>
    <row r="64" spans="1:8" x14ac:dyDescent="0.25">
      <c r="A64" s="31" t="s">
        <v>334</v>
      </c>
      <c r="B64" t="s">
        <v>1929</v>
      </c>
      <c r="C64" t="s">
        <v>1933</v>
      </c>
      <c r="D64" t="s">
        <v>337</v>
      </c>
      <c r="E64" t="s">
        <v>1938</v>
      </c>
      <c r="F64" t="s">
        <v>1941</v>
      </c>
      <c r="G64" t="s">
        <v>765</v>
      </c>
      <c r="H64" t="s">
        <v>770</v>
      </c>
    </row>
    <row r="65" spans="1:8" x14ac:dyDescent="0.25">
      <c r="A65" s="31" t="s">
        <v>338</v>
      </c>
      <c r="B65" t="s">
        <v>1948</v>
      </c>
      <c r="C65" t="s">
        <v>341</v>
      </c>
      <c r="D65" t="s">
        <v>1954</v>
      </c>
      <c r="E65" t="s">
        <v>1957</v>
      </c>
      <c r="F65" t="s">
        <v>1960</v>
      </c>
      <c r="G65" t="s">
        <v>765</v>
      </c>
      <c r="H65" t="s">
        <v>770</v>
      </c>
    </row>
    <row r="66" spans="1:8" x14ac:dyDescent="0.25">
      <c r="A66" s="31" t="s">
        <v>343</v>
      </c>
      <c r="B66" t="s">
        <v>1967</v>
      </c>
      <c r="C66" t="s">
        <v>1971</v>
      </c>
      <c r="D66" t="s">
        <v>1974</v>
      </c>
      <c r="E66" t="s">
        <v>346</v>
      </c>
      <c r="F66" t="s">
        <v>1979</v>
      </c>
      <c r="G66" t="s">
        <v>765</v>
      </c>
      <c r="H66" t="s">
        <v>770</v>
      </c>
    </row>
    <row r="67" spans="1:8" x14ac:dyDescent="0.25">
      <c r="A67" s="31" t="s">
        <v>347</v>
      </c>
      <c r="B67" t="s">
        <v>352</v>
      </c>
      <c r="C67" t="s">
        <v>1989</v>
      </c>
      <c r="D67" t="s">
        <v>1992</v>
      </c>
      <c r="E67" t="s">
        <v>1995</v>
      </c>
      <c r="F67" t="s">
        <v>1998</v>
      </c>
      <c r="G67" t="s">
        <v>765</v>
      </c>
      <c r="H67" t="s">
        <v>770</v>
      </c>
    </row>
    <row r="68" spans="1:8" x14ac:dyDescent="0.25">
      <c r="A68" s="31" t="s">
        <v>353</v>
      </c>
      <c r="B68" t="s">
        <v>356</v>
      </c>
      <c r="C68" t="s">
        <v>2008</v>
      </c>
      <c r="D68" t="s">
        <v>2011</v>
      </c>
      <c r="E68" t="s">
        <v>2014</v>
      </c>
      <c r="F68" t="s">
        <v>2017</v>
      </c>
      <c r="G68" t="s">
        <v>765</v>
      </c>
      <c r="H68" t="s">
        <v>770</v>
      </c>
    </row>
    <row r="69" spans="1:8" x14ac:dyDescent="0.25">
      <c r="A69" s="31" t="s">
        <v>357</v>
      </c>
      <c r="B69" t="s">
        <v>360</v>
      </c>
      <c r="C69" t="s">
        <v>2027</v>
      </c>
      <c r="D69" t="s">
        <v>2030</v>
      </c>
      <c r="E69" t="s">
        <v>2033</v>
      </c>
      <c r="F69" t="s">
        <v>2036</v>
      </c>
      <c r="G69" t="s">
        <v>765</v>
      </c>
      <c r="H69" t="s">
        <v>770</v>
      </c>
    </row>
    <row r="70" spans="1:8" x14ac:dyDescent="0.25">
      <c r="A70" s="31" t="s">
        <v>361</v>
      </c>
      <c r="B70" t="s">
        <v>364</v>
      </c>
      <c r="C70" t="s">
        <v>2046</v>
      </c>
      <c r="D70" t="s">
        <v>2049</v>
      </c>
      <c r="E70" t="s">
        <v>2052</v>
      </c>
      <c r="F70" t="s">
        <v>2055</v>
      </c>
      <c r="G70" t="s">
        <v>765</v>
      </c>
      <c r="H70" t="s">
        <v>770</v>
      </c>
    </row>
    <row r="71" spans="1:8" x14ac:dyDescent="0.25">
      <c r="A71" s="31" t="s">
        <v>365</v>
      </c>
      <c r="B71" t="s">
        <v>2062</v>
      </c>
      <c r="C71" t="s">
        <v>2066</v>
      </c>
      <c r="D71" t="s">
        <v>2069</v>
      </c>
      <c r="E71" t="s">
        <v>369</v>
      </c>
      <c r="F71" t="s">
        <v>2074</v>
      </c>
      <c r="G71" t="s">
        <v>765</v>
      </c>
      <c r="H71" t="s">
        <v>770</v>
      </c>
    </row>
    <row r="72" spans="1:8" x14ac:dyDescent="0.25">
      <c r="A72" s="31" t="s">
        <v>370</v>
      </c>
      <c r="B72" t="s">
        <v>373</v>
      </c>
      <c r="C72" t="s">
        <v>2084</v>
      </c>
      <c r="D72" t="s">
        <v>2087</v>
      </c>
      <c r="E72" t="s">
        <v>2090</v>
      </c>
      <c r="F72" t="s">
        <v>2093</v>
      </c>
      <c r="G72" t="s">
        <v>765</v>
      </c>
      <c r="H72" t="s">
        <v>770</v>
      </c>
    </row>
    <row r="73" spans="1:8" x14ac:dyDescent="0.25">
      <c r="A73" s="31" t="s">
        <v>374</v>
      </c>
      <c r="B73" t="s">
        <v>377</v>
      </c>
      <c r="C73" t="s">
        <v>2103</v>
      </c>
      <c r="D73" t="s">
        <v>2106</v>
      </c>
      <c r="E73" t="s">
        <v>2109</v>
      </c>
      <c r="F73" t="s">
        <v>2112</v>
      </c>
      <c r="G73" t="s">
        <v>765</v>
      </c>
      <c r="H73" t="s">
        <v>770</v>
      </c>
    </row>
    <row r="74" spans="1:8" x14ac:dyDescent="0.25">
      <c r="A74" s="31" t="s">
        <v>378</v>
      </c>
      <c r="B74" t="s">
        <v>382</v>
      </c>
      <c r="C74" t="s">
        <v>2122</v>
      </c>
      <c r="D74" t="s">
        <v>2125</v>
      </c>
      <c r="E74" t="s">
        <v>2128</v>
      </c>
      <c r="F74" t="s">
        <v>2131</v>
      </c>
      <c r="G74" t="s">
        <v>765</v>
      </c>
      <c r="H74" t="s">
        <v>770</v>
      </c>
    </row>
    <row r="75" spans="1:8" x14ac:dyDescent="0.25">
      <c r="A75" s="31" t="s">
        <v>383</v>
      </c>
      <c r="B75" t="s">
        <v>387</v>
      </c>
      <c r="C75" t="s">
        <v>2141</v>
      </c>
      <c r="D75" t="s">
        <v>2144</v>
      </c>
      <c r="E75" t="s">
        <v>2147</v>
      </c>
      <c r="F75" t="s">
        <v>2150</v>
      </c>
      <c r="G75" t="s">
        <v>765</v>
      </c>
      <c r="H75" t="s">
        <v>770</v>
      </c>
    </row>
    <row r="76" spans="1:8" x14ac:dyDescent="0.25">
      <c r="A76" s="31" t="s">
        <v>388</v>
      </c>
      <c r="B76" t="s">
        <v>391</v>
      </c>
      <c r="C76" t="s">
        <v>2160</v>
      </c>
      <c r="D76" t="s">
        <v>2163</v>
      </c>
      <c r="E76" t="s">
        <v>2166</v>
      </c>
      <c r="F76" t="s">
        <v>2169</v>
      </c>
      <c r="G76" t="s">
        <v>765</v>
      </c>
      <c r="H76" t="s">
        <v>770</v>
      </c>
    </row>
    <row r="77" spans="1:8" x14ac:dyDescent="0.25">
      <c r="A77" s="31" t="s">
        <v>392</v>
      </c>
      <c r="B77" t="s">
        <v>395</v>
      </c>
      <c r="C77" t="s">
        <v>2179</v>
      </c>
      <c r="D77" t="s">
        <v>2182</v>
      </c>
      <c r="E77" t="s">
        <v>2185</v>
      </c>
      <c r="F77" t="s">
        <v>2188</v>
      </c>
      <c r="G77" t="s">
        <v>765</v>
      </c>
      <c r="H77" t="s">
        <v>770</v>
      </c>
    </row>
    <row r="78" spans="1:8" x14ac:dyDescent="0.25">
      <c r="A78" s="31" t="s">
        <v>396</v>
      </c>
      <c r="B78" t="s">
        <v>399</v>
      </c>
      <c r="C78" t="s">
        <v>2198</v>
      </c>
      <c r="D78" t="s">
        <v>2201</v>
      </c>
      <c r="E78" t="s">
        <v>2204</v>
      </c>
      <c r="F78" t="s">
        <v>2207</v>
      </c>
      <c r="G78" t="s">
        <v>765</v>
      </c>
      <c r="H78" t="s">
        <v>770</v>
      </c>
    </row>
    <row r="79" spans="1:8" x14ac:dyDescent="0.25">
      <c r="A79" s="31" t="s">
        <v>400</v>
      </c>
      <c r="B79" t="s">
        <v>2214</v>
      </c>
      <c r="C79" t="s">
        <v>2218</v>
      </c>
      <c r="D79" t="s">
        <v>2221</v>
      </c>
      <c r="E79" t="s">
        <v>2224</v>
      </c>
      <c r="F79" t="s">
        <v>404</v>
      </c>
      <c r="G79" t="s">
        <v>765</v>
      </c>
      <c r="H79" t="s">
        <v>770</v>
      </c>
    </row>
    <row r="80" spans="1:8" x14ac:dyDescent="0.25">
      <c r="A80" s="31" t="s">
        <v>405</v>
      </c>
      <c r="B80" t="s">
        <v>2233</v>
      </c>
      <c r="C80" t="s">
        <v>408</v>
      </c>
      <c r="D80" t="s">
        <v>2239</v>
      </c>
      <c r="E80" t="s">
        <v>2242</v>
      </c>
      <c r="F80" t="s">
        <v>2245</v>
      </c>
      <c r="G80" t="s">
        <v>765</v>
      </c>
      <c r="H80" t="s">
        <v>770</v>
      </c>
    </row>
    <row r="81" spans="1:8" x14ac:dyDescent="0.25">
      <c r="A81" s="31" t="s">
        <v>409</v>
      </c>
      <c r="B81" t="s">
        <v>2252</v>
      </c>
      <c r="C81" t="s">
        <v>412</v>
      </c>
      <c r="D81" t="s">
        <v>2258</v>
      </c>
      <c r="E81" t="s">
        <v>2261</v>
      </c>
      <c r="F81" t="s">
        <v>2264</v>
      </c>
      <c r="G81" t="s">
        <v>765</v>
      </c>
      <c r="H81" t="s">
        <v>770</v>
      </c>
    </row>
    <row r="82" spans="1:8" x14ac:dyDescent="0.25">
      <c r="A82" s="31" t="s">
        <v>413</v>
      </c>
      <c r="B82" t="s">
        <v>418</v>
      </c>
      <c r="C82" t="s">
        <v>2274</v>
      </c>
      <c r="D82" t="s">
        <v>2277</v>
      </c>
      <c r="E82" t="s">
        <v>2280</v>
      </c>
      <c r="F82" t="s">
        <v>2283</v>
      </c>
      <c r="G82" t="s">
        <v>765</v>
      </c>
      <c r="H82" t="s">
        <v>770</v>
      </c>
    </row>
    <row r="83" spans="1:8" x14ac:dyDescent="0.25">
      <c r="A83" s="31" t="s">
        <v>419</v>
      </c>
      <c r="B83" t="s">
        <v>422</v>
      </c>
      <c r="C83" t="s">
        <v>2293</v>
      </c>
      <c r="D83" t="s">
        <v>2296</v>
      </c>
      <c r="E83" t="s">
        <v>2299</v>
      </c>
      <c r="F83" t="s">
        <v>2302</v>
      </c>
      <c r="G83" t="s">
        <v>765</v>
      </c>
      <c r="H83" t="s">
        <v>770</v>
      </c>
    </row>
    <row r="84" spans="1:8" x14ac:dyDescent="0.25">
      <c r="A84" s="31" t="s">
        <v>423</v>
      </c>
      <c r="B84" t="s">
        <v>426</v>
      </c>
      <c r="C84" t="s">
        <v>2312</v>
      </c>
      <c r="D84" t="s">
        <v>2315</v>
      </c>
      <c r="E84" t="s">
        <v>2318</v>
      </c>
      <c r="F84" t="s">
        <v>2321</v>
      </c>
      <c r="G84" t="s">
        <v>765</v>
      </c>
      <c r="H84" t="s">
        <v>770</v>
      </c>
    </row>
    <row r="85" spans="1:8" x14ac:dyDescent="0.25">
      <c r="A85" s="31" t="s">
        <v>427</v>
      </c>
      <c r="B85" t="s">
        <v>430</v>
      </c>
      <c r="C85" t="s">
        <v>2331</v>
      </c>
      <c r="D85" t="s">
        <v>2334</v>
      </c>
      <c r="E85" t="s">
        <v>2337</v>
      </c>
      <c r="F85" t="s">
        <v>2340</v>
      </c>
      <c r="G85" t="s">
        <v>765</v>
      </c>
      <c r="H85" t="s">
        <v>770</v>
      </c>
    </row>
    <row r="86" spans="1:8" x14ac:dyDescent="0.25">
      <c r="A86" s="31" t="s">
        <v>431</v>
      </c>
      <c r="B86" t="s">
        <v>435</v>
      </c>
      <c r="C86" t="s">
        <v>2350</v>
      </c>
      <c r="D86" t="s">
        <v>2353</v>
      </c>
      <c r="E86" t="s">
        <v>2356</v>
      </c>
      <c r="F86" t="s">
        <v>2359</v>
      </c>
      <c r="G86" t="s">
        <v>765</v>
      </c>
      <c r="H86" t="s">
        <v>770</v>
      </c>
    </row>
    <row r="87" spans="1:8" x14ac:dyDescent="0.25">
      <c r="A87" s="31" t="s">
        <v>436</v>
      </c>
      <c r="B87" t="s">
        <v>439</v>
      </c>
      <c r="C87" t="s">
        <v>2369</v>
      </c>
      <c r="D87" t="s">
        <v>2372</v>
      </c>
      <c r="E87" t="s">
        <v>2375</v>
      </c>
      <c r="F87" t="s">
        <v>2378</v>
      </c>
      <c r="G87" t="s">
        <v>765</v>
      </c>
      <c r="H87" t="s">
        <v>770</v>
      </c>
    </row>
    <row r="88" spans="1:8" x14ac:dyDescent="0.25">
      <c r="A88" s="31" t="s">
        <v>440</v>
      </c>
      <c r="B88" t="s">
        <v>443</v>
      </c>
      <c r="C88" t="s">
        <v>2387</v>
      </c>
      <c r="D88" t="s">
        <v>2390</v>
      </c>
      <c r="E88" t="s">
        <v>2393</v>
      </c>
      <c r="F88" t="s">
        <v>2396</v>
      </c>
      <c r="G88" t="s">
        <v>765</v>
      </c>
      <c r="H88" t="s">
        <v>770</v>
      </c>
    </row>
    <row r="89" spans="1:8" x14ac:dyDescent="0.25">
      <c r="A89" s="31" t="s">
        <v>444</v>
      </c>
      <c r="B89" t="s">
        <v>447</v>
      </c>
      <c r="C89" t="s">
        <v>2406</v>
      </c>
      <c r="D89" t="s">
        <v>2409</v>
      </c>
      <c r="E89" t="s">
        <v>2412</v>
      </c>
      <c r="F89" t="s">
        <v>2415</v>
      </c>
      <c r="G89" t="s">
        <v>765</v>
      </c>
      <c r="H89" t="s">
        <v>770</v>
      </c>
    </row>
    <row r="90" spans="1:8" x14ac:dyDescent="0.25">
      <c r="A90" s="31" t="s">
        <v>448</v>
      </c>
      <c r="B90" t="s">
        <v>452</v>
      </c>
      <c r="C90" t="s">
        <v>2425</v>
      </c>
      <c r="D90" t="s">
        <v>2428</v>
      </c>
      <c r="E90" t="s">
        <v>2431</v>
      </c>
      <c r="F90" t="s">
        <v>2434</v>
      </c>
      <c r="G90" t="s">
        <v>765</v>
      </c>
      <c r="H90" t="s">
        <v>770</v>
      </c>
    </row>
    <row r="91" spans="1:8" x14ac:dyDescent="0.25">
      <c r="A91" s="31" t="s">
        <v>453</v>
      </c>
      <c r="B91" t="s">
        <v>456</v>
      </c>
      <c r="C91" t="s">
        <v>2444</v>
      </c>
      <c r="D91" t="s">
        <v>2447</v>
      </c>
      <c r="E91" t="s">
        <v>2450</v>
      </c>
      <c r="F91" t="s">
        <v>2453</v>
      </c>
      <c r="G91" t="s">
        <v>765</v>
      </c>
      <c r="H91" t="s">
        <v>770</v>
      </c>
    </row>
    <row r="92" spans="1:8" x14ac:dyDescent="0.25">
      <c r="A92" s="31" t="s">
        <v>457</v>
      </c>
      <c r="B92" t="s">
        <v>460</v>
      </c>
      <c r="C92" t="s">
        <v>2463</v>
      </c>
      <c r="D92" t="s">
        <v>2466</v>
      </c>
      <c r="E92" t="s">
        <v>2469</v>
      </c>
      <c r="F92" t="s">
        <v>2472</v>
      </c>
      <c r="G92" t="s">
        <v>765</v>
      </c>
      <c r="H92" t="s">
        <v>770</v>
      </c>
    </row>
    <row r="93" spans="1:8" x14ac:dyDescent="0.25">
      <c r="A93" s="31" t="s">
        <v>461</v>
      </c>
      <c r="B93" t="s">
        <v>465</v>
      </c>
      <c r="C93" t="s">
        <v>2482</v>
      </c>
      <c r="D93" t="s">
        <v>2485</v>
      </c>
      <c r="E93" t="s">
        <v>2488</v>
      </c>
      <c r="F93" t="s">
        <v>2491</v>
      </c>
      <c r="G93" t="s">
        <v>765</v>
      </c>
      <c r="H93" t="s">
        <v>770</v>
      </c>
    </row>
    <row r="94" spans="1:8" x14ac:dyDescent="0.25">
      <c r="A94" s="31" t="s">
        <v>466</v>
      </c>
      <c r="B94" t="s">
        <v>469</v>
      </c>
      <c r="C94" t="s">
        <v>2501</v>
      </c>
      <c r="D94" t="s">
        <v>2504</v>
      </c>
      <c r="E94" t="s">
        <v>2507</v>
      </c>
      <c r="F94" t="s">
        <v>2510</v>
      </c>
      <c r="G94" t="s">
        <v>765</v>
      </c>
      <c r="H94" t="s">
        <v>770</v>
      </c>
    </row>
    <row r="95" spans="1:8" x14ac:dyDescent="0.25">
      <c r="A95" s="31" t="s">
        <v>470</v>
      </c>
      <c r="B95" t="s">
        <v>473</v>
      </c>
      <c r="C95" t="s">
        <v>2520</v>
      </c>
      <c r="D95" t="s">
        <v>2523</v>
      </c>
      <c r="E95" t="s">
        <v>2526</v>
      </c>
      <c r="F95" t="s">
        <v>2529</v>
      </c>
      <c r="G95" t="s">
        <v>765</v>
      </c>
      <c r="H95" t="s">
        <v>770</v>
      </c>
    </row>
    <row r="96" spans="1:8" x14ac:dyDescent="0.25">
      <c r="A96" s="31" t="s">
        <v>475</v>
      </c>
      <c r="B96" t="s">
        <v>480</v>
      </c>
      <c r="C96" t="s">
        <v>2539</v>
      </c>
      <c r="D96" t="s">
        <v>2542</v>
      </c>
      <c r="E96" t="s">
        <v>2545</v>
      </c>
      <c r="F96" t="s">
        <v>2548</v>
      </c>
      <c r="G96" t="s">
        <v>765</v>
      </c>
      <c r="H96" t="s">
        <v>770</v>
      </c>
    </row>
    <row r="97" spans="1:8" x14ac:dyDescent="0.25">
      <c r="A97" s="31" t="s">
        <v>481</v>
      </c>
      <c r="B97" t="s">
        <v>484</v>
      </c>
      <c r="C97" t="s">
        <v>2558</v>
      </c>
      <c r="D97" t="s">
        <v>2561</v>
      </c>
      <c r="E97" t="s">
        <v>2564</v>
      </c>
      <c r="F97" t="s">
        <v>2567</v>
      </c>
      <c r="G97" t="s">
        <v>765</v>
      </c>
      <c r="H97" t="s">
        <v>770</v>
      </c>
    </row>
    <row r="98" spans="1:8" x14ac:dyDescent="0.25">
      <c r="A98" s="31" t="s">
        <v>485</v>
      </c>
      <c r="B98" t="s">
        <v>488</v>
      </c>
      <c r="C98" t="s">
        <v>2577</v>
      </c>
      <c r="D98" t="s">
        <v>2580</v>
      </c>
      <c r="E98" t="s">
        <v>2583</v>
      </c>
      <c r="F98" t="s">
        <v>2586</v>
      </c>
      <c r="G98" t="s">
        <v>765</v>
      </c>
      <c r="H98" t="s">
        <v>770</v>
      </c>
    </row>
    <row r="99" spans="1:8" x14ac:dyDescent="0.25">
      <c r="A99" s="31" t="s">
        <v>489</v>
      </c>
      <c r="B99" t="s">
        <v>492</v>
      </c>
      <c r="C99" t="s">
        <v>2596</v>
      </c>
      <c r="D99" t="s">
        <v>2599</v>
      </c>
      <c r="E99" t="s">
        <v>2602</v>
      </c>
      <c r="F99" t="s">
        <v>2605</v>
      </c>
      <c r="G99" t="s">
        <v>765</v>
      </c>
      <c r="H99" t="s">
        <v>770</v>
      </c>
    </row>
    <row r="100" spans="1:8" x14ac:dyDescent="0.25">
      <c r="A100" s="31" t="s">
        <v>493</v>
      </c>
      <c r="B100" t="s">
        <v>496</v>
      </c>
      <c r="C100" t="s">
        <v>2615</v>
      </c>
      <c r="D100" t="s">
        <v>2618</v>
      </c>
      <c r="E100" t="s">
        <v>2621</v>
      </c>
      <c r="F100" t="s">
        <v>2624</v>
      </c>
      <c r="G100" t="s">
        <v>765</v>
      </c>
      <c r="H100" t="s">
        <v>770</v>
      </c>
    </row>
    <row r="101" spans="1:8" x14ac:dyDescent="0.25">
      <c r="A101" s="31" t="s">
        <v>497</v>
      </c>
      <c r="B101" t="s">
        <v>501</v>
      </c>
      <c r="C101" t="s">
        <v>2634</v>
      </c>
      <c r="D101" t="s">
        <v>2637</v>
      </c>
      <c r="E101" t="s">
        <v>2640</v>
      </c>
      <c r="F101" t="s">
        <v>2643</v>
      </c>
      <c r="G101" t="s">
        <v>765</v>
      </c>
      <c r="H101" t="s">
        <v>770</v>
      </c>
    </row>
    <row r="102" spans="1:8" x14ac:dyDescent="0.25">
      <c r="A102" s="31" t="s">
        <v>503</v>
      </c>
      <c r="B102" t="s">
        <v>506</v>
      </c>
      <c r="C102" t="s">
        <v>2653</v>
      </c>
      <c r="D102" t="s">
        <v>2656</v>
      </c>
      <c r="E102" t="s">
        <v>2659</v>
      </c>
      <c r="F102" t="s">
        <v>2662</v>
      </c>
      <c r="G102" t="s">
        <v>765</v>
      </c>
      <c r="H102" t="s">
        <v>770</v>
      </c>
    </row>
    <row r="103" spans="1:8" x14ac:dyDescent="0.25">
      <c r="A103" s="31" t="s">
        <v>507</v>
      </c>
      <c r="B103" t="s">
        <v>510</v>
      </c>
      <c r="C103" t="s">
        <v>2672</v>
      </c>
      <c r="D103" t="s">
        <v>2675</v>
      </c>
      <c r="E103" t="s">
        <v>2678</v>
      </c>
      <c r="F103" t="s">
        <v>2681</v>
      </c>
      <c r="G103" t="s">
        <v>765</v>
      </c>
      <c r="H103" t="s">
        <v>770</v>
      </c>
    </row>
    <row r="104" spans="1:8" x14ac:dyDescent="0.25">
      <c r="A104" s="31" t="s">
        <v>511</v>
      </c>
      <c r="B104" t="s">
        <v>514</v>
      </c>
      <c r="C104" t="s">
        <v>2690</v>
      </c>
      <c r="D104" t="s">
        <v>2692</v>
      </c>
      <c r="E104" t="s">
        <v>2695</v>
      </c>
      <c r="F104" t="s">
        <v>2698</v>
      </c>
      <c r="G104" t="s">
        <v>765</v>
      </c>
      <c r="H104" t="s">
        <v>770</v>
      </c>
    </row>
    <row r="105" spans="1:8" x14ac:dyDescent="0.25">
      <c r="A105" s="31" t="s">
        <v>515</v>
      </c>
      <c r="B105" t="s">
        <v>518</v>
      </c>
      <c r="C105" t="s">
        <v>2708</v>
      </c>
      <c r="D105" t="s">
        <v>2711</v>
      </c>
      <c r="E105" t="s">
        <v>2714</v>
      </c>
      <c r="F105" t="s">
        <v>2717</v>
      </c>
      <c r="G105" t="s">
        <v>765</v>
      </c>
      <c r="H105" t="s">
        <v>770</v>
      </c>
    </row>
    <row r="106" spans="1:8" x14ac:dyDescent="0.25">
      <c r="A106" s="31" t="s">
        <v>519</v>
      </c>
      <c r="B106" t="s">
        <v>523</v>
      </c>
      <c r="C106" t="s">
        <v>2727</v>
      </c>
      <c r="D106" t="s">
        <v>2730</v>
      </c>
      <c r="E106" t="s">
        <v>2733</v>
      </c>
      <c r="F106" t="s">
        <v>2736</v>
      </c>
      <c r="G106" t="s">
        <v>765</v>
      </c>
      <c r="H106" t="s">
        <v>770</v>
      </c>
    </row>
    <row r="107" spans="1:8" x14ac:dyDescent="0.25">
      <c r="A107" s="31" t="s">
        <v>524</v>
      </c>
      <c r="B107" t="s">
        <v>527</v>
      </c>
      <c r="C107" t="s">
        <v>2746</v>
      </c>
      <c r="D107" t="s">
        <v>2749</v>
      </c>
      <c r="E107" t="s">
        <v>2752</v>
      </c>
      <c r="F107" t="s">
        <v>2755</v>
      </c>
      <c r="G107" t="s">
        <v>765</v>
      </c>
      <c r="H107" t="s">
        <v>770</v>
      </c>
    </row>
    <row r="108" spans="1:8" x14ac:dyDescent="0.25">
      <c r="A108" s="31" t="s">
        <v>528</v>
      </c>
      <c r="B108" t="s">
        <v>531</v>
      </c>
      <c r="C108" t="s">
        <v>2765</v>
      </c>
      <c r="D108" t="s">
        <v>2768</v>
      </c>
      <c r="E108" t="s">
        <v>2771</v>
      </c>
      <c r="F108" t="s">
        <v>2774</v>
      </c>
      <c r="G108" t="s">
        <v>765</v>
      </c>
      <c r="H108" t="s">
        <v>770</v>
      </c>
    </row>
    <row r="109" spans="1:8" x14ac:dyDescent="0.25">
      <c r="A109" s="31" t="s">
        <v>532</v>
      </c>
      <c r="B109" t="s">
        <v>535</v>
      </c>
      <c r="C109" t="s">
        <v>2784</v>
      </c>
      <c r="D109" t="s">
        <v>2787</v>
      </c>
      <c r="E109" t="s">
        <v>2790</v>
      </c>
      <c r="F109" t="s">
        <v>2793</v>
      </c>
      <c r="G109" t="s">
        <v>765</v>
      </c>
      <c r="H109" t="s">
        <v>770</v>
      </c>
    </row>
    <row r="110" spans="1:8" x14ac:dyDescent="0.25">
      <c r="A110" s="31" t="s">
        <v>536</v>
      </c>
      <c r="B110" t="s">
        <v>541</v>
      </c>
      <c r="C110" t="s">
        <v>2803</v>
      </c>
      <c r="D110" t="s">
        <v>2806</v>
      </c>
      <c r="E110" t="s">
        <v>2809</v>
      </c>
      <c r="F110" t="s">
        <v>2812</v>
      </c>
      <c r="G110" t="s">
        <v>765</v>
      </c>
      <c r="H110" t="s">
        <v>770</v>
      </c>
    </row>
    <row r="111" spans="1:8" x14ac:dyDescent="0.25">
      <c r="A111" s="31" t="s">
        <v>542</v>
      </c>
      <c r="B111" t="s">
        <v>545</v>
      </c>
      <c r="C111" t="s">
        <v>2822</v>
      </c>
      <c r="D111" t="s">
        <v>2825</v>
      </c>
      <c r="E111" t="s">
        <v>2828</v>
      </c>
      <c r="F111" t="s">
        <v>2831</v>
      </c>
      <c r="G111" t="s">
        <v>765</v>
      </c>
      <c r="H111" t="s">
        <v>770</v>
      </c>
    </row>
    <row r="112" spans="1:8" x14ac:dyDescent="0.25">
      <c r="A112" s="31" t="s">
        <v>546</v>
      </c>
      <c r="B112" t="s">
        <v>549</v>
      </c>
      <c r="C112" t="s">
        <v>2841</v>
      </c>
      <c r="D112" t="s">
        <v>2844</v>
      </c>
      <c r="E112" t="s">
        <v>2847</v>
      </c>
      <c r="F112" t="s">
        <v>2850</v>
      </c>
      <c r="G112" t="s">
        <v>765</v>
      </c>
      <c r="H112" t="s">
        <v>770</v>
      </c>
    </row>
    <row r="113" spans="1:8" x14ac:dyDescent="0.25">
      <c r="A113" s="31" t="s">
        <v>550</v>
      </c>
      <c r="B113" t="s">
        <v>553</v>
      </c>
      <c r="C113" t="s">
        <v>2860</v>
      </c>
      <c r="D113" t="s">
        <v>2863</v>
      </c>
      <c r="E113" t="s">
        <v>2866</v>
      </c>
      <c r="F113" t="s">
        <v>2869</v>
      </c>
      <c r="G113" t="s">
        <v>765</v>
      </c>
      <c r="H113" t="s">
        <v>770</v>
      </c>
    </row>
    <row r="114" spans="1:8" x14ac:dyDescent="0.25">
      <c r="A114" s="31" t="s">
        <v>554</v>
      </c>
      <c r="B114" t="s">
        <v>558</v>
      </c>
      <c r="C114" t="s">
        <v>2879</v>
      </c>
      <c r="D114" t="s">
        <v>2882</v>
      </c>
      <c r="E114" t="s">
        <v>2885</v>
      </c>
      <c r="F114" t="s">
        <v>2888</v>
      </c>
      <c r="G114" t="s">
        <v>765</v>
      </c>
      <c r="H114" t="s">
        <v>770</v>
      </c>
    </row>
    <row r="115" spans="1:8" x14ac:dyDescent="0.25">
      <c r="A115" s="31" t="s">
        <v>559</v>
      </c>
      <c r="B115" t="s">
        <v>562</v>
      </c>
      <c r="C115" t="s">
        <v>2898</v>
      </c>
      <c r="D115" t="s">
        <v>2901</v>
      </c>
      <c r="E115" t="s">
        <v>2904</v>
      </c>
      <c r="F115" t="s">
        <v>2907</v>
      </c>
      <c r="G115" t="s">
        <v>765</v>
      </c>
      <c r="H115" t="s">
        <v>770</v>
      </c>
    </row>
    <row r="116" spans="1:8" x14ac:dyDescent="0.25">
      <c r="A116" s="31" t="s">
        <v>564</v>
      </c>
      <c r="B116" t="s">
        <v>567</v>
      </c>
      <c r="C116" t="s">
        <v>2917</v>
      </c>
      <c r="D116" t="s">
        <v>2919</v>
      </c>
      <c r="E116" t="s">
        <v>2922</v>
      </c>
      <c r="F116" t="s">
        <v>2925</v>
      </c>
      <c r="G116" t="s">
        <v>765</v>
      </c>
      <c r="H116" t="s">
        <v>770</v>
      </c>
    </row>
    <row r="117" spans="1:8" x14ac:dyDescent="0.25">
      <c r="A117" s="31" t="s">
        <v>568</v>
      </c>
      <c r="B117" t="s">
        <v>571</v>
      </c>
      <c r="C117" t="s">
        <v>2935</v>
      </c>
      <c r="D117" t="s">
        <v>2938</v>
      </c>
      <c r="E117" t="s">
        <v>2941</v>
      </c>
      <c r="F117" t="s">
        <v>2944</v>
      </c>
      <c r="G117" t="s">
        <v>765</v>
      </c>
      <c r="H117" t="s">
        <v>770</v>
      </c>
    </row>
    <row r="118" spans="1:8" x14ac:dyDescent="0.25">
      <c r="A118" s="31" t="s">
        <v>572</v>
      </c>
      <c r="B118" t="s">
        <v>576</v>
      </c>
      <c r="C118" t="s">
        <v>2954</v>
      </c>
      <c r="D118" t="s">
        <v>2957</v>
      </c>
      <c r="E118" t="s">
        <v>2960</v>
      </c>
      <c r="F118" t="s">
        <v>2963</v>
      </c>
      <c r="G118" t="s">
        <v>765</v>
      </c>
      <c r="H118" t="s">
        <v>770</v>
      </c>
    </row>
    <row r="119" spans="1:8" x14ac:dyDescent="0.25">
      <c r="A119" s="31" t="s">
        <v>577</v>
      </c>
      <c r="B119" t="s">
        <v>580</v>
      </c>
      <c r="C119" t="s">
        <v>2973</v>
      </c>
      <c r="D119" t="s">
        <v>2975</v>
      </c>
      <c r="E119" t="s">
        <v>2978</v>
      </c>
      <c r="F119" t="s">
        <v>2981</v>
      </c>
      <c r="G119" t="s">
        <v>765</v>
      </c>
      <c r="H119" t="s">
        <v>770</v>
      </c>
    </row>
    <row r="120" spans="1:8" x14ac:dyDescent="0.25">
      <c r="A120" s="31" t="s">
        <v>581</v>
      </c>
      <c r="B120" t="s">
        <v>584</v>
      </c>
      <c r="C120" t="s">
        <v>2991</v>
      </c>
      <c r="D120" t="s">
        <v>2994</v>
      </c>
      <c r="E120" t="s">
        <v>2997</v>
      </c>
      <c r="F120" t="s">
        <v>3000</v>
      </c>
      <c r="G120" t="s">
        <v>765</v>
      </c>
      <c r="H120" t="s">
        <v>770</v>
      </c>
    </row>
    <row r="121" spans="1:8" x14ac:dyDescent="0.25">
      <c r="A121" s="31" t="s">
        <v>585</v>
      </c>
      <c r="B121" t="s">
        <v>588</v>
      </c>
      <c r="C121" t="s">
        <v>3010</v>
      </c>
      <c r="D121" t="s">
        <v>3013</v>
      </c>
      <c r="E121" t="s">
        <v>3016</v>
      </c>
      <c r="F121" t="s">
        <v>3019</v>
      </c>
      <c r="G121" t="s">
        <v>765</v>
      </c>
      <c r="H121" t="s">
        <v>770</v>
      </c>
    </row>
    <row r="122" spans="1:8" x14ac:dyDescent="0.25">
      <c r="A122" s="31" t="s">
        <v>589</v>
      </c>
      <c r="B122" t="s">
        <v>593</v>
      </c>
      <c r="C122" t="s">
        <v>3029</v>
      </c>
      <c r="D122" t="s">
        <v>3032</v>
      </c>
      <c r="E122" t="s">
        <v>3035</v>
      </c>
      <c r="F122" t="s">
        <v>3038</v>
      </c>
      <c r="G122" t="s">
        <v>765</v>
      </c>
      <c r="H122" t="s">
        <v>770</v>
      </c>
    </row>
    <row r="123" spans="1:8" x14ac:dyDescent="0.25">
      <c r="A123" s="31" t="s">
        <v>594</v>
      </c>
      <c r="B123" t="s">
        <v>597</v>
      </c>
      <c r="C123" t="s">
        <v>3048</v>
      </c>
      <c r="D123" t="s">
        <v>3051</v>
      </c>
      <c r="E123" t="s">
        <v>3054</v>
      </c>
      <c r="F123" t="s">
        <v>3057</v>
      </c>
      <c r="G123" t="s">
        <v>765</v>
      </c>
      <c r="H123" t="s">
        <v>770</v>
      </c>
    </row>
    <row r="124" spans="1:8" x14ac:dyDescent="0.25">
      <c r="A124" s="31" t="s">
        <v>598</v>
      </c>
      <c r="B124" t="s">
        <v>601</v>
      </c>
      <c r="C124" t="s">
        <v>3067</v>
      </c>
      <c r="D124" t="s">
        <v>3070</v>
      </c>
      <c r="E124" t="s">
        <v>3073</v>
      </c>
      <c r="F124" t="s">
        <v>3076</v>
      </c>
      <c r="G124" t="s">
        <v>765</v>
      </c>
      <c r="H124" t="s">
        <v>770</v>
      </c>
    </row>
    <row r="125" spans="1:8" x14ac:dyDescent="0.25">
      <c r="A125" s="31" t="s">
        <v>602</v>
      </c>
      <c r="B125" t="s">
        <v>605</v>
      </c>
      <c r="C125" t="s">
        <v>3086</v>
      </c>
      <c r="D125" t="s">
        <v>3089</v>
      </c>
      <c r="E125" t="s">
        <v>3092</v>
      </c>
      <c r="F125" t="s">
        <v>3095</v>
      </c>
      <c r="G125" t="s">
        <v>765</v>
      </c>
      <c r="H125" t="s">
        <v>770</v>
      </c>
    </row>
    <row r="126" spans="1:8" x14ac:dyDescent="0.25">
      <c r="A126" s="31" t="s">
        <v>606</v>
      </c>
      <c r="B126" t="s">
        <v>611</v>
      </c>
      <c r="C126" t="s">
        <v>3105</v>
      </c>
      <c r="D126" t="s">
        <v>3108</v>
      </c>
      <c r="E126" t="s">
        <v>3111</v>
      </c>
      <c r="F126" t="s">
        <v>3114</v>
      </c>
      <c r="G126" t="s">
        <v>765</v>
      </c>
      <c r="H126" t="s">
        <v>770</v>
      </c>
    </row>
    <row r="127" spans="1:8" x14ac:dyDescent="0.25">
      <c r="A127" s="31" t="s">
        <v>612</v>
      </c>
      <c r="B127" t="s">
        <v>615</v>
      </c>
      <c r="C127" t="s">
        <v>3124</v>
      </c>
      <c r="D127" t="s">
        <v>3127</v>
      </c>
      <c r="E127" t="s">
        <v>3130</v>
      </c>
      <c r="F127" t="s">
        <v>3133</v>
      </c>
      <c r="G127" t="s">
        <v>765</v>
      </c>
      <c r="H127" t="s">
        <v>770</v>
      </c>
    </row>
    <row r="128" spans="1:8" x14ac:dyDescent="0.25">
      <c r="A128" s="31" t="s">
        <v>616</v>
      </c>
      <c r="B128" t="s">
        <v>619</v>
      </c>
      <c r="C128" t="s">
        <v>3143</v>
      </c>
      <c r="D128" t="s">
        <v>3146</v>
      </c>
      <c r="E128" t="s">
        <v>3149</v>
      </c>
      <c r="F128" t="s">
        <v>3152</v>
      </c>
      <c r="G128" t="s">
        <v>765</v>
      </c>
      <c r="H128" t="s">
        <v>770</v>
      </c>
    </row>
    <row r="129" spans="1:8" x14ac:dyDescent="0.25">
      <c r="A129" s="31" t="s">
        <v>620</v>
      </c>
      <c r="B129" t="s">
        <v>623</v>
      </c>
      <c r="C129" t="s">
        <v>3162</v>
      </c>
      <c r="D129" t="s">
        <v>3165</v>
      </c>
      <c r="E129" t="s">
        <v>3168</v>
      </c>
      <c r="F129" t="s">
        <v>3171</v>
      </c>
      <c r="G129" t="s">
        <v>765</v>
      </c>
      <c r="H129" t="s">
        <v>770</v>
      </c>
    </row>
    <row r="130" spans="1:8" x14ac:dyDescent="0.25">
      <c r="A130" s="31" t="s">
        <v>624</v>
      </c>
      <c r="B130" t="s">
        <v>628</v>
      </c>
      <c r="C130" t="s">
        <v>3181</v>
      </c>
      <c r="D130" t="s">
        <v>3184</v>
      </c>
      <c r="E130" t="s">
        <v>3187</v>
      </c>
      <c r="F130" t="s">
        <v>3190</v>
      </c>
      <c r="G130" t="s">
        <v>765</v>
      </c>
      <c r="H130" t="s">
        <v>770</v>
      </c>
    </row>
    <row r="131" spans="1:8" x14ac:dyDescent="0.25">
      <c r="A131" s="31" t="s">
        <v>629</v>
      </c>
      <c r="B131" t="s">
        <v>632</v>
      </c>
      <c r="C131" t="s">
        <v>3200</v>
      </c>
      <c r="D131" t="s">
        <v>3203</v>
      </c>
      <c r="E131" t="s">
        <v>3206</v>
      </c>
      <c r="F131" t="s">
        <v>3209</v>
      </c>
      <c r="G131" t="s">
        <v>765</v>
      </c>
      <c r="H131" t="s">
        <v>770</v>
      </c>
    </row>
    <row r="132" spans="1:8" x14ac:dyDescent="0.25">
      <c r="A132" s="31" t="s">
        <v>633</v>
      </c>
      <c r="B132" t="s">
        <v>636</v>
      </c>
      <c r="C132" t="s">
        <v>3219</v>
      </c>
      <c r="D132" t="s">
        <v>3222</v>
      </c>
      <c r="E132" t="s">
        <v>3225</v>
      </c>
      <c r="F132" t="s">
        <v>3228</v>
      </c>
      <c r="G132" t="s">
        <v>765</v>
      </c>
      <c r="H132" t="s">
        <v>770</v>
      </c>
    </row>
    <row r="133" spans="1:8" x14ac:dyDescent="0.25">
      <c r="A133" s="31" t="s">
        <v>637</v>
      </c>
      <c r="B133" t="s">
        <v>640</v>
      </c>
      <c r="C133" t="s">
        <v>3238</v>
      </c>
      <c r="D133" t="s">
        <v>3241</v>
      </c>
      <c r="E133" t="s">
        <v>3244</v>
      </c>
      <c r="F133" t="s">
        <v>3247</v>
      </c>
      <c r="G133" t="s">
        <v>765</v>
      </c>
      <c r="H133" t="s">
        <v>770</v>
      </c>
    </row>
    <row r="134" spans="1:8" x14ac:dyDescent="0.25">
      <c r="A134" s="31" t="s">
        <v>641</v>
      </c>
      <c r="B134" t="s">
        <v>645</v>
      </c>
      <c r="C134" t="s">
        <v>3257</v>
      </c>
      <c r="D134" t="s">
        <v>3260</v>
      </c>
      <c r="E134" t="s">
        <v>3263</v>
      </c>
      <c r="F134" t="s">
        <v>3266</v>
      </c>
      <c r="G134" t="s">
        <v>765</v>
      </c>
      <c r="H134" t="s">
        <v>770</v>
      </c>
    </row>
    <row r="135" spans="1:8" x14ac:dyDescent="0.25">
      <c r="A135" s="31" t="s">
        <v>646</v>
      </c>
      <c r="B135" t="s">
        <v>649</v>
      </c>
      <c r="C135" t="s">
        <v>3276</v>
      </c>
      <c r="D135" t="s">
        <v>3279</v>
      </c>
      <c r="E135" t="s">
        <v>3282</v>
      </c>
      <c r="F135" t="s">
        <v>3285</v>
      </c>
      <c r="G135" t="s">
        <v>765</v>
      </c>
      <c r="H135" t="s">
        <v>770</v>
      </c>
    </row>
    <row r="136" spans="1:8" x14ac:dyDescent="0.25">
      <c r="A136" s="31" t="s">
        <v>650</v>
      </c>
      <c r="B136" t="s">
        <v>653</v>
      </c>
      <c r="C136" t="s">
        <v>3295</v>
      </c>
      <c r="D136" t="s">
        <v>3298</v>
      </c>
      <c r="E136" t="s">
        <v>3301</v>
      </c>
      <c r="F136" t="s">
        <v>3304</v>
      </c>
      <c r="G136" t="s">
        <v>765</v>
      </c>
      <c r="H136" t="s">
        <v>770</v>
      </c>
    </row>
    <row r="137" spans="1:8" x14ac:dyDescent="0.25">
      <c r="A137" s="31" t="s">
        <v>654</v>
      </c>
      <c r="B137" t="s">
        <v>657</v>
      </c>
      <c r="C137" t="s">
        <v>3314</v>
      </c>
      <c r="D137" t="s">
        <v>3317</v>
      </c>
      <c r="E137" t="s">
        <v>3320</v>
      </c>
      <c r="F137" t="s">
        <v>3323</v>
      </c>
      <c r="G137" t="s">
        <v>765</v>
      </c>
      <c r="H137" t="s">
        <v>770</v>
      </c>
    </row>
    <row r="138" spans="1:8" x14ac:dyDescent="0.25">
      <c r="A138" s="31" t="s">
        <v>658</v>
      </c>
      <c r="B138" t="s">
        <v>662</v>
      </c>
      <c r="C138" t="s">
        <v>3333</v>
      </c>
      <c r="D138" t="s">
        <v>3336</v>
      </c>
      <c r="E138" t="s">
        <v>3339</v>
      </c>
      <c r="F138" t="s">
        <v>3342</v>
      </c>
      <c r="G138" t="s">
        <v>765</v>
      </c>
      <c r="H138" t="s">
        <v>770</v>
      </c>
    </row>
    <row r="139" spans="1:8" x14ac:dyDescent="0.25">
      <c r="A139" s="31" t="s">
        <v>663</v>
      </c>
      <c r="B139" t="s">
        <v>666</v>
      </c>
      <c r="C139" t="s">
        <v>3352</v>
      </c>
      <c r="D139" t="s">
        <v>3355</v>
      </c>
      <c r="E139" t="s">
        <v>3358</v>
      </c>
      <c r="F139" t="s">
        <v>3361</v>
      </c>
      <c r="G139" t="s">
        <v>765</v>
      </c>
      <c r="H139" t="s">
        <v>770</v>
      </c>
    </row>
    <row r="140" spans="1:8" x14ac:dyDescent="0.25">
      <c r="A140" s="31" t="s">
        <v>667</v>
      </c>
      <c r="B140" t="s">
        <v>670</v>
      </c>
      <c r="C140" t="s">
        <v>3371</v>
      </c>
      <c r="D140" t="s">
        <v>3374</v>
      </c>
      <c r="E140" t="s">
        <v>3377</v>
      </c>
      <c r="F140" t="s">
        <v>3380</v>
      </c>
      <c r="G140" t="s">
        <v>765</v>
      </c>
      <c r="H140" t="s">
        <v>770</v>
      </c>
    </row>
    <row r="141" spans="1:8" x14ac:dyDescent="0.25">
      <c r="A141" s="31" t="s">
        <v>671</v>
      </c>
      <c r="B141" t="s">
        <v>674</v>
      </c>
      <c r="C141" t="s">
        <v>3390</v>
      </c>
      <c r="D141" t="s">
        <v>3393</v>
      </c>
      <c r="E141" t="s">
        <v>3396</v>
      </c>
      <c r="F141" t="s">
        <v>3399</v>
      </c>
      <c r="G141" t="s">
        <v>765</v>
      </c>
      <c r="H141" t="s">
        <v>770</v>
      </c>
    </row>
    <row r="142" spans="1:8" x14ac:dyDescent="0.25">
      <c r="A142" s="31" t="s">
        <v>675</v>
      </c>
      <c r="B142" t="s">
        <v>3406</v>
      </c>
      <c r="C142" t="s">
        <v>3410</v>
      </c>
      <c r="D142" t="s">
        <v>680</v>
      </c>
      <c r="E142" t="s">
        <v>3415</v>
      </c>
      <c r="F142" t="s">
        <v>3418</v>
      </c>
      <c r="G142" t="s">
        <v>765</v>
      </c>
      <c r="H142" t="s">
        <v>770</v>
      </c>
    </row>
    <row r="143" spans="1:8" x14ac:dyDescent="0.25">
      <c r="A143" s="31" t="s">
        <v>681</v>
      </c>
      <c r="B143" t="s">
        <v>684</v>
      </c>
      <c r="C143" t="s">
        <v>3428</v>
      </c>
      <c r="D143" t="s">
        <v>3431</v>
      </c>
      <c r="E143" t="s">
        <v>3434</v>
      </c>
      <c r="F143" t="s">
        <v>3437</v>
      </c>
      <c r="G143" t="s">
        <v>765</v>
      </c>
      <c r="H143" t="s">
        <v>770</v>
      </c>
    </row>
    <row r="144" spans="1:8" x14ac:dyDescent="0.25">
      <c r="A144" s="31" t="s">
        <v>685</v>
      </c>
      <c r="B144" t="s">
        <v>688</v>
      </c>
      <c r="C144" t="s">
        <v>3447</v>
      </c>
      <c r="D144" t="s">
        <v>3450</v>
      </c>
      <c r="E144" t="s">
        <v>3453</v>
      </c>
      <c r="F144" t="s">
        <v>3456</v>
      </c>
      <c r="G144" t="s">
        <v>765</v>
      </c>
      <c r="H144" t="s">
        <v>770</v>
      </c>
    </row>
    <row r="145" spans="1:8" x14ac:dyDescent="0.25">
      <c r="A145" s="31" t="s">
        <v>689</v>
      </c>
      <c r="B145" t="s">
        <v>692</v>
      </c>
      <c r="C145" t="s">
        <v>3466</v>
      </c>
      <c r="D145" t="s">
        <v>3469</v>
      </c>
      <c r="E145" t="s">
        <v>3472</v>
      </c>
      <c r="F145" t="s">
        <v>3475</v>
      </c>
      <c r="G145" t="s">
        <v>765</v>
      </c>
      <c r="H145" t="s">
        <v>770</v>
      </c>
    </row>
    <row r="146" spans="1:8" x14ac:dyDescent="0.25">
      <c r="A146" s="31" t="s">
        <v>693</v>
      </c>
      <c r="B146" t="s">
        <v>697</v>
      </c>
      <c r="C146" t="s">
        <v>3485</v>
      </c>
      <c r="D146" t="s">
        <v>3488</v>
      </c>
      <c r="E146" t="s">
        <v>3491</v>
      </c>
      <c r="F146" t="s">
        <v>3494</v>
      </c>
      <c r="G146" t="s">
        <v>765</v>
      </c>
      <c r="H146" t="s">
        <v>770</v>
      </c>
    </row>
    <row r="147" spans="1:8" x14ac:dyDescent="0.25">
      <c r="A147" s="31" t="s">
        <v>698</v>
      </c>
      <c r="B147" t="s">
        <v>701</v>
      </c>
      <c r="C147" t="s">
        <v>3504</v>
      </c>
      <c r="D147" t="s">
        <v>3507</v>
      </c>
      <c r="E147" t="s">
        <v>3510</v>
      </c>
      <c r="F147" t="s">
        <v>3513</v>
      </c>
      <c r="G147" t="s">
        <v>765</v>
      </c>
      <c r="H147" t="s">
        <v>770</v>
      </c>
    </row>
    <row r="148" spans="1:8" x14ac:dyDescent="0.25">
      <c r="A148" s="31" t="s">
        <v>702</v>
      </c>
      <c r="B148" t="s">
        <v>705</v>
      </c>
      <c r="C148" t="s">
        <v>3523</v>
      </c>
      <c r="D148" t="s">
        <v>3526</v>
      </c>
      <c r="E148" t="s">
        <v>3529</v>
      </c>
      <c r="F148" t="s">
        <v>3532</v>
      </c>
      <c r="G148" t="s">
        <v>765</v>
      </c>
      <c r="H148" t="s">
        <v>770</v>
      </c>
    </row>
    <row r="149" spans="1:8" x14ac:dyDescent="0.25">
      <c r="A149" s="31" t="s">
        <v>706</v>
      </c>
      <c r="B149" t="s">
        <v>709</v>
      </c>
      <c r="C149" t="s">
        <v>3542</v>
      </c>
      <c r="D149" t="s">
        <v>3545</v>
      </c>
      <c r="E149" t="s">
        <v>3548</v>
      </c>
      <c r="F149" t="s">
        <v>3551</v>
      </c>
      <c r="G149" t="s">
        <v>765</v>
      </c>
      <c r="H149" t="s">
        <v>770</v>
      </c>
    </row>
    <row r="150" spans="1:8" x14ac:dyDescent="0.25">
      <c r="A150" s="31" t="s">
        <v>710</v>
      </c>
      <c r="B150" t="s">
        <v>714</v>
      </c>
      <c r="C150" t="s">
        <v>3561</v>
      </c>
      <c r="D150" t="s">
        <v>3564</v>
      </c>
      <c r="E150" t="s">
        <v>3567</v>
      </c>
      <c r="F150" t="s">
        <v>3570</v>
      </c>
      <c r="G150" t="s">
        <v>765</v>
      </c>
      <c r="H150" t="s">
        <v>770</v>
      </c>
    </row>
    <row r="151" spans="1:8" x14ac:dyDescent="0.25">
      <c r="A151" s="31" t="s">
        <v>715</v>
      </c>
      <c r="B151" t="s">
        <v>718</v>
      </c>
      <c r="C151" t="s">
        <v>3580</v>
      </c>
      <c r="D151" t="s">
        <v>3583</v>
      </c>
      <c r="E151" t="s">
        <v>3586</v>
      </c>
      <c r="F151" t="s">
        <v>3589</v>
      </c>
      <c r="G151" t="s">
        <v>765</v>
      </c>
      <c r="H151" t="s">
        <v>770</v>
      </c>
    </row>
    <row r="152" spans="1:8" x14ac:dyDescent="0.25">
      <c r="A152" s="31" t="s">
        <v>719</v>
      </c>
      <c r="B152" t="s">
        <v>722</v>
      </c>
      <c r="C152" t="s">
        <v>3599</v>
      </c>
      <c r="D152" t="s">
        <v>3602</v>
      </c>
      <c r="E152" t="s">
        <v>3605</v>
      </c>
      <c r="F152" t="s">
        <v>3608</v>
      </c>
      <c r="G152" t="s">
        <v>765</v>
      </c>
      <c r="H152" t="s">
        <v>770</v>
      </c>
    </row>
    <row r="153" spans="1:8" x14ac:dyDescent="0.25">
      <c r="A153" s="31" t="s">
        <v>723</v>
      </c>
      <c r="B153" t="s">
        <v>726</v>
      </c>
      <c r="C153" t="s">
        <v>3618</v>
      </c>
      <c r="D153" t="s">
        <v>3621</v>
      </c>
      <c r="E153" t="s">
        <v>3624</v>
      </c>
      <c r="F153" t="s">
        <v>3627</v>
      </c>
      <c r="G153" t="s">
        <v>765</v>
      </c>
      <c r="H153" t="s">
        <v>770</v>
      </c>
    </row>
    <row r="154" spans="1:8" x14ac:dyDescent="0.25">
      <c r="A154" s="31" t="s">
        <v>727</v>
      </c>
      <c r="B154" t="s">
        <v>731</v>
      </c>
      <c r="C154" t="s">
        <v>3637</v>
      </c>
      <c r="D154" t="s">
        <v>3640</v>
      </c>
      <c r="E154" t="s">
        <v>3643</v>
      </c>
      <c r="F154" t="s">
        <v>3646</v>
      </c>
      <c r="G154" t="s">
        <v>765</v>
      </c>
      <c r="H154" t="s">
        <v>770</v>
      </c>
    </row>
    <row r="155" spans="1:8" x14ac:dyDescent="0.25">
      <c r="A155" s="31" t="s">
        <v>732</v>
      </c>
      <c r="B155" t="s">
        <v>735</v>
      </c>
      <c r="C155" t="s">
        <v>3656</v>
      </c>
      <c r="D155" t="s">
        <v>3659</v>
      </c>
      <c r="E155" t="s">
        <v>3662</v>
      </c>
      <c r="F155" t="s">
        <v>3665</v>
      </c>
      <c r="G155" t="s">
        <v>765</v>
      </c>
      <c r="H155" t="s">
        <v>770</v>
      </c>
    </row>
    <row r="156" spans="1:8" x14ac:dyDescent="0.25">
      <c r="A156" s="31" t="s">
        <v>736</v>
      </c>
      <c r="B156" t="s">
        <v>3672</v>
      </c>
      <c r="C156" t="s">
        <v>3676</v>
      </c>
      <c r="D156" t="s">
        <v>3679</v>
      </c>
      <c r="E156" t="s">
        <v>3682</v>
      </c>
      <c r="F156" t="s">
        <v>739</v>
      </c>
      <c r="G156" t="s">
        <v>765</v>
      </c>
      <c r="H156" t="s">
        <v>770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"/>
  <sheetViews>
    <sheetView tabSelected="1" zoomScaleNormal="100" workbookViewId="0">
      <selection activeCell="A2" sqref="A2"/>
    </sheetView>
  </sheetViews>
  <sheetFormatPr defaultRowHeight="15" x14ac:dyDescent="0.25"/>
  <cols>
    <col min="1" max="1" width="16.5703125" customWidth="1"/>
    <col min="2" max="2" width="11.42578125" customWidth="1"/>
    <col min="3" max="3" width="16.7109375" customWidth="1"/>
    <col min="4" max="4" width="14.5703125" customWidth="1"/>
    <col min="5" max="5" width="25.85546875" customWidth="1"/>
    <col min="6" max="6" width="8.5703125" customWidth="1"/>
    <col min="7" max="7" width="19.28515625" customWidth="1"/>
    <col min="8" max="8" width="20.28515625" customWidth="1"/>
    <col min="9" max="9" width="18" customWidth="1"/>
  </cols>
  <sheetData>
    <row r="1" spans="1:9" x14ac:dyDescent="0.25">
      <c r="A1" s="24" t="s">
        <v>5691</v>
      </c>
      <c r="B1" s="29" t="s">
        <v>19</v>
      </c>
      <c r="C1" s="30" t="s">
        <v>5692</v>
      </c>
      <c r="D1" s="30" t="s">
        <v>5693</v>
      </c>
      <c r="E1" s="30" t="s">
        <v>5694</v>
      </c>
      <c r="F1" s="30" t="s">
        <v>5695</v>
      </c>
      <c r="G1" s="30" t="s">
        <v>32</v>
      </c>
      <c r="H1" s="30" t="s">
        <v>35</v>
      </c>
      <c r="I1" s="30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Y8"/>
  <sheetViews>
    <sheetView zoomScaleNormal="100" workbookViewId="0">
      <selection activeCell="A2" sqref="A2"/>
    </sheetView>
  </sheetViews>
  <sheetFormatPr defaultRowHeight="15" x14ac:dyDescent="0.25"/>
  <sheetData>
    <row r="1" spans="1:155" x14ac:dyDescent="0.25">
      <c r="A1" s="31" t="s">
        <v>37</v>
      </c>
      <c r="B1" s="31" t="s">
        <v>48</v>
      </c>
      <c r="C1" s="31" t="s">
        <v>52</v>
      </c>
      <c r="D1" s="31" t="s">
        <v>57</v>
      </c>
      <c r="E1" s="31" t="s">
        <v>62</v>
      </c>
      <c r="F1" s="31" t="s">
        <v>66</v>
      </c>
      <c r="G1" s="31" t="s">
        <v>74</v>
      </c>
      <c r="H1" s="31" t="s">
        <v>81</v>
      </c>
      <c r="I1" s="31" t="s">
        <v>87</v>
      </c>
      <c r="J1" s="31" t="s">
        <v>93</v>
      </c>
      <c r="K1" s="31" t="s">
        <v>98</v>
      </c>
      <c r="L1" s="31" t="s">
        <v>103</v>
      </c>
      <c r="M1" s="31" t="s">
        <v>108</v>
      </c>
      <c r="N1" s="31" t="s">
        <v>113</v>
      </c>
      <c r="O1" s="31" t="s">
        <v>117</v>
      </c>
      <c r="P1" s="31" t="s">
        <v>122</v>
      </c>
      <c r="Q1" s="31" t="s">
        <v>128</v>
      </c>
      <c r="R1" s="31" t="s">
        <v>134</v>
      </c>
      <c r="S1" s="31" t="s">
        <v>140</v>
      </c>
      <c r="T1" s="31" t="s">
        <v>147</v>
      </c>
      <c r="U1" s="31" t="s">
        <v>151</v>
      </c>
      <c r="V1" s="31" t="s">
        <v>155</v>
      </c>
      <c r="W1" s="31" t="s">
        <v>159</v>
      </c>
      <c r="X1" s="31" t="s">
        <v>165</v>
      </c>
      <c r="Y1" s="31" t="s">
        <v>169</v>
      </c>
      <c r="Z1" s="31" t="s">
        <v>173</v>
      </c>
      <c r="AA1" s="31" t="s">
        <v>177</v>
      </c>
      <c r="AB1" s="31" t="s">
        <v>182</v>
      </c>
      <c r="AC1" s="31" t="s">
        <v>186</v>
      </c>
      <c r="AD1" s="31" t="s">
        <v>190</v>
      </c>
      <c r="AE1" s="31" t="s">
        <v>194</v>
      </c>
      <c r="AF1" s="31" t="s">
        <v>200</v>
      </c>
      <c r="AG1" s="31" t="s">
        <v>204</v>
      </c>
      <c r="AH1" s="31" t="s">
        <v>208</v>
      </c>
      <c r="AI1" s="31" t="s">
        <v>214</v>
      </c>
      <c r="AJ1" s="31" t="s">
        <v>218</v>
      </c>
      <c r="AK1" s="31" t="s">
        <v>222</v>
      </c>
      <c r="AL1" s="31" t="s">
        <v>226</v>
      </c>
      <c r="AM1" s="31" t="s">
        <v>231</v>
      </c>
      <c r="AN1" s="31" t="s">
        <v>235</v>
      </c>
      <c r="AO1" s="31" t="s">
        <v>239</v>
      </c>
      <c r="AP1" s="31" t="s">
        <v>243</v>
      </c>
      <c r="AQ1" s="31" t="s">
        <v>248</v>
      </c>
      <c r="AR1" s="31" t="s">
        <v>252</v>
      </c>
      <c r="AS1" s="31" t="s">
        <v>256</v>
      </c>
      <c r="AT1" s="31" t="s">
        <v>260</v>
      </c>
      <c r="AU1" s="31" t="s">
        <v>265</v>
      </c>
      <c r="AV1" s="31" t="s">
        <v>269</v>
      </c>
      <c r="AW1" s="31" t="s">
        <v>273</v>
      </c>
      <c r="AX1" s="31" t="s">
        <v>277</v>
      </c>
      <c r="AY1" s="31" t="s">
        <v>283</v>
      </c>
      <c r="AZ1" s="31" t="s">
        <v>287</v>
      </c>
      <c r="BA1" s="31" t="s">
        <v>291</v>
      </c>
      <c r="BB1" s="31" t="s">
        <v>295</v>
      </c>
      <c r="BC1" s="31" t="s">
        <v>300</v>
      </c>
      <c r="BD1" s="31" t="s">
        <v>304</v>
      </c>
      <c r="BE1" s="31" t="s">
        <v>308</v>
      </c>
      <c r="BF1" s="31" t="s">
        <v>312</v>
      </c>
      <c r="BG1" s="31" t="s">
        <v>317</v>
      </c>
      <c r="BH1" s="31" t="s">
        <v>321</v>
      </c>
      <c r="BI1" s="31" t="s">
        <v>325</v>
      </c>
      <c r="BJ1" s="31" t="s">
        <v>329</v>
      </c>
      <c r="BK1" s="31" t="s">
        <v>334</v>
      </c>
      <c r="BL1" s="31" t="s">
        <v>338</v>
      </c>
      <c r="BM1" s="31" t="s">
        <v>343</v>
      </c>
      <c r="BN1" s="31" t="s">
        <v>347</v>
      </c>
      <c r="BO1" s="31" t="s">
        <v>353</v>
      </c>
      <c r="BP1" s="31" t="s">
        <v>357</v>
      </c>
      <c r="BQ1" s="31" t="s">
        <v>361</v>
      </c>
      <c r="BR1" s="31" t="s">
        <v>365</v>
      </c>
      <c r="BS1" s="31" t="s">
        <v>370</v>
      </c>
      <c r="BT1" s="31" t="s">
        <v>374</v>
      </c>
      <c r="BU1" s="31" t="s">
        <v>378</v>
      </c>
      <c r="BV1" s="31" t="s">
        <v>383</v>
      </c>
      <c r="BW1" s="31" t="s">
        <v>388</v>
      </c>
      <c r="BX1" s="31" t="s">
        <v>392</v>
      </c>
      <c r="BY1" s="31" t="s">
        <v>396</v>
      </c>
      <c r="BZ1" s="31" t="s">
        <v>400</v>
      </c>
      <c r="CA1" s="31" t="s">
        <v>405</v>
      </c>
      <c r="CB1" s="31" t="s">
        <v>409</v>
      </c>
      <c r="CC1" s="31" t="s">
        <v>413</v>
      </c>
      <c r="CD1" s="31" t="s">
        <v>419</v>
      </c>
      <c r="CE1" s="31" t="s">
        <v>423</v>
      </c>
      <c r="CF1" s="31" t="s">
        <v>427</v>
      </c>
      <c r="CG1" s="31" t="s">
        <v>431</v>
      </c>
      <c r="CH1" s="31" t="s">
        <v>436</v>
      </c>
      <c r="CI1" s="31" t="s">
        <v>440</v>
      </c>
      <c r="CJ1" s="31" t="s">
        <v>444</v>
      </c>
      <c r="CK1" s="31" t="s">
        <v>448</v>
      </c>
      <c r="CL1" s="31" t="s">
        <v>453</v>
      </c>
      <c r="CM1" s="31" t="s">
        <v>457</v>
      </c>
      <c r="CN1" s="31" t="s">
        <v>461</v>
      </c>
      <c r="CO1" s="31" t="s">
        <v>466</v>
      </c>
      <c r="CP1" s="31" t="s">
        <v>470</v>
      </c>
      <c r="CQ1" s="31" t="s">
        <v>475</v>
      </c>
      <c r="CR1" s="31" t="s">
        <v>481</v>
      </c>
      <c r="CS1" s="31" t="s">
        <v>485</v>
      </c>
      <c r="CT1" s="31" t="s">
        <v>489</v>
      </c>
      <c r="CU1" s="31" t="s">
        <v>493</v>
      </c>
      <c r="CV1" s="31" t="s">
        <v>497</v>
      </c>
      <c r="CW1" s="31" t="s">
        <v>503</v>
      </c>
      <c r="CX1" s="31" t="s">
        <v>507</v>
      </c>
      <c r="CY1" s="31" t="s">
        <v>511</v>
      </c>
      <c r="CZ1" s="31" t="s">
        <v>515</v>
      </c>
      <c r="DA1" s="31" t="s">
        <v>519</v>
      </c>
      <c r="DB1" s="31" t="s">
        <v>524</v>
      </c>
      <c r="DC1" s="31" t="s">
        <v>528</v>
      </c>
      <c r="DD1" s="31" t="s">
        <v>532</v>
      </c>
      <c r="DE1" s="31" t="s">
        <v>536</v>
      </c>
      <c r="DF1" s="31" t="s">
        <v>542</v>
      </c>
      <c r="DG1" s="31" t="s">
        <v>546</v>
      </c>
      <c r="DH1" s="31" t="s">
        <v>550</v>
      </c>
      <c r="DI1" s="31" t="s">
        <v>554</v>
      </c>
      <c r="DJ1" s="31" t="s">
        <v>559</v>
      </c>
      <c r="DK1" s="31" t="s">
        <v>564</v>
      </c>
      <c r="DL1" s="31" t="s">
        <v>568</v>
      </c>
      <c r="DM1" s="31" t="s">
        <v>572</v>
      </c>
      <c r="DN1" s="31" t="s">
        <v>577</v>
      </c>
      <c r="DO1" s="31" t="s">
        <v>581</v>
      </c>
      <c r="DP1" s="31" t="s">
        <v>585</v>
      </c>
      <c r="DQ1" s="31" t="s">
        <v>589</v>
      </c>
      <c r="DR1" s="31" t="s">
        <v>594</v>
      </c>
      <c r="DS1" s="31" t="s">
        <v>598</v>
      </c>
      <c r="DT1" s="31" t="s">
        <v>602</v>
      </c>
      <c r="DU1" s="31" t="s">
        <v>606</v>
      </c>
      <c r="DV1" s="31" t="s">
        <v>612</v>
      </c>
      <c r="DW1" s="31" t="s">
        <v>616</v>
      </c>
      <c r="DX1" s="31" t="s">
        <v>620</v>
      </c>
      <c r="DY1" s="31" t="s">
        <v>624</v>
      </c>
      <c r="DZ1" s="31" t="s">
        <v>629</v>
      </c>
      <c r="EA1" s="31" t="s">
        <v>633</v>
      </c>
      <c r="EB1" s="31" t="s">
        <v>637</v>
      </c>
      <c r="EC1" s="31" t="s">
        <v>641</v>
      </c>
      <c r="ED1" s="31" t="s">
        <v>646</v>
      </c>
      <c r="EE1" s="31" t="s">
        <v>650</v>
      </c>
      <c r="EF1" s="31" t="s">
        <v>654</v>
      </c>
      <c r="EG1" s="31" t="s">
        <v>658</v>
      </c>
      <c r="EH1" s="31" t="s">
        <v>663</v>
      </c>
      <c r="EI1" s="31" t="s">
        <v>667</v>
      </c>
      <c r="EJ1" s="31" t="s">
        <v>671</v>
      </c>
      <c r="EK1" s="31" t="s">
        <v>675</v>
      </c>
      <c r="EL1" s="31" t="s">
        <v>681</v>
      </c>
      <c r="EM1" s="31" t="s">
        <v>685</v>
      </c>
      <c r="EN1" s="31" t="s">
        <v>689</v>
      </c>
      <c r="EO1" s="31" t="s">
        <v>693</v>
      </c>
      <c r="EP1" s="31" t="s">
        <v>698</v>
      </c>
      <c r="EQ1" s="31" t="s">
        <v>702</v>
      </c>
      <c r="ER1" s="31" t="s">
        <v>706</v>
      </c>
      <c r="ES1" s="31" t="s">
        <v>710</v>
      </c>
      <c r="ET1" s="31" t="s">
        <v>715</v>
      </c>
      <c r="EU1" s="31" t="s">
        <v>719</v>
      </c>
      <c r="EV1" s="31" t="s">
        <v>723</v>
      </c>
      <c r="EW1" s="31" t="s">
        <v>727</v>
      </c>
      <c r="EX1" s="31" t="s">
        <v>732</v>
      </c>
      <c r="EY1" s="31" t="s">
        <v>736</v>
      </c>
    </row>
    <row r="2" spans="1:155" x14ac:dyDescent="0.25">
      <c r="A2" t="s">
        <v>745</v>
      </c>
      <c r="B2" t="s">
        <v>774</v>
      </c>
      <c r="C2" t="s">
        <v>792</v>
      </c>
      <c r="D2" t="s">
        <v>811</v>
      </c>
      <c r="E2" t="s">
        <v>829</v>
      </c>
      <c r="F2" t="s">
        <v>848</v>
      </c>
      <c r="G2" t="s">
        <v>867</v>
      </c>
      <c r="H2" t="s">
        <v>886</v>
      </c>
      <c r="I2" t="s">
        <v>905</v>
      </c>
      <c r="J2" t="s">
        <v>924</v>
      </c>
      <c r="K2" t="s">
        <v>943</v>
      </c>
      <c r="L2" t="s">
        <v>962</v>
      </c>
      <c r="M2" t="s">
        <v>981</v>
      </c>
      <c r="N2" t="s">
        <v>1000</v>
      </c>
      <c r="O2" t="s">
        <v>1019</v>
      </c>
      <c r="P2" t="s">
        <v>1038</v>
      </c>
      <c r="Q2" t="s">
        <v>1057</v>
      </c>
      <c r="R2" t="s">
        <v>1076</v>
      </c>
      <c r="S2" t="s">
        <v>1095</v>
      </c>
      <c r="T2" t="s">
        <v>1114</v>
      </c>
      <c r="U2" t="s">
        <v>1133</v>
      </c>
      <c r="V2" t="s">
        <v>1152</v>
      </c>
      <c r="W2" t="s">
        <v>1171</v>
      </c>
      <c r="X2" t="s">
        <v>1190</v>
      </c>
      <c r="Y2" t="s">
        <v>1209</v>
      </c>
      <c r="Z2" t="s">
        <v>1228</v>
      </c>
      <c r="AA2" t="s">
        <v>1247</v>
      </c>
      <c r="AB2" t="s">
        <v>1266</v>
      </c>
      <c r="AC2" t="s">
        <v>1285</v>
      </c>
      <c r="AD2" t="s">
        <v>1304</v>
      </c>
      <c r="AE2" t="s">
        <v>1323</v>
      </c>
      <c r="AF2" t="s">
        <v>1342</v>
      </c>
      <c r="AG2" t="s">
        <v>1361</v>
      </c>
      <c r="AH2" t="s">
        <v>1380</v>
      </c>
      <c r="AI2" t="s">
        <v>1399</v>
      </c>
      <c r="AJ2" t="s">
        <v>1418</v>
      </c>
      <c r="AK2" t="s">
        <v>1437</v>
      </c>
      <c r="AL2" t="s">
        <v>1456</v>
      </c>
      <c r="AM2" t="s">
        <v>1475</v>
      </c>
      <c r="AN2" t="s">
        <v>1494</v>
      </c>
      <c r="AO2" t="s">
        <v>1513</v>
      </c>
      <c r="AP2" t="s">
        <v>1531</v>
      </c>
      <c r="AQ2" t="s">
        <v>1550</v>
      </c>
      <c r="AR2" t="s">
        <v>1569</v>
      </c>
      <c r="AS2" t="s">
        <v>1588</v>
      </c>
      <c r="AT2" t="s">
        <v>1607</v>
      </c>
      <c r="AU2" t="s">
        <v>1626</v>
      </c>
      <c r="AV2" t="s">
        <v>1645</v>
      </c>
      <c r="AW2" t="s">
        <v>1664</v>
      </c>
      <c r="AX2" t="s">
        <v>1683</v>
      </c>
      <c r="AY2" t="s">
        <v>1702</v>
      </c>
      <c r="AZ2" t="s">
        <v>1721</v>
      </c>
      <c r="BA2" t="s">
        <v>1740</v>
      </c>
      <c r="BB2" t="s">
        <v>1759</v>
      </c>
      <c r="BC2" t="s">
        <v>1778</v>
      </c>
      <c r="BD2" t="s">
        <v>1797</v>
      </c>
      <c r="BE2" t="s">
        <v>1816</v>
      </c>
      <c r="BF2" t="s">
        <v>1835</v>
      </c>
      <c r="BG2" t="s">
        <v>1854</v>
      </c>
      <c r="BH2" t="s">
        <v>1873</v>
      </c>
      <c r="BI2" t="s">
        <v>1892</v>
      </c>
      <c r="BJ2" t="s">
        <v>1910</v>
      </c>
      <c r="BK2" t="s">
        <v>1929</v>
      </c>
      <c r="BL2" t="s">
        <v>1948</v>
      </c>
      <c r="BM2" t="s">
        <v>1967</v>
      </c>
      <c r="BN2" t="s">
        <v>352</v>
      </c>
      <c r="BO2" t="s">
        <v>356</v>
      </c>
      <c r="BP2" t="s">
        <v>360</v>
      </c>
      <c r="BQ2" t="s">
        <v>364</v>
      </c>
      <c r="BR2" t="s">
        <v>2062</v>
      </c>
      <c r="BS2" t="s">
        <v>373</v>
      </c>
      <c r="BT2" t="s">
        <v>377</v>
      </c>
      <c r="BU2" t="s">
        <v>382</v>
      </c>
      <c r="BV2" t="s">
        <v>387</v>
      </c>
      <c r="BW2" t="s">
        <v>391</v>
      </c>
      <c r="BX2" t="s">
        <v>395</v>
      </c>
      <c r="BY2" t="s">
        <v>399</v>
      </c>
      <c r="BZ2" t="s">
        <v>2214</v>
      </c>
      <c r="CA2" t="s">
        <v>2233</v>
      </c>
      <c r="CB2" t="s">
        <v>2252</v>
      </c>
      <c r="CC2" t="s">
        <v>418</v>
      </c>
      <c r="CD2" t="s">
        <v>422</v>
      </c>
      <c r="CE2" t="s">
        <v>426</v>
      </c>
      <c r="CF2" t="s">
        <v>430</v>
      </c>
      <c r="CG2" t="s">
        <v>435</v>
      </c>
      <c r="CH2" t="s">
        <v>439</v>
      </c>
      <c r="CI2" t="s">
        <v>443</v>
      </c>
      <c r="CJ2" t="s">
        <v>447</v>
      </c>
      <c r="CK2" t="s">
        <v>452</v>
      </c>
      <c r="CL2" t="s">
        <v>456</v>
      </c>
      <c r="CM2" t="s">
        <v>460</v>
      </c>
      <c r="CN2" t="s">
        <v>465</v>
      </c>
      <c r="CO2" t="s">
        <v>469</v>
      </c>
      <c r="CP2" t="s">
        <v>473</v>
      </c>
      <c r="CQ2" t="s">
        <v>480</v>
      </c>
      <c r="CR2" t="s">
        <v>484</v>
      </c>
      <c r="CS2" t="s">
        <v>488</v>
      </c>
      <c r="CT2" t="s">
        <v>492</v>
      </c>
      <c r="CU2" t="s">
        <v>496</v>
      </c>
      <c r="CV2" t="s">
        <v>501</v>
      </c>
      <c r="CW2" t="s">
        <v>506</v>
      </c>
      <c r="CX2" t="s">
        <v>510</v>
      </c>
      <c r="CY2" t="s">
        <v>514</v>
      </c>
      <c r="CZ2" t="s">
        <v>518</v>
      </c>
      <c r="DA2" t="s">
        <v>523</v>
      </c>
      <c r="DB2" t="s">
        <v>527</v>
      </c>
      <c r="DC2" t="s">
        <v>531</v>
      </c>
      <c r="DD2" t="s">
        <v>535</v>
      </c>
      <c r="DE2" t="s">
        <v>541</v>
      </c>
      <c r="DF2" t="s">
        <v>545</v>
      </c>
      <c r="DG2" t="s">
        <v>549</v>
      </c>
      <c r="DH2" t="s">
        <v>553</v>
      </c>
      <c r="DI2" t="s">
        <v>558</v>
      </c>
      <c r="DJ2" t="s">
        <v>562</v>
      </c>
      <c r="DK2" t="s">
        <v>567</v>
      </c>
      <c r="DL2" t="s">
        <v>571</v>
      </c>
      <c r="DM2" t="s">
        <v>576</v>
      </c>
      <c r="DN2" t="s">
        <v>580</v>
      </c>
      <c r="DO2" t="s">
        <v>584</v>
      </c>
      <c r="DP2" t="s">
        <v>588</v>
      </c>
      <c r="DQ2" t="s">
        <v>593</v>
      </c>
      <c r="DR2" t="s">
        <v>597</v>
      </c>
      <c r="DS2" t="s">
        <v>601</v>
      </c>
      <c r="DT2" t="s">
        <v>605</v>
      </c>
      <c r="DU2" t="s">
        <v>611</v>
      </c>
      <c r="DV2" t="s">
        <v>615</v>
      </c>
      <c r="DW2" t="s">
        <v>619</v>
      </c>
      <c r="DX2" t="s">
        <v>623</v>
      </c>
      <c r="DY2" t="s">
        <v>628</v>
      </c>
      <c r="DZ2" t="s">
        <v>632</v>
      </c>
      <c r="EA2" t="s">
        <v>636</v>
      </c>
      <c r="EB2" t="s">
        <v>640</v>
      </c>
      <c r="EC2" t="s">
        <v>645</v>
      </c>
      <c r="ED2" t="s">
        <v>649</v>
      </c>
      <c r="EE2" t="s">
        <v>653</v>
      </c>
      <c r="EF2" t="s">
        <v>657</v>
      </c>
      <c r="EG2" t="s">
        <v>662</v>
      </c>
      <c r="EH2" t="s">
        <v>666</v>
      </c>
      <c r="EI2" t="s">
        <v>670</v>
      </c>
      <c r="EJ2" t="s">
        <v>674</v>
      </c>
      <c r="EK2" t="s">
        <v>3406</v>
      </c>
      <c r="EL2" t="s">
        <v>684</v>
      </c>
      <c r="EM2" t="s">
        <v>688</v>
      </c>
      <c r="EN2" t="s">
        <v>692</v>
      </c>
      <c r="EO2" t="s">
        <v>697</v>
      </c>
      <c r="EP2" t="s">
        <v>701</v>
      </c>
      <c r="EQ2" t="s">
        <v>705</v>
      </c>
      <c r="ER2" t="s">
        <v>709</v>
      </c>
      <c r="ES2" t="s">
        <v>714</v>
      </c>
      <c r="ET2" t="s">
        <v>718</v>
      </c>
      <c r="EU2" t="s">
        <v>722</v>
      </c>
      <c r="EV2" t="s">
        <v>726</v>
      </c>
      <c r="EW2" t="s">
        <v>731</v>
      </c>
      <c r="EX2" t="s">
        <v>735</v>
      </c>
      <c r="EY2" t="s">
        <v>3672</v>
      </c>
    </row>
    <row r="3" spans="1:155" x14ac:dyDescent="0.25">
      <c r="A3" t="s">
        <v>751</v>
      </c>
      <c r="B3" t="s">
        <v>777</v>
      </c>
      <c r="C3" t="s">
        <v>796</v>
      </c>
      <c r="D3" t="s">
        <v>814</v>
      </c>
      <c r="E3" t="s">
        <v>65</v>
      </c>
      <c r="F3" t="s">
        <v>852</v>
      </c>
      <c r="G3" t="s">
        <v>78</v>
      </c>
      <c r="H3" t="s">
        <v>890</v>
      </c>
      <c r="I3" t="s">
        <v>91</v>
      </c>
      <c r="J3" t="s">
        <v>928</v>
      </c>
      <c r="K3" t="s">
        <v>947</v>
      </c>
      <c r="L3" t="s">
        <v>966</v>
      </c>
      <c r="M3" t="s">
        <v>985</v>
      </c>
      <c r="N3" t="s">
        <v>1004</v>
      </c>
      <c r="O3" t="s">
        <v>1023</v>
      </c>
      <c r="P3" t="s">
        <v>1042</v>
      </c>
      <c r="Q3" t="s">
        <v>1061</v>
      </c>
      <c r="R3" t="s">
        <v>1080</v>
      </c>
      <c r="S3" t="s">
        <v>1099</v>
      </c>
      <c r="T3" t="s">
        <v>1118</v>
      </c>
      <c r="U3" t="s">
        <v>1137</v>
      </c>
      <c r="V3" t="s">
        <v>158</v>
      </c>
      <c r="W3" t="s">
        <v>163</v>
      </c>
      <c r="X3" t="s">
        <v>168</v>
      </c>
      <c r="Y3" t="s">
        <v>172</v>
      </c>
      <c r="Z3" t="s">
        <v>1232</v>
      </c>
      <c r="AA3" t="s">
        <v>181</v>
      </c>
      <c r="AB3" t="s">
        <v>1270</v>
      </c>
      <c r="AC3" t="s">
        <v>1289</v>
      </c>
      <c r="AD3" t="s">
        <v>1308</v>
      </c>
      <c r="AE3" t="s">
        <v>1327</v>
      </c>
      <c r="AF3" t="s">
        <v>1346</v>
      </c>
      <c r="AG3" t="s">
        <v>1365</v>
      </c>
      <c r="AH3" t="s">
        <v>1384</v>
      </c>
      <c r="AI3" t="s">
        <v>1403</v>
      </c>
      <c r="AJ3" t="s">
        <v>1422</v>
      </c>
      <c r="AK3" t="s">
        <v>1441</v>
      </c>
      <c r="AL3" t="s">
        <v>1460</v>
      </c>
      <c r="AM3" t="s">
        <v>1479</v>
      </c>
      <c r="AN3" t="s">
        <v>1498</v>
      </c>
      <c r="AO3" t="s">
        <v>1517</v>
      </c>
      <c r="AP3" t="s">
        <v>1535</v>
      </c>
      <c r="AQ3" t="s">
        <v>251</v>
      </c>
      <c r="AR3" t="s">
        <v>1573</v>
      </c>
      <c r="AS3" t="s">
        <v>1592</v>
      </c>
      <c r="AT3" t="s">
        <v>1611</v>
      </c>
      <c r="AU3" t="s">
        <v>1630</v>
      </c>
      <c r="AV3" t="s">
        <v>272</v>
      </c>
      <c r="AW3" t="s">
        <v>1668</v>
      </c>
      <c r="AX3" t="s">
        <v>1687</v>
      </c>
      <c r="AY3" t="s">
        <v>1706</v>
      </c>
      <c r="AZ3" t="s">
        <v>1725</v>
      </c>
      <c r="BA3" t="s">
        <v>1744</v>
      </c>
      <c r="BB3" t="s">
        <v>299</v>
      </c>
      <c r="BC3" t="s">
        <v>303</v>
      </c>
      <c r="BD3" t="s">
        <v>307</v>
      </c>
      <c r="BE3" t="s">
        <v>311</v>
      </c>
      <c r="BF3" t="s">
        <v>316</v>
      </c>
      <c r="BG3" t="s">
        <v>1858</v>
      </c>
      <c r="BH3" t="s">
        <v>1877</v>
      </c>
      <c r="BI3" t="s">
        <v>1896</v>
      </c>
      <c r="BJ3" t="s">
        <v>333</v>
      </c>
      <c r="BK3" t="s">
        <v>1933</v>
      </c>
      <c r="BL3" t="s">
        <v>341</v>
      </c>
      <c r="BM3" t="s">
        <v>1971</v>
      </c>
      <c r="BN3" t="s">
        <v>1989</v>
      </c>
      <c r="BO3" t="s">
        <v>2008</v>
      </c>
      <c r="BP3" t="s">
        <v>2027</v>
      </c>
      <c r="BQ3" t="s">
        <v>2046</v>
      </c>
      <c r="BR3" t="s">
        <v>2066</v>
      </c>
      <c r="BS3" t="s">
        <v>2084</v>
      </c>
      <c r="BT3" t="s">
        <v>2103</v>
      </c>
      <c r="BU3" t="s">
        <v>2122</v>
      </c>
      <c r="BV3" t="s">
        <v>2141</v>
      </c>
      <c r="BW3" t="s">
        <v>2160</v>
      </c>
      <c r="BX3" t="s">
        <v>2179</v>
      </c>
      <c r="BY3" t="s">
        <v>2198</v>
      </c>
      <c r="BZ3" t="s">
        <v>2218</v>
      </c>
      <c r="CA3" t="s">
        <v>408</v>
      </c>
      <c r="CB3" t="s">
        <v>412</v>
      </c>
      <c r="CC3" t="s">
        <v>2274</v>
      </c>
      <c r="CD3" t="s">
        <v>2293</v>
      </c>
      <c r="CE3" t="s">
        <v>2312</v>
      </c>
      <c r="CF3" t="s">
        <v>2331</v>
      </c>
      <c r="CG3" t="s">
        <v>2350</v>
      </c>
      <c r="CH3" t="s">
        <v>2369</v>
      </c>
      <c r="CI3" t="s">
        <v>2387</v>
      </c>
      <c r="CJ3" t="s">
        <v>2406</v>
      </c>
      <c r="CK3" t="s">
        <v>2425</v>
      </c>
      <c r="CL3" t="s">
        <v>2444</v>
      </c>
      <c r="CM3" t="s">
        <v>2463</v>
      </c>
      <c r="CN3" t="s">
        <v>2482</v>
      </c>
      <c r="CO3" t="s">
        <v>2501</v>
      </c>
      <c r="CP3" t="s">
        <v>2520</v>
      </c>
      <c r="CQ3" t="s">
        <v>2539</v>
      </c>
      <c r="CR3" t="s">
        <v>2558</v>
      </c>
      <c r="CS3" t="s">
        <v>2577</v>
      </c>
      <c r="CT3" t="s">
        <v>2596</v>
      </c>
      <c r="CU3" t="s">
        <v>2615</v>
      </c>
      <c r="CV3" t="s">
        <v>2634</v>
      </c>
      <c r="CW3" t="s">
        <v>2653</v>
      </c>
      <c r="CX3" t="s">
        <v>2672</v>
      </c>
      <c r="CY3" t="s">
        <v>2690</v>
      </c>
      <c r="CZ3" t="s">
        <v>2708</v>
      </c>
      <c r="DA3" t="s">
        <v>2727</v>
      </c>
      <c r="DB3" t="s">
        <v>2746</v>
      </c>
      <c r="DC3" t="s">
        <v>2765</v>
      </c>
      <c r="DD3" t="s">
        <v>2784</v>
      </c>
      <c r="DE3" t="s">
        <v>2803</v>
      </c>
      <c r="DF3" t="s">
        <v>2822</v>
      </c>
      <c r="DG3" t="s">
        <v>2841</v>
      </c>
      <c r="DH3" t="s">
        <v>2860</v>
      </c>
      <c r="DI3" t="s">
        <v>2879</v>
      </c>
      <c r="DJ3" t="s">
        <v>2898</v>
      </c>
      <c r="DK3" t="s">
        <v>2917</v>
      </c>
      <c r="DL3" t="s">
        <v>2935</v>
      </c>
      <c r="DM3" t="s">
        <v>2954</v>
      </c>
      <c r="DN3" t="s">
        <v>2973</v>
      </c>
      <c r="DO3" t="s">
        <v>2991</v>
      </c>
      <c r="DP3" t="s">
        <v>3010</v>
      </c>
      <c r="DQ3" t="s">
        <v>3029</v>
      </c>
      <c r="DR3" t="s">
        <v>3048</v>
      </c>
      <c r="DS3" t="s">
        <v>3067</v>
      </c>
      <c r="DT3" t="s">
        <v>3086</v>
      </c>
      <c r="DU3" t="s">
        <v>3105</v>
      </c>
      <c r="DV3" t="s">
        <v>3124</v>
      </c>
      <c r="DW3" t="s">
        <v>3143</v>
      </c>
      <c r="DX3" t="s">
        <v>3162</v>
      </c>
      <c r="DY3" t="s">
        <v>3181</v>
      </c>
      <c r="DZ3" t="s">
        <v>3200</v>
      </c>
      <c r="EA3" t="s">
        <v>3219</v>
      </c>
      <c r="EB3" t="s">
        <v>3238</v>
      </c>
      <c r="EC3" t="s">
        <v>3257</v>
      </c>
      <c r="ED3" t="s">
        <v>3276</v>
      </c>
      <c r="EE3" t="s">
        <v>3295</v>
      </c>
      <c r="EF3" t="s">
        <v>3314</v>
      </c>
      <c r="EG3" t="s">
        <v>3333</v>
      </c>
      <c r="EH3" t="s">
        <v>3352</v>
      </c>
      <c r="EI3" t="s">
        <v>3371</v>
      </c>
      <c r="EJ3" t="s">
        <v>3390</v>
      </c>
      <c r="EK3" t="s">
        <v>3410</v>
      </c>
      <c r="EL3" t="s">
        <v>3428</v>
      </c>
      <c r="EM3" t="s">
        <v>3447</v>
      </c>
      <c r="EN3" t="s">
        <v>3466</v>
      </c>
      <c r="EO3" t="s">
        <v>3485</v>
      </c>
      <c r="EP3" t="s">
        <v>3504</v>
      </c>
      <c r="EQ3" t="s">
        <v>3523</v>
      </c>
      <c r="ER3" t="s">
        <v>3542</v>
      </c>
      <c r="ES3" t="s">
        <v>3561</v>
      </c>
      <c r="ET3" t="s">
        <v>3580</v>
      </c>
      <c r="EU3" t="s">
        <v>3599</v>
      </c>
      <c r="EV3" t="s">
        <v>3618</v>
      </c>
      <c r="EW3" t="s">
        <v>3637</v>
      </c>
      <c r="EX3" t="s">
        <v>3656</v>
      </c>
      <c r="EY3" t="s">
        <v>3676</v>
      </c>
    </row>
    <row r="4" spans="1:155" x14ac:dyDescent="0.25">
      <c r="A4" t="s">
        <v>753</v>
      </c>
      <c r="B4" t="s">
        <v>780</v>
      </c>
      <c r="C4" t="s">
        <v>55</v>
      </c>
      <c r="D4" t="s">
        <v>60</v>
      </c>
      <c r="E4" t="s">
        <v>835</v>
      </c>
      <c r="F4" t="s">
        <v>855</v>
      </c>
      <c r="G4" t="s">
        <v>873</v>
      </c>
      <c r="H4" t="s">
        <v>893</v>
      </c>
      <c r="I4" t="s">
        <v>911</v>
      </c>
      <c r="J4" t="s">
        <v>96</v>
      </c>
      <c r="K4" t="s">
        <v>102</v>
      </c>
      <c r="L4" t="s">
        <v>106</v>
      </c>
      <c r="M4" t="s">
        <v>988</v>
      </c>
      <c r="N4" t="s">
        <v>116</v>
      </c>
      <c r="O4" t="s">
        <v>1026</v>
      </c>
      <c r="P4" t="s">
        <v>126</v>
      </c>
      <c r="Q4" t="s">
        <v>132</v>
      </c>
      <c r="R4" t="s">
        <v>1083</v>
      </c>
      <c r="S4" t="s">
        <v>1102</v>
      </c>
      <c r="T4" t="s">
        <v>1121</v>
      </c>
      <c r="U4" t="s">
        <v>154</v>
      </c>
      <c r="V4" t="s">
        <v>1158</v>
      </c>
      <c r="W4" t="s">
        <v>1177</v>
      </c>
      <c r="X4" t="s">
        <v>1196</v>
      </c>
      <c r="Y4" t="s">
        <v>1215</v>
      </c>
      <c r="Z4" t="s">
        <v>176</v>
      </c>
      <c r="AA4" t="s">
        <v>1253</v>
      </c>
      <c r="AB4" t="s">
        <v>1273</v>
      </c>
      <c r="AC4" t="s">
        <v>189</v>
      </c>
      <c r="AD4" t="s">
        <v>1311</v>
      </c>
      <c r="AE4" t="s">
        <v>198</v>
      </c>
      <c r="AF4" t="s">
        <v>1349</v>
      </c>
      <c r="AG4" t="s">
        <v>1368</v>
      </c>
      <c r="AH4" t="s">
        <v>213</v>
      </c>
      <c r="AI4" t="s">
        <v>1406</v>
      </c>
      <c r="AJ4" t="s">
        <v>1425</v>
      </c>
      <c r="AK4" t="s">
        <v>225</v>
      </c>
      <c r="AL4" t="s">
        <v>230</v>
      </c>
      <c r="AM4" t="s">
        <v>1482</v>
      </c>
      <c r="AN4" t="s">
        <v>238</v>
      </c>
      <c r="AO4" t="s">
        <v>242</v>
      </c>
      <c r="AP4" t="s">
        <v>247</v>
      </c>
      <c r="AQ4" t="s">
        <v>1556</v>
      </c>
      <c r="AR4" t="s">
        <v>1576</v>
      </c>
      <c r="AS4" t="s">
        <v>1595</v>
      </c>
      <c r="AT4" t="s">
        <v>264</v>
      </c>
      <c r="AU4" t="s">
        <v>268</v>
      </c>
      <c r="AV4" t="s">
        <v>1651</v>
      </c>
      <c r="AW4" t="s">
        <v>1671</v>
      </c>
      <c r="AX4" t="s">
        <v>1690</v>
      </c>
      <c r="AY4" t="s">
        <v>286</v>
      </c>
      <c r="AZ4" t="s">
        <v>290</v>
      </c>
      <c r="BA4" t="s">
        <v>294</v>
      </c>
      <c r="BB4" t="s">
        <v>1765</v>
      </c>
      <c r="BC4" t="s">
        <v>1784</v>
      </c>
      <c r="BD4" t="s">
        <v>1803</v>
      </c>
      <c r="BE4" t="s">
        <v>1822</v>
      </c>
      <c r="BF4" t="s">
        <v>1841</v>
      </c>
      <c r="BG4" t="s">
        <v>320</v>
      </c>
      <c r="BH4" t="s">
        <v>324</v>
      </c>
      <c r="BI4" t="s">
        <v>1898</v>
      </c>
      <c r="BJ4" t="s">
        <v>1916</v>
      </c>
      <c r="BK4" t="s">
        <v>337</v>
      </c>
      <c r="BL4" t="s">
        <v>1954</v>
      </c>
      <c r="BM4" t="s">
        <v>1974</v>
      </c>
      <c r="BN4" t="s">
        <v>1992</v>
      </c>
      <c r="BO4" t="s">
        <v>2011</v>
      </c>
      <c r="BP4" t="s">
        <v>2030</v>
      </c>
      <c r="BQ4" t="s">
        <v>2049</v>
      </c>
      <c r="BR4" t="s">
        <v>2069</v>
      </c>
      <c r="BS4" t="s">
        <v>2087</v>
      </c>
      <c r="BT4" t="s">
        <v>2106</v>
      </c>
      <c r="BU4" t="s">
        <v>2125</v>
      </c>
      <c r="BV4" t="s">
        <v>2144</v>
      </c>
      <c r="BW4" t="s">
        <v>2163</v>
      </c>
      <c r="BX4" t="s">
        <v>2182</v>
      </c>
      <c r="BY4" t="s">
        <v>2201</v>
      </c>
      <c r="BZ4" t="s">
        <v>2221</v>
      </c>
      <c r="CA4" t="s">
        <v>2239</v>
      </c>
      <c r="CB4" t="s">
        <v>2258</v>
      </c>
      <c r="CC4" t="s">
        <v>2277</v>
      </c>
      <c r="CD4" t="s">
        <v>2296</v>
      </c>
      <c r="CE4" t="s">
        <v>2315</v>
      </c>
      <c r="CF4" t="s">
        <v>2334</v>
      </c>
      <c r="CG4" t="s">
        <v>2353</v>
      </c>
      <c r="CH4" t="s">
        <v>2372</v>
      </c>
      <c r="CI4" t="s">
        <v>2390</v>
      </c>
      <c r="CJ4" t="s">
        <v>2409</v>
      </c>
      <c r="CK4" t="s">
        <v>2428</v>
      </c>
      <c r="CL4" t="s">
        <v>2447</v>
      </c>
      <c r="CM4" t="s">
        <v>2466</v>
      </c>
      <c r="CN4" t="s">
        <v>2485</v>
      </c>
      <c r="CO4" t="s">
        <v>2504</v>
      </c>
      <c r="CP4" t="s">
        <v>2523</v>
      </c>
      <c r="CQ4" t="s">
        <v>2542</v>
      </c>
      <c r="CR4" t="s">
        <v>2561</v>
      </c>
      <c r="CS4" t="s">
        <v>2580</v>
      </c>
      <c r="CT4" t="s">
        <v>2599</v>
      </c>
      <c r="CU4" t="s">
        <v>2618</v>
      </c>
      <c r="CV4" t="s">
        <v>2637</v>
      </c>
      <c r="CW4" t="s">
        <v>2656</v>
      </c>
      <c r="CX4" t="s">
        <v>2675</v>
      </c>
      <c r="CY4" t="s">
        <v>2692</v>
      </c>
      <c r="CZ4" t="s">
        <v>2711</v>
      </c>
      <c r="DA4" t="s">
        <v>2730</v>
      </c>
      <c r="DB4" t="s">
        <v>2749</v>
      </c>
      <c r="DC4" t="s">
        <v>2768</v>
      </c>
      <c r="DD4" t="s">
        <v>2787</v>
      </c>
      <c r="DE4" t="s">
        <v>2806</v>
      </c>
      <c r="DF4" t="s">
        <v>2825</v>
      </c>
      <c r="DG4" t="s">
        <v>2844</v>
      </c>
      <c r="DH4" t="s">
        <v>2863</v>
      </c>
      <c r="DI4" t="s">
        <v>2882</v>
      </c>
      <c r="DJ4" t="s">
        <v>2901</v>
      </c>
      <c r="DK4" t="s">
        <v>2919</v>
      </c>
      <c r="DL4" t="s">
        <v>2938</v>
      </c>
      <c r="DM4" t="s">
        <v>2957</v>
      </c>
      <c r="DN4" t="s">
        <v>2975</v>
      </c>
      <c r="DO4" t="s">
        <v>2994</v>
      </c>
      <c r="DP4" t="s">
        <v>3013</v>
      </c>
      <c r="DQ4" t="s">
        <v>3032</v>
      </c>
      <c r="DR4" t="s">
        <v>3051</v>
      </c>
      <c r="DS4" t="s">
        <v>3070</v>
      </c>
      <c r="DT4" t="s">
        <v>3089</v>
      </c>
      <c r="DU4" t="s">
        <v>3108</v>
      </c>
      <c r="DV4" t="s">
        <v>3127</v>
      </c>
      <c r="DW4" t="s">
        <v>3146</v>
      </c>
      <c r="DX4" t="s">
        <v>3165</v>
      </c>
      <c r="DY4" t="s">
        <v>3184</v>
      </c>
      <c r="DZ4" t="s">
        <v>3203</v>
      </c>
      <c r="EA4" t="s">
        <v>3222</v>
      </c>
      <c r="EB4" t="s">
        <v>3241</v>
      </c>
      <c r="EC4" t="s">
        <v>3260</v>
      </c>
      <c r="ED4" t="s">
        <v>3279</v>
      </c>
      <c r="EE4" t="s">
        <v>3298</v>
      </c>
      <c r="EF4" t="s">
        <v>3317</v>
      </c>
      <c r="EG4" t="s">
        <v>3336</v>
      </c>
      <c r="EH4" t="s">
        <v>3355</v>
      </c>
      <c r="EI4" t="s">
        <v>3374</v>
      </c>
      <c r="EJ4" t="s">
        <v>3393</v>
      </c>
      <c r="EK4" t="s">
        <v>680</v>
      </c>
      <c r="EL4" t="s">
        <v>3431</v>
      </c>
      <c r="EM4" t="s">
        <v>3450</v>
      </c>
      <c r="EN4" t="s">
        <v>3469</v>
      </c>
      <c r="EO4" t="s">
        <v>3488</v>
      </c>
      <c r="EP4" t="s">
        <v>3507</v>
      </c>
      <c r="EQ4" t="s">
        <v>3526</v>
      </c>
      <c r="ER4" t="s">
        <v>3545</v>
      </c>
      <c r="ES4" t="s">
        <v>3564</v>
      </c>
      <c r="ET4" t="s">
        <v>3583</v>
      </c>
      <c r="EU4" t="s">
        <v>3602</v>
      </c>
      <c r="EV4" t="s">
        <v>3621</v>
      </c>
      <c r="EW4" t="s">
        <v>3640</v>
      </c>
      <c r="EX4" t="s">
        <v>3659</v>
      </c>
      <c r="EY4" t="s">
        <v>3679</v>
      </c>
    </row>
    <row r="5" spans="1:155" x14ac:dyDescent="0.25">
      <c r="A5" t="s">
        <v>45</v>
      </c>
      <c r="B5" t="s">
        <v>51</v>
      </c>
      <c r="C5" t="s">
        <v>801</v>
      </c>
      <c r="D5" t="s">
        <v>819</v>
      </c>
      <c r="E5" t="s">
        <v>838</v>
      </c>
      <c r="F5" t="s">
        <v>71</v>
      </c>
      <c r="G5" t="s">
        <v>876</v>
      </c>
      <c r="H5" t="s">
        <v>896</v>
      </c>
      <c r="I5" t="s">
        <v>914</v>
      </c>
      <c r="J5" t="s">
        <v>933</v>
      </c>
      <c r="K5" t="s">
        <v>952</v>
      </c>
      <c r="L5" t="s">
        <v>971</v>
      </c>
      <c r="M5" t="s">
        <v>111</v>
      </c>
      <c r="N5" t="s">
        <v>1009</v>
      </c>
      <c r="O5" t="s">
        <v>120</v>
      </c>
      <c r="P5" t="s">
        <v>1047</v>
      </c>
      <c r="Q5" t="s">
        <v>1066</v>
      </c>
      <c r="R5" t="s">
        <v>138</v>
      </c>
      <c r="S5" t="s">
        <v>145</v>
      </c>
      <c r="T5" t="s">
        <v>150</v>
      </c>
      <c r="U5" t="s">
        <v>1142</v>
      </c>
      <c r="V5" t="s">
        <v>1161</v>
      </c>
      <c r="W5" t="s">
        <v>1180</v>
      </c>
      <c r="X5" t="s">
        <v>1199</v>
      </c>
      <c r="Y5" t="s">
        <v>1218</v>
      </c>
      <c r="Z5" t="s">
        <v>1237</v>
      </c>
      <c r="AA5" t="s">
        <v>1256</v>
      </c>
      <c r="AB5" t="s">
        <v>1276</v>
      </c>
      <c r="AC5" t="s">
        <v>1294</v>
      </c>
      <c r="AD5" t="s">
        <v>193</v>
      </c>
      <c r="AE5" t="s">
        <v>1332</v>
      </c>
      <c r="AF5" t="s">
        <v>203</v>
      </c>
      <c r="AG5" t="s">
        <v>207</v>
      </c>
      <c r="AH5" t="s">
        <v>1389</v>
      </c>
      <c r="AI5" t="s">
        <v>217</v>
      </c>
      <c r="AJ5" t="s">
        <v>221</v>
      </c>
      <c r="AK5" t="s">
        <v>1446</v>
      </c>
      <c r="AL5" t="s">
        <v>1465</v>
      </c>
      <c r="AM5" t="s">
        <v>234</v>
      </c>
      <c r="AN5" t="s">
        <v>1503</v>
      </c>
      <c r="AO5" t="s">
        <v>1521</v>
      </c>
      <c r="AP5" t="s">
        <v>1540</v>
      </c>
      <c r="AQ5" t="s">
        <v>1559</v>
      </c>
      <c r="AR5" t="s">
        <v>255</v>
      </c>
      <c r="AS5" t="s">
        <v>259</v>
      </c>
      <c r="AT5" t="s">
        <v>1616</v>
      </c>
      <c r="AU5" t="s">
        <v>1635</v>
      </c>
      <c r="AV5" t="s">
        <v>1654</v>
      </c>
      <c r="AW5" t="s">
        <v>276</v>
      </c>
      <c r="AX5" t="s">
        <v>282</v>
      </c>
      <c r="AY5" t="s">
        <v>1711</v>
      </c>
      <c r="AZ5" t="s">
        <v>1730</v>
      </c>
      <c r="BA5" t="s">
        <v>1749</v>
      </c>
      <c r="BB5" t="s">
        <v>1768</v>
      </c>
      <c r="BC5" t="s">
        <v>1787</v>
      </c>
      <c r="BD5" t="s">
        <v>1806</v>
      </c>
      <c r="BE5" t="s">
        <v>1825</v>
      </c>
      <c r="BF5" t="s">
        <v>1844</v>
      </c>
      <c r="BG5" t="s">
        <v>1863</v>
      </c>
      <c r="BH5" t="s">
        <v>1882</v>
      </c>
      <c r="BI5" t="s">
        <v>328</v>
      </c>
      <c r="BJ5" t="s">
        <v>1919</v>
      </c>
      <c r="BK5" t="s">
        <v>1938</v>
      </c>
      <c r="BL5" t="s">
        <v>1957</v>
      </c>
      <c r="BM5" t="s">
        <v>346</v>
      </c>
      <c r="BN5" t="s">
        <v>1995</v>
      </c>
      <c r="BO5" t="s">
        <v>2014</v>
      </c>
      <c r="BP5" t="s">
        <v>2033</v>
      </c>
      <c r="BQ5" t="s">
        <v>2052</v>
      </c>
      <c r="BR5" t="s">
        <v>369</v>
      </c>
      <c r="BS5" t="s">
        <v>2090</v>
      </c>
      <c r="BT5" t="s">
        <v>2109</v>
      </c>
      <c r="BU5" t="s">
        <v>2128</v>
      </c>
      <c r="BV5" t="s">
        <v>2147</v>
      </c>
      <c r="BW5" t="s">
        <v>2166</v>
      </c>
      <c r="BX5" t="s">
        <v>2185</v>
      </c>
      <c r="BY5" t="s">
        <v>2204</v>
      </c>
      <c r="BZ5" t="s">
        <v>2224</v>
      </c>
      <c r="CA5" t="s">
        <v>2242</v>
      </c>
      <c r="CB5" t="s">
        <v>2261</v>
      </c>
      <c r="CC5" t="s">
        <v>2280</v>
      </c>
      <c r="CD5" t="s">
        <v>2299</v>
      </c>
      <c r="CE5" t="s">
        <v>2318</v>
      </c>
      <c r="CF5" t="s">
        <v>2337</v>
      </c>
      <c r="CG5" t="s">
        <v>2356</v>
      </c>
      <c r="CH5" t="s">
        <v>2375</v>
      </c>
      <c r="CI5" t="s">
        <v>2393</v>
      </c>
      <c r="CJ5" t="s">
        <v>2412</v>
      </c>
      <c r="CK5" t="s">
        <v>2431</v>
      </c>
      <c r="CL5" t="s">
        <v>2450</v>
      </c>
      <c r="CM5" t="s">
        <v>2469</v>
      </c>
      <c r="CN5" t="s">
        <v>2488</v>
      </c>
      <c r="CO5" t="s">
        <v>2507</v>
      </c>
      <c r="CP5" t="s">
        <v>2526</v>
      </c>
      <c r="CQ5" t="s">
        <v>2545</v>
      </c>
      <c r="CR5" t="s">
        <v>2564</v>
      </c>
      <c r="CS5" t="s">
        <v>2583</v>
      </c>
      <c r="CT5" t="s">
        <v>2602</v>
      </c>
      <c r="CU5" t="s">
        <v>2621</v>
      </c>
      <c r="CV5" t="s">
        <v>2640</v>
      </c>
      <c r="CW5" t="s">
        <v>2659</v>
      </c>
      <c r="CX5" t="s">
        <v>2678</v>
      </c>
      <c r="CY5" t="s">
        <v>2695</v>
      </c>
      <c r="CZ5" t="s">
        <v>2714</v>
      </c>
      <c r="DA5" t="s">
        <v>2733</v>
      </c>
      <c r="DB5" t="s">
        <v>2752</v>
      </c>
      <c r="DC5" t="s">
        <v>2771</v>
      </c>
      <c r="DD5" t="s">
        <v>2790</v>
      </c>
      <c r="DE5" t="s">
        <v>2809</v>
      </c>
      <c r="DF5" t="s">
        <v>2828</v>
      </c>
      <c r="DG5" t="s">
        <v>2847</v>
      </c>
      <c r="DH5" t="s">
        <v>2866</v>
      </c>
      <c r="DI5" t="s">
        <v>2885</v>
      </c>
      <c r="DJ5" t="s">
        <v>2904</v>
      </c>
      <c r="DK5" t="s">
        <v>2922</v>
      </c>
      <c r="DL5" t="s">
        <v>2941</v>
      </c>
      <c r="DM5" t="s">
        <v>2960</v>
      </c>
      <c r="DN5" t="s">
        <v>2978</v>
      </c>
      <c r="DO5" t="s">
        <v>2997</v>
      </c>
      <c r="DP5" t="s">
        <v>3016</v>
      </c>
      <c r="DQ5" t="s">
        <v>3035</v>
      </c>
      <c r="DR5" t="s">
        <v>3054</v>
      </c>
      <c r="DS5" t="s">
        <v>3073</v>
      </c>
      <c r="DT5" t="s">
        <v>3092</v>
      </c>
      <c r="DU5" t="s">
        <v>3111</v>
      </c>
      <c r="DV5" t="s">
        <v>3130</v>
      </c>
      <c r="DW5" t="s">
        <v>3149</v>
      </c>
      <c r="DX5" t="s">
        <v>3168</v>
      </c>
      <c r="DY5" t="s">
        <v>3187</v>
      </c>
      <c r="DZ5" t="s">
        <v>3206</v>
      </c>
      <c r="EA5" t="s">
        <v>3225</v>
      </c>
      <c r="EB5" t="s">
        <v>3244</v>
      </c>
      <c r="EC5" t="s">
        <v>3263</v>
      </c>
      <c r="ED5" t="s">
        <v>3282</v>
      </c>
      <c r="EE5" t="s">
        <v>3301</v>
      </c>
      <c r="EF5" t="s">
        <v>3320</v>
      </c>
      <c r="EG5" t="s">
        <v>3339</v>
      </c>
      <c r="EH5" t="s">
        <v>3358</v>
      </c>
      <c r="EI5" t="s">
        <v>3377</v>
      </c>
      <c r="EJ5" t="s">
        <v>3396</v>
      </c>
      <c r="EK5" t="s">
        <v>3415</v>
      </c>
      <c r="EL5" t="s">
        <v>3434</v>
      </c>
      <c r="EM5" t="s">
        <v>3453</v>
      </c>
      <c r="EN5" t="s">
        <v>3472</v>
      </c>
      <c r="EO5" t="s">
        <v>3491</v>
      </c>
      <c r="EP5" t="s">
        <v>3510</v>
      </c>
      <c r="EQ5" t="s">
        <v>3529</v>
      </c>
      <c r="ER5" t="s">
        <v>3548</v>
      </c>
      <c r="ES5" t="s">
        <v>3567</v>
      </c>
      <c r="ET5" t="s">
        <v>3586</v>
      </c>
      <c r="EU5" t="s">
        <v>3605</v>
      </c>
      <c r="EV5" t="s">
        <v>3624</v>
      </c>
      <c r="EW5" t="s">
        <v>3643</v>
      </c>
      <c r="EX5" t="s">
        <v>3662</v>
      </c>
      <c r="EY5" t="s">
        <v>3682</v>
      </c>
    </row>
    <row r="6" spans="1:155" x14ac:dyDescent="0.25">
      <c r="A6" t="s">
        <v>761</v>
      </c>
      <c r="B6" t="s">
        <v>785</v>
      </c>
      <c r="C6" t="s">
        <v>804</v>
      </c>
      <c r="D6" t="s">
        <v>822</v>
      </c>
      <c r="E6" t="s">
        <v>841</v>
      </c>
      <c r="F6" t="s">
        <v>860</v>
      </c>
      <c r="G6" t="s">
        <v>879</v>
      </c>
      <c r="H6" t="s">
        <v>84</v>
      </c>
      <c r="I6" t="s">
        <v>917</v>
      </c>
      <c r="J6" t="s">
        <v>936</v>
      </c>
      <c r="K6" t="s">
        <v>955</v>
      </c>
      <c r="L6" t="s">
        <v>974</v>
      </c>
      <c r="M6" t="s">
        <v>993</v>
      </c>
      <c r="N6" t="s">
        <v>1012</v>
      </c>
      <c r="O6" t="s">
        <v>1031</v>
      </c>
      <c r="P6" t="s">
        <v>1050</v>
      </c>
      <c r="Q6" t="s">
        <v>1069</v>
      </c>
      <c r="R6" t="s">
        <v>1088</v>
      </c>
      <c r="S6" t="s">
        <v>1107</v>
      </c>
      <c r="T6" t="s">
        <v>1126</v>
      </c>
      <c r="U6" t="s">
        <v>1145</v>
      </c>
      <c r="V6" t="s">
        <v>1164</v>
      </c>
      <c r="W6" t="s">
        <v>1183</v>
      </c>
      <c r="X6" t="s">
        <v>1202</v>
      </c>
      <c r="Y6" t="s">
        <v>1221</v>
      </c>
      <c r="Z6" t="s">
        <v>1240</v>
      </c>
      <c r="AA6" t="s">
        <v>1259</v>
      </c>
      <c r="AB6" t="s">
        <v>185</v>
      </c>
      <c r="AC6" t="s">
        <v>1297</v>
      </c>
      <c r="AD6" t="s">
        <v>1316</v>
      </c>
      <c r="AE6" t="s">
        <v>1335</v>
      </c>
      <c r="AF6" t="s">
        <v>1354</v>
      </c>
      <c r="AG6" t="s">
        <v>1373</v>
      </c>
      <c r="AH6" t="s">
        <v>1392</v>
      </c>
      <c r="AI6" t="s">
        <v>1411</v>
      </c>
      <c r="AJ6" t="s">
        <v>1430</v>
      </c>
      <c r="AK6" t="s">
        <v>1449</v>
      </c>
      <c r="AL6" t="s">
        <v>1468</v>
      </c>
      <c r="AM6" t="s">
        <v>1487</v>
      </c>
      <c r="AN6" t="s">
        <v>1506</v>
      </c>
      <c r="AO6" t="s">
        <v>1524</v>
      </c>
      <c r="AP6" t="s">
        <v>1543</v>
      </c>
      <c r="AQ6" t="s">
        <v>1562</v>
      </c>
      <c r="AR6" t="s">
        <v>1581</v>
      </c>
      <c r="AS6" t="s">
        <v>1600</v>
      </c>
      <c r="AT6" t="s">
        <v>1619</v>
      </c>
      <c r="AU6" t="s">
        <v>1638</v>
      </c>
      <c r="AV6" t="s">
        <v>1657</v>
      </c>
      <c r="AW6" t="s">
        <v>1676</v>
      </c>
      <c r="AX6" t="s">
        <v>1695</v>
      </c>
      <c r="AY6" t="s">
        <v>1714</v>
      </c>
      <c r="AZ6" t="s">
        <v>1733</v>
      </c>
      <c r="BA6" t="s">
        <v>1752</v>
      </c>
      <c r="BB6" t="s">
        <v>1771</v>
      </c>
      <c r="BC6" t="s">
        <v>1790</v>
      </c>
      <c r="BD6" t="s">
        <v>1809</v>
      </c>
      <c r="BE6" t="s">
        <v>1828</v>
      </c>
      <c r="BF6" t="s">
        <v>1847</v>
      </c>
      <c r="BG6" t="s">
        <v>1866</v>
      </c>
      <c r="BH6" t="s">
        <v>1885</v>
      </c>
      <c r="BI6" t="s">
        <v>1903</v>
      </c>
      <c r="BJ6" t="s">
        <v>1922</v>
      </c>
      <c r="BK6" t="s">
        <v>1941</v>
      </c>
      <c r="BL6" t="s">
        <v>1960</v>
      </c>
      <c r="BM6" t="s">
        <v>1979</v>
      </c>
      <c r="BN6" t="s">
        <v>1998</v>
      </c>
      <c r="BO6" t="s">
        <v>2017</v>
      </c>
      <c r="BP6" t="s">
        <v>2036</v>
      </c>
      <c r="BQ6" t="s">
        <v>2055</v>
      </c>
      <c r="BR6" t="s">
        <v>2074</v>
      </c>
      <c r="BS6" t="s">
        <v>2093</v>
      </c>
      <c r="BT6" t="s">
        <v>2112</v>
      </c>
      <c r="BU6" t="s">
        <v>2131</v>
      </c>
      <c r="BV6" t="s">
        <v>2150</v>
      </c>
      <c r="BW6" t="s">
        <v>2169</v>
      </c>
      <c r="BX6" t="s">
        <v>2188</v>
      </c>
      <c r="BY6" t="s">
        <v>2207</v>
      </c>
      <c r="BZ6" t="s">
        <v>404</v>
      </c>
      <c r="CA6" t="s">
        <v>2245</v>
      </c>
      <c r="CB6" t="s">
        <v>2264</v>
      </c>
      <c r="CC6" t="s">
        <v>2283</v>
      </c>
      <c r="CD6" t="s">
        <v>2302</v>
      </c>
      <c r="CE6" t="s">
        <v>2321</v>
      </c>
      <c r="CF6" t="s">
        <v>2340</v>
      </c>
      <c r="CG6" t="s">
        <v>2359</v>
      </c>
      <c r="CH6" t="s">
        <v>2378</v>
      </c>
      <c r="CI6" t="s">
        <v>2396</v>
      </c>
      <c r="CJ6" t="s">
        <v>2415</v>
      </c>
      <c r="CK6" t="s">
        <v>2434</v>
      </c>
      <c r="CL6" t="s">
        <v>2453</v>
      </c>
      <c r="CM6" t="s">
        <v>2472</v>
      </c>
      <c r="CN6" t="s">
        <v>2491</v>
      </c>
      <c r="CO6" t="s">
        <v>2510</v>
      </c>
      <c r="CP6" t="s">
        <v>2529</v>
      </c>
      <c r="CQ6" t="s">
        <v>2548</v>
      </c>
      <c r="CR6" t="s">
        <v>2567</v>
      </c>
      <c r="CS6" t="s">
        <v>2586</v>
      </c>
      <c r="CT6" t="s">
        <v>2605</v>
      </c>
      <c r="CU6" t="s">
        <v>2624</v>
      </c>
      <c r="CV6" t="s">
        <v>2643</v>
      </c>
      <c r="CW6" t="s">
        <v>2662</v>
      </c>
      <c r="CX6" t="s">
        <v>2681</v>
      </c>
      <c r="CY6" t="s">
        <v>2698</v>
      </c>
      <c r="CZ6" t="s">
        <v>2717</v>
      </c>
      <c r="DA6" t="s">
        <v>2736</v>
      </c>
      <c r="DB6" t="s">
        <v>2755</v>
      </c>
      <c r="DC6" t="s">
        <v>2774</v>
      </c>
      <c r="DD6" t="s">
        <v>2793</v>
      </c>
      <c r="DE6" t="s">
        <v>2812</v>
      </c>
      <c r="DF6" t="s">
        <v>2831</v>
      </c>
      <c r="DG6" t="s">
        <v>2850</v>
      </c>
      <c r="DH6" t="s">
        <v>2869</v>
      </c>
      <c r="DI6" t="s">
        <v>2888</v>
      </c>
      <c r="DJ6" t="s">
        <v>2907</v>
      </c>
      <c r="DK6" t="s">
        <v>2925</v>
      </c>
      <c r="DL6" t="s">
        <v>2944</v>
      </c>
      <c r="DM6" t="s">
        <v>2963</v>
      </c>
      <c r="DN6" t="s">
        <v>2981</v>
      </c>
      <c r="DO6" t="s">
        <v>3000</v>
      </c>
      <c r="DP6" t="s">
        <v>3019</v>
      </c>
      <c r="DQ6" t="s">
        <v>3038</v>
      </c>
      <c r="DR6" t="s">
        <v>3057</v>
      </c>
      <c r="DS6" t="s">
        <v>3076</v>
      </c>
      <c r="DT6" t="s">
        <v>3095</v>
      </c>
      <c r="DU6" t="s">
        <v>3114</v>
      </c>
      <c r="DV6" t="s">
        <v>3133</v>
      </c>
      <c r="DW6" t="s">
        <v>3152</v>
      </c>
      <c r="DX6" t="s">
        <v>3171</v>
      </c>
      <c r="DY6" t="s">
        <v>3190</v>
      </c>
      <c r="DZ6" t="s">
        <v>3209</v>
      </c>
      <c r="EA6" t="s">
        <v>3228</v>
      </c>
      <c r="EB6" t="s">
        <v>3247</v>
      </c>
      <c r="EC6" t="s">
        <v>3266</v>
      </c>
      <c r="ED6" t="s">
        <v>3285</v>
      </c>
      <c r="EE6" t="s">
        <v>3304</v>
      </c>
      <c r="EF6" t="s">
        <v>3323</v>
      </c>
      <c r="EG6" t="s">
        <v>3342</v>
      </c>
      <c r="EH6" t="s">
        <v>3361</v>
      </c>
      <c r="EI6" t="s">
        <v>3380</v>
      </c>
      <c r="EJ6" t="s">
        <v>3399</v>
      </c>
      <c r="EK6" t="s">
        <v>3418</v>
      </c>
      <c r="EL6" t="s">
        <v>3437</v>
      </c>
      <c r="EM6" t="s">
        <v>3456</v>
      </c>
      <c r="EN6" t="s">
        <v>3475</v>
      </c>
      <c r="EO6" t="s">
        <v>3494</v>
      </c>
      <c r="EP6" t="s">
        <v>3513</v>
      </c>
      <c r="EQ6" t="s">
        <v>3532</v>
      </c>
      <c r="ER6" t="s">
        <v>3551</v>
      </c>
      <c r="ES6" t="s">
        <v>3570</v>
      </c>
      <c r="ET6" t="s">
        <v>3589</v>
      </c>
      <c r="EU6" t="s">
        <v>3608</v>
      </c>
      <c r="EV6" t="s">
        <v>3627</v>
      </c>
      <c r="EW6" t="s">
        <v>3646</v>
      </c>
      <c r="EX6" t="s">
        <v>3665</v>
      </c>
      <c r="EY6" t="s">
        <v>739</v>
      </c>
    </row>
    <row r="7" spans="1:155" x14ac:dyDescent="0.25">
      <c r="A7" t="s">
        <v>765</v>
      </c>
      <c r="B7" t="s">
        <v>765</v>
      </c>
      <c r="C7" t="s">
        <v>765</v>
      </c>
      <c r="D7" t="s">
        <v>765</v>
      </c>
      <c r="E7" t="s">
        <v>765</v>
      </c>
      <c r="F7" t="s">
        <v>765</v>
      </c>
      <c r="G7" t="s">
        <v>765</v>
      </c>
      <c r="H7" t="s">
        <v>765</v>
      </c>
      <c r="I7" t="s">
        <v>765</v>
      </c>
      <c r="J7" t="s">
        <v>765</v>
      </c>
      <c r="K7" t="s">
        <v>765</v>
      </c>
      <c r="L7" t="s">
        <v>765</v>
      </c>
      <c r="M7" t="s">
        <v>765</v>
      </c>
      <c r="N7" t="s">
        <v>765</v>
      </c>
      <c r="O7" t="s">
        <v>765</v>
      </c>
      <c r="P7" t="s">
        <v>765</v>
      </c>
      <c r="Q7" t="s">
        <v>765</v>
      </c>
      <c r="R7" t="s">
        <v>765</v>
      </c>
      <c r="S7" t="s">
        <v>765</v>
      </c>
      <c r="T7" t="s">
        <v>765</v>
      </c>
      <c r="U7" t="s">
        <v>765</v>
      </c>
      <c r="V7" t="s">
        <v>765</v>
      </c>
      <c r="W7" t="s">
        <v>765</v>
      </c>
      <c r="X7" t="s">
        <v>765</v>
      </c>
      <c r="Y7" t="s">
        <v>765</v>
      </c>
      <c r="Z7" t="s">
        <v>765</v>
      </c>
      <c r="AA7" t="s">
        <v>765</v>
      </c>
      <c r="AB7" t="s">
        <v>765</v>
      </c>
      <c r="AC7" t="s">
        <v>765</v>
      </c>
      <c r="AD7" t="s">
        <v>765</v>
      </c>
      <c r="AE7" t="s">
        <v>765</v>
      </c>
      <c r="AF7" t="s">
        <v>765</v>
      </c>
      <c r="AG7" t="s">
        <v>765</v>
      </c>
      <c r="AH7" t="s">
        <v>765</v>
      </c>
      <c r="AI7" t="s">
        <v>765</v>
      </c>
      <c r="AJ7" t="s">
        <v>765</v>
      </c>
      <c r="AK7" t="s">
        <v>765</v>
      </c>
      <c r="AL7" t="s">
        <v>765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  <c r="AU7" t="s">
        <v>765</v>
      </c>
      <c r="AV7" t="s">
        <v>765</v>
      </c>
      <c r="AW7" t="s">
        <v>765</v>
      </c>
      <c r="AX7" t="s">
        <v>765</v>
      </c>
      <c r="AY7" t="s">
        <v>765</v>
      </c>
      <c r="AZ7" t="s">
        <v>765</v>
      </c>
      <c r="BA7" t="s">
        <v>765</v>
      </c>
      <c r="BB7" t="s">
        <v>765</v>
      </c>
      <c r="BC7" t="s">
        <v>765</v>
      </c>
      <c r="BD7" t="s">
        <v>765</v>
      </c>
      <c r="BE7" t="s">
        <v>765</v>
      </c>
      <c r="BF7" t="s">
        <v>765</v>
      </c>
      <c r="BG7" t="s">
        <v>765</v>
      </c>
      <c r="BH7" t="s">
        <v>765</v>
      </c>
      <c r="BI7" t="s">
        <v>765</v>
      </c>
      <c r="BJ7" t="s">
        <v>765</v>
      </c>
      <c r="BK7" t="s">
        <v>765</v>
      </c>
      <c r="BL7" t="s">
        <v>765</v>
      </c>
      <c r="BM7" t="s">
        <v>765</v>
      </c>
      <c r="BN7" t="s">
        <v>765</v>
      </c>
      <c r="BO7" t="s">
        <v>765</v>
      </c>
      <c r="BP7" t="s">
        <v>765</v>
      </c>
      <c r="BQ7" t="s">
        <v>765</v>
      </c>
      <c r="BR7" t="s">
        <v>765</v>
      </c>
      <c r="BS7" t="s">
        <v>765</v>
      </c>
      <c r="BT7" t="s">
        <v>765</v>
      </c>
      <c r="BU7" t="s">
        <v>765</v>
      </c>
      <c r="BV7" t="s">
        <v>765</v>
      </c>
      <c r="BW7" t="s">
        <v>765</v>
      </c>
      <c r="BX7" t="s">
        <v>765</v>
      </c>
      <c r="BY7" t="s">
        <v>765</v>
      </c>
      <c r="BZ7" t="s">
        <v>765</v>
      </c>
      <c r="CA7" t="s">
        <v>765</v>
      </c>
      <c r="CB7" t="s">
        <v>765</v>
      </c>
      <c r="CC7" t="s">
        <v>765</v>
      </c>
      <c r="CD7" t="s">
        <v>765</v>
      </c>
      <c r="CE7" t="s">
        <v>765</v>
      </c>
      <c r="CF7" t="s">
        <v>765</v>
      </c>
      <c r="CG7" t="s">
        <v>765</v>
      </c>
      <c r="CH7" t="s">
        <v>765</v>
      </c>
      <c r="CI7" t="s">
        <v>765</v>
      </c>
      <c r="CJ7" t="s">
        <v>765</v>
      </c>
      <c r="CK7" t="s">
        <v>765</v>
      </c>
      <c r="CL7" t="s">
        <v>765</v>
      </c>
      <c r="CM7" t="s">
        <v>765</v>
      </c>
      <c r="CN7" t="s">
        <v>765</v>
      </c>
      <c r="CO7" t="s">
        <v>765</v>
      </c>
      <c r="CP7" t="s">
        <v>765</v>
      </c>
      <c r="CQ7" t="s">
        <v>765</v>
      </c>
      <c r="CR7" t="s">
        <v>765</v>
      </c>
      <c r="CS7" t="s">
        <v>765</v>
      </c>
      <c r="CT7" t="s">
        <v>765</v>
      </c>
      <c r="CU7" t="s">
        <v>765</v>
      </c>
      <c r="CV7" t="s">
        <v>765</v>
      </c>
      <c r="CW7" t="s">
        <v>765</v>
      </c>
      <c r="CX7" t="s">
        <v>765</v>
      </c>
      <c r="CY7" t="s">
        <v>765</v>
      </c>
      <c r="CZ7" t="s">
        <v>765</v>
      </c>
      <c r="DA7" t="s">
        <v>765</v>
      </c>
      <c r="DB7" t="s">
        <v>765</v>
      </c>
      <c r="DC7" t="s">
        <v>765</v>
      </c>
      <c r="DD7" t="s">
        <v>765</v>
      </c>
      <c r="DE7" t="s">
        <v>765</v>
      </c>
      <c r="DF7" t="s">
        <v>765</v>
      </c>
      <c r="DG7" t="s">
        <v>765</v>
      </c>
      <c r="DH7" t="s">
        <v>765</v>
      </c>
      <c r="DI7" t="s">
        <v>765</v>
      </c>
      <c r="DJ7" t="s">
        <v>765</v>
      </c>
      <c r="DK7" t="s">
        <v>765</v>
      </c>
      <c r="DL7" t="s">
        <v>765</v>
      </c>
      <c r="DM7" t="s">
        <v>765</v>
      </c>
      <c r="DN7" t="s">
        <v>765</v>
      </c>
      <c r="DO7" t="s">
        <v>765</v>
      </c>
      <c r="DP7" t="s">
        <v>765</v>
      </c>
      <c r="DQ7" t="s">
        <v>765</v>
      </c>
      <c r="DR7" t="s">
        <v>765</v>
      </c>
      <c r="DS7" t="s">
        <v>765</v>
      </c>
      <c r="DT7" t="s">
        <v>765</v>
      </c>
      <c r="DU7" t="s">
        <v>765</v>
      </c>
      <c r="DV7" t="s">
        <v>765</v>
      </c>
      <c r="DW7" t="s">
        <v>765</v>
      </c>
      <c r="DX7" t="s">
        <v>765</v>
      </c>
      <c r="DY7" t="s">
        <v>765</v>
      </c>
      <c r="DZ7" t="s">
        <v>765</v>
      </c>
      <c r="EA7" t="s">
        <v>765</v>
      </c>
      <c r="EB7" t="s">
        <v>765</v>
      </c>
      <c r="EC7" t="s">
        <v>765</v>
      </c>
      <c r="ED7" t="s">
        <v>765</v>
      </c>
      <c r="EE7" t="s">
        <v>765</v>
      </c>
      <c r="EF7" t="s">
        <v>765</v>
      </c>
      <c r="EG7" t="s">
        <v>765</v>
      </c>
      <c r="EH7" t="s">
        <v>765</v>
      </c>
      <c r="EI7" t="s">
        <v>765</v>
      </c>
      <c r="EJ7" t="s">
        <v>765</v>
      </c>
      <c r="EK7" t="s">
        <v>765</v>
      </c>
      <c r="EL7" t="s">
        <v>765</v>
      </c>
      <c r="EM7" t="s">
        <v>765</v>
      </c>
      <c r="EN7" t="s">
        <v>765</v>
      </c>
      <c r="EO7" t="s">
        <v>765</v>
      </c>
      <c r="EP7" t="s">
        <v>765</v>
      </c>
      <c r="EQ7" t="s">
        <v>765</v>
      </c>
      <c r="ER7" t="s">
        <v>765</v>
      </c>
      <c r="ES7" t="s">
        <v>765</v>
      </c>
      <c r="ET7" t="s">
        <v>765</v>
      </c>
      <c r="EU7" t="s">
        <v>765</v>
      </c>
      <c r="EV7" t="s">
        <v>765</v>
      </c>
      <c r="EW7" t="s">
        <v>765</v>
      </c>
      <c r="EX7" t="s">
        <v>765</v>
      </c>
      <c r="EY7" t="s">
        <v>765</v>
      </c>
    </row>
    <row r="8" spans="1:155" x14ac:dyDescent="0.25">
      <c r="A8" t="s">
        <v>770</v>
      </c>
      <c r="B8" t="s">
        <v>770</v>
      </c>
      <c r="C8" t="s">
        <v>770</v>
      </c>
      <c r="D8" t="s">
        <v>770</v>
      </c>
      <c r="E8" t="s">
        <v>770</v>
      </c>
      <c r="F8" t="s">
        <v>770</v>
      </c>
      <c r="G8" t="s">
        <v>770</v>
      </c>
      <c r="H8" t="s">
        <v>770</v>
      </c>
      <c r="I8" t="s">
        <v>770</v>
      </c>
      <c r="J8" t="s">
        <v>770</v>
      </c>
      <c r="K8" t="s">
        <v>770</v>
      </c>
      <c r="L8" t="s">
        <v>770</v>
      </c>
      <c r="M8" t="s">
        <v>770</v>
      </c>
      <c r="N8" t="s">
        <v>770</v>
      </c>
      <c r="O8" t="s">
        <v>770</v>
      </c>
      <c r="P8" t="s">
        <v>770</v>
      </c>
      <c r="Q8" t="s">
        <v>770</v>
      </c>
      <c r="R8" t="s">
        <v>770</v>
      </c>
      <c r="S8" t="s">
        <v>770</v>
      </c>
      <c r="T8" t="s">
        <v>770</v>
      </c>
      <c r="U8" t="s">
        <v>770</v>
      </c>
      <c r="V8" t="s">
        <v>770</v>
      </c>
      <c r="W8" t="s">
        <v>770</v>
      </c>
      <c r="X8" t="s">
        <v>770</v>
      </c>
      <c r="Y8" t="s">
        <v>770</v>
      </c>
      <c r="Z8" t="s">
        <v>770</v>
      </c>
      <c r="AA8" t="s">
        <v>770</v>
      </c>
      <c r="AB8" t="s">
        <v>770</v>
      </c>
      <c r="AC8" t="s">
        <v>770</v>
      </c>
      <c r="AD8" t="s">
        <v>770</v>
      </c>
      <c r="AE8" t="s">
        <v>770</v>
      </c>
      <c r="AF8" t="s">
        <v>770</v>
      </c>
      <c r="AG8" t="s">
        <v>770</v>
      </c>
      <c r="AH8" t="s">
        <v>770</v>
      </c>
      <c r="AI8" t="s">
        <v>770</v>
      </c>
      <c r="AJ8" t="s">
        <v>770</v>
      </c>
      <c r="AK8" t="s">
        <v>770</v>
      </c>
      <c r="AL8" t="s">
        <v>770</v>
      </c>
      <c r="AM8" t="s">
        <v>770</v>
      </c>
      <c r="AN8" t="s">
        <v>770</v>
      </c>
      <c r="AO8" t="s">
        <v>770</v>
      </c>
      <c r="AP8" t="s">
        <v>770</v>
      </c>
      <c r="AQ8" t="s">
        <v>770</v>
      </c>
      <c r="AR8" t="s">
        <v>770</v>
      </c>
      <c r="AS8" t="s">
        <v>770</v>
      </c>
      <c r="AT8" t="s">
        <v>770</v>
      </c>
      <c r="AU8" t="s">
        <v>770</v>
      </c>
      <c r="AV8" t="s">
        <v>770</v>
      </c>
      <c r="AW8" t="s">
        <v>770</v>
      </c>
      <c r="AX8" t="s">
        <v>770</v>
      </c>
      <c r="AY8" t="s">
        <v>770</v>
      </c>
      <c r="AZ8" t="s">
        <v>770</v>
      </c>
      <c r="BA8" t="s">
        <v>770</v>
      </c>
      <c r="BB8" t="s">
        <v>770</v>
      </c>
      <c r="BC8" t="s">
        <v>770</v>
      </c>
      <c r="BD8" t="s">
        <v>770</v>
      </c>
      <c r="BE8" t="s">
        <v>770</v>
      </c>
      <c r="BF8" t="s">
        <v>770</v>
      </c>
      <c r="BG8" t="s">
        <v>770</v>
      </c>
      <c r="BH8" t="s">
        <v>770</v>
      </c>
      <c r="BI8" t="s">
        <v>770</v>
      </c>
      <c r="BJ8" t="s">
        <v>770</v>
      </c>
      <c r="BK8" t="s">
        <v>770</v>
      </c>
      <c r="BL8" t="s">
        <v>770</v>
      </c>
      <c r="BM8" t="s">
        <v>770</v>
      </c>
      <c r="BN8" t="s">
        <v>770</v>
      </c>
      <c r="BO8" t="s">
        <v>770</v>
      </c>
      <c r="BP8" t="s">
        <v>770</v>
      </c>
      <c r="BQ8" t="s">
        <v>770</v>
      </c>
      <c r="BR8" t="s">
        <v>770</v>
      </c>
      <c r="BS8" t="s">
        <v>770</v>
      </c>
      <c r="BT8" t="s">
        <v>770</v>
      </c>
      <c r="BU8" t="s">
        <v>770</v>
      </c>
      <c r="BV8" t="s">
        <v>770</v>
      </c>
      <c r="BW8" t="s">
        <v>770</v>
      </c>
      <c r="BX8" t="s">
        <v>770</v>
      </c>
      <c r="BY8" t="s">
        <v>770</v>
      </c>
      <c r="BZ8" t="s">
        <v>770</v>
      </c>
      <c r="CA8" t="s">
        <v>770</v>
      </c>
      <c r="CB8" t="s">
        <v>770</v>
      </c>
      <c r="CC8" t="s">
        <v>770</v>
      </c>
      <c r="CD8" t="s">
        <v>770</v>
      </c>
      <c r="CE8" t="s">
        <v>770</v>
      </c>
      <c r="CF8" t="s">
        <v>770</v>
      </c>
      <c r="CG8" t="s">
        <v>770</v>
      </c>
      <c r="CH8" t="s">
        <v>770</v>
      </c>
      <c r="CI8" t="s">
        <v>770</v>
      </c>
      <c r="CJ8" t="s">
        <v>770</v>
      </c>
      <c r="CK8" t="s">
        <v>770</v>
      </c>
      <c r="CL8" t="s">
        <v>770</v>
      </c>
      <c r="CM8" t="s">
        <v>770</v>
      </c>
      <c r="CN8" t="s">
        <v>770</v>
      </c>
      <c r="CO8" t="s">
        <v>770</v>
      </c>
      <c r="CP8" t="s">
        <v>770</v>
      </c>
      <c r="CQ8" t="s">
        <v>770</v>
      </c>
      <c r="CR8" t="s">
        <v>770</v>
      </c>
      <c r="CS8" t="s">
        <v>770</v>
      </c>
      <c r="CT8" t="s">
        <v>770</v>
      </c>
      <c r="CU8" t="s">
        <v>770</v>
      </c>
      <c r="CV8" t="s">
        <v>770</v>
      </c>
      <c r="CW8" t="s">
        <v>770</v>
      </c>
      <c r="CX8" t="s">
        <v>770</v>
      </c>
      <c r="CY8" t="s">
        <v>770</v>
      </c>
      <c r="CZ8" t="s">
        <v>770</v>
      </c>
      <c r="DA8" t="s">
        <v>770</v>
      </c>
      <c r="DB8" t="s">
        <v>770</v>
      </c>
      <c r="DC8" t="s">
        <v>770</v>
      </c>
      <c r="DD8" t="s">
        <v>770</v>
      </c>
      <c r="DE8" t="s">
        <v>770</v>
      </c>
      <c r="DF8" t="s">
        <v>770</v>
      </c>
      <c r="DG8" t="s">
        <v>770</v>
      </c>
      <c r="DH8" t="s">
        <v>770</v>
      </c>
      <c r="DI8" t="s">
        <v>770</v>
      </c>
      <c r="DJ8" t="s">
        <v>770</v>
      </c>
      <c r="DK8" t="s">
        <v>770</v>
      </c>
      <c r="DL8" t="s">
        <v>770</v>
      </c>
      <c r="DM8" t="s">
        <v>770</v>
      </c>
      <c r="DN8" t="s">
        <v>770</v>
      </c>
      <c r="DO8" t="s">
        <v>770</v>
      </c>
      <c r="DP8" t="s">
        <v>770</v>
      </c>
      <c r="DQ8" t="s">
        <v>770</v>
      </c>
      <c r="DR8" t="s">
        <v>770</v>
      </c>
      <c r="DS8" t="s">
        <v>770</v>
      </c>
      <c r="DT8" t="s">
        <v>770</v>
      </c>
      <c r="DU8" t="s">
        <v>770</v>
      </c>
      <c r="DV8" t="s">
        <v>770</v>
      </c>
      <c r="DW8" t="s">
        <v>770</v>
      </c>
      <c r="DX8" t="s">
        <v>770</v>
      </c>
      <c r="DY8" t="s">
        <v>770</v>
      </c>
      <c r="DZ8" t="s">
        <v>770</v>
      </c>
      <c r="EA8" t="s">
        <v>770</v>
      </c>
      <c r="EB8" t="s">
        <v>770</v>
      </c>
      <c r="EC8" t="s">
        <v>770</v>
      </c>
      <c r="ED8" t="s">
        <v>770</v>
      </c>
      <c r="EE8" t="s">
        <v>770</v>
      </c>
      <c r="EF8" t="s">
        <v>770</v>
      </c>
      <c r="EG8" t="s">
        <v>770</v>
      </c>
      <c r="EH8" t="s">
        <v>770</v>
      </c>
      <c r="EI8" t="s">
        <v>770</v>
      </c>
      <c r="EJ8" t="s">
        <v>770</v>
      </c>
      <c r="EK8" t="s">
        <v>770</v>
      </c>
      <c r="EL8" t="s">
        <v>770</v>
      </c>
      <c r="EM8" t="s">
        <v>770</v>
      </c>
      <c r="EN8" t="s">
        <v>770</v>
      </c>
      <c r="EO8" t="s">
        <v>770</v>
      </c>
      <c r="EP8" t="s">
        <v>770</v>
      </c>
      <c r="EQ8" t="s">
        <v>770</v>
      </c>
      <c r="ER8" t="s">
        <v>770</v>
      </c>
      <c r="ES8" t="s">
        <v>770</v>
      </c>
      <c r="ET8" t="s">
        <v>770</v>
      </c>
      <c r="EU8" t="s">
        <v>770</v>
      </c>
      <c r="EV8" t="s">
        <v>770</v>
      </c>
      <c r="EW8" t="s">
        <v>770</v>
      </c>
      <c r="EX8" t="s">
        <v>770</v>
      </c>
      <c r="EY8" t="s">
        <v>770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Respondent Info</vt:lpstr>
      <vt:lpstr>Survey</vt:lpstr>
      <vt:lpstr>Response Mapping</vt:lpstr>
      <vt:lpstr>Recommendations Library</vt:lpstr>
      <vt:lpstr>Recommendations Output</vt:lpstr>
      <vt:lpstr>Dashboard</vt:lpstr>
      <vt:lpstr>Gap Analysis</vt:lpstr>
      <vt:lpstr>Test Cases</vt:lpstr>
      <vt:lpstr>Glossary</vt:lpstr>
      <vt:lpstr>AIA-UI-Config</vt:lpstr>
      <vt:lpstr>AIA-Question-Config</vt:lpstr>
      <vt:lpstr>AIA-Question-Response-Map</vt:lpstr>
      <vt:lpstr>AIA-Response-Capture</vt:lpstr>
      <vt:lpstr>_Dropdowns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2026-05-14T01:36:59Z</dcterms:created>
  <dcterms:modified xsi:type="dcterms:W3CDTF">2026-05-20T16:54:38Z</dcterms:modified>
  <cp:category/>
  <cp:contentStatus/>
</cp:coreProperties>
</file>